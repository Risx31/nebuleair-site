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tom_russo_etu_univ-amu_fr/Documents/"/>
    </mc:Choice>
  </mc:AlternateContent>
  <xr:revisionPtr revIDLastSave="0" documentId="8_{70310A63-26C4-471E-9443-5B7C26B60919}" xr6:coauthVersionLast="47" xr6:coauthVersionMax="47" xr10:uidLastSave="{00000000-0000-0000-0000-000000000000}"/>
  <bookViews>
    <workbookView xWindow="-120" yWindow="-120" windowWidth="29040" windowHeight="15840" firstSheet="3" activeTab="3" xr2:uid="{D63CF1B5-9C68-4F13-ADC2-EA749027821E}"/>
  </bookViews>
  <sheets>
    <sheet name="nebuleair_export (1)" sheetId="1" r:id="rId1"/>
    <sheet name="MRS-LCP" sheetId="3" r:id="rId2"/>
    <sheet name="Comparaison" sheetId="4" r:id="rId3"/>
    <sheet name="Correction" sheetId="6" r:id="rId4"/>
    <sheet name="Calcul des facteurs" sheetId="5" r:id="rId5"/>
    <sheet name="Tracés" sheetId="7" r:id="rId6"/>
  </sheets>
  <definedNames>
    <definedName name="DonnéesExternes_1" localSheetId="1" hidden="1">'MRS-LCP'!$A$1:$I$1443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 a="1"/>
  <c r="H4" i="5" s="1"/>
  <c r="G4" i="5"/>
  <c r="F4" i="5"/>
  <c r="F5" i="5"/>
  <c r="G5" i="5"/>
  <c r="C5" i="5"/>
  <c r="C4" i="5"/>
  <c r="B5" i="5"/>
  <c r="B4" i="5"/>
  <c r="L5" i="5"/>
  <c r="L4" i="5"/>
  <c r="D5" i="5" a="1"/>
  <c r="D5" i="5" s="1"/>
  <c r="D4" i="5" a="1"/>
  <c r="D4" i="5" s="1"/>
  <c r="C27" i="6" l="1"/>
  <c r="C1043" i="6"/>
  <c r="C1039" i="6"/>
  <c r="C1035" i="6"/>
  <c r="C1030" i="6"/>
  <c r="C1025" i="6"/>
  <c r="C1018" i="6"/>
  <c r="C1010" i="6"/>
  <c r="C1002" i="6"/>
  <c r="C994" i="6"/>
  <c r="C986" i="6"/>
  <c r="C978" i="6"/>
  <c r="C970" i="6"/>
  <c r="C962" i="6"/>
  <c r="C954" i="6"/>
  <c r="C946" i="6"/>
  <c r="C938" i="6"/>
  <c r="C930" i="6"/>
  <c r="C922" i="6"/>
  <c r="C914" i="6"/>
  <c r="C906" i="6"/>
  <c r="C898" i="6"/>
  <c r="C890" i="6"/>
  <c r="C882" i="6"/>
  <c r="C874" i="6"/>
  <c r="C866" i="6"/>
  <c r="C858" i="6"/>
  <c r="C850" i="6"/>
  <c r="C836" i="6"/>
  <c r="C820" i="6"/>
  <c r="C804" i="6"/>
  <c r="C788" i="6"/>
  <c r="C772" i="6"/>
  <c r="C756" i="6"/>
  <c r="C736" i="6"/>
  <c r="C715" i="6"/>
  <c r="C693" i="6"/>
  <c r="C672" i="6"/>
  <c r="C651" i="6"/>
  <c r="C629" i="6"/>
  <c r="C608" i="6"/>
  <c r="C574" i="6"/>
  <c r="C531" i="6"/>
  <c r="C488" i="6"/>
  <c r="C446" i="6"/>
  <c r="C381" i="6"/>
  <c r="C278" i="6"/>
  <c r="C166" i="6"/>
  <c r="C52" i="6"/>
  <c r="C1044" i="6"/>
  <c r="C1040" i="6"/>
  <c r="C1036" i="6"/>
  <c r="C1031" i="6"/>
  <c r="C1026" i="6"/>
  <c r="C1021" i="6"/>
  <c r="C1013" i="6"/>
  <c r="C1005" i="6"/>
  <c r="C997" i="6"/>
  <c r="C989" i="6"/>
  <c r="C981" i="6"/>
  <c r="C973" i="6"/>
  <c r="C965" i="6"/>
  <c r="C957" i="6"/>
  <c r="C949" i="6"/>
  <c r="C941" i="6"/>
  <c r="C933" i="6"/>
  <c r="C925" i="6"/>
  <c r="C917" i="6"/>
  <c r="C909" i="6"/>
  <c r="C901" i="6"/>
  <c r="C893" i="6"/>
  <c r="C885" i="6"/>
  <c r="C877" i="6"/>
  <c r="C869" i="6"/>
  <c r="C861" i="6"/>
  <c r="C853" i="6"/>
  <c r="C841" i="6"/>
  <c r="C825" i="6"/>
  <c r="C809" i="6"/>
  <c r="C793" i="6"/>
  <c r="C777" i="6"/>
  <c r="C761" i="6"/>
  <c r="C743" i="6"/>
  <c r="C721" i="6"/>
  <c r="C700" i="6"/>
  <c r="C679" i="6"/>
  <c r="C657" i="6"/>
  <c r="C636" i="6"/>
  <c r="C615" i="6"/>
  <c r="C586" i="6"/>
  <c r="C543" i="6"/>
  <c r="C500" i="6"/>
  <c r="C458" i="6"/>
  <c r="C405" i="6"/>
  <c r="C310" i="6"/>
  <c r="C198" i="6"/>
  <c r="C84" i="6"/>
  <c r="C1046" i="6"/>
  <c r="C1042" i="6"/>
  <c r="C1038" i="6"/>
  <c r="C1034" i="6"/>
  <c r="C1029" i="6"/>
  <c r="C1023" i="6"/>
  <c r="C1017" i="6"/>
  <c r="C1009" i="6"/>
  <c r="C1001" i="6"/>
  <c r="C993" i="6"/>
  <c r="C985" i="6"/>
  <c r="C977" i="6"/>
  <c r="C969" i="6"/>
  <c r="C961" i="6"/>
  <c r="C953" i="6"/>
  <c r="C945" i="6"/>
  <c r="C937" i="6"/>
  <c r="C929" i="6"/>
  <c r="C921" i="6"/>
  <c r="C913" i="6"/>
  <c r="C905" i="6"/>
  <c r="C897" i="6"/>
  <c r="C889" i="6"/>
  <c r="C881" i="6"/>
  <c r="C873" i="6"/>
  <c r="C865" i="6"/>
  <c r="C857" i="6"/>
  <c r="C849" i="6"/>
  <c r="C833" i="6"/>
  <c r="C817" i="6"/>
  <c r="C801" i="6"/>
  <c r="C785" i="6"/>
  <c r="C769" i="6"/>
  <c r="C753" i="6"/>
  <c r="C732" i="6"/>
  <c r="C711" i="6"/>
  <c r="C689" i="6"/>
  <c r="C668" i="6"/>
  <c r="C647" i="6"/>
  <c r="C625" i="6"/>
  <c r="C604" i="6"/>
  <c r="C564" i="6"/>
  <c r="C522" i="6"/>
  <c r="C479" i="6"/>
  <c r="C436" i="6"/>
  <c r="C362" i="6"/>
  <c r="C255" i="6"/>
  <c r="C139" i="6"/>
  <c r="C16" i="6"/>
  <c r="C10" i="6"/>
  <c r="C38" i="6"/>
  <c r="C64" i="6"/>
  <c r="C95" i="6"/>
  <c r="C123" i="6"/>
  <c r="C150" i="6"/>
  <c r="C180" i="6"/>
  <c r="C208" i="6"/>
  <c r="C235" i="6"/>
  <c r="C266" i="6"/>
  <c r="C294" i="6"/>
  <c r="C320" i="6"/>
  <c r="C349" i="6"/>
  <c r="C370" i="6"/>
  <c r="C390" i="6"/>
  <c r="C413" i="6"/>
  <c r="C430" i="6"/>
  <c r="C440" i="6"/>
  <c r="C451" i="6"/>
  <c r="C462" i="6"/>
  <c r="C472" i="6"/>
  <c r="C483" i="6"/>
  <c r="C494" i="6"/>
  <c r="C504" i="6"/>
  <c r="C515" i="6"/>
  <c r="C526" i="6"/>
  <c r="C536" i="6"/>
  <c r="C547" i="6"/>
  <c r="C558" i="6"/>
  <c r="C568" i="6"/>
  <c r="C579" i="6"/>
  <c r="C590" i="6"/>
  <c r="C599" i="6"/>
  <c r="C605" i="6"/>
  <c r="C611" i="6"/>
  <c r="C616" i="6"/>
  <c r="C621" i="6"/>
  <c r="C627" i="6"/>
  <c r="C632" i="6"/>
  <c r="C637" i="6"/>
  <c r="C643" i="6"/>
  <c r="C648" i="6"/>
  <c r="C653" i="6"/>
  <c r="C659" i="6"/>
  <c r="C664" i="6"/>
  <c r="C669" i="6"/>
  <c r="C675" i="6"/>
  <c r="C680" i="6"/>
  <c r="C685" i="6"/>
  <c r="C691" i="6"/>
  <c r="C696" i="6"/>
  <c r="C701" i="6"/>
  <c r="C707" i="6"/>
  <c r="C712" i="6"/>
  <c r="C717" i="6"/>
  <c r="C723" i="6"/>
  <c r="C728" i="6"/>
  <c r="C733" i="6"/>
  <c r="C739" i="6"/>
  <c r="C744" i="6"/>
  <c r="C749" i="6"/>
  <c r="C754" i="6"/>
  <c r="C758" i="6"/>
  <c r="C762" i="6"/>
  <c r="C766" i="6"/>
  <c r="C770" i="6"/>
  <c r="C774" i="6"/>
  <c r="C778" i="6"/>
  <c r="C782" i="6"/>
  <c r="C786" i="6"/>
  <c r="C790" i="6"/>
  <c r="C794" i="6"/>
  <c r="C798" i="6"/>
  <c r="C802" i="6"/>
  <c r="C806" i="6"/>
  <c r="C810" i="6"/>
  <c r="C814" i="6"/>
  <c r="C818" i="6"/>
  <c r="C822" i="6"/>
  <c r="C826" i="6"/>
  <c r="C830" i="6"/>
  <c r="C834" i="6"/>
  <c r="C838" i="6"/>
  <c r="C842" i="6"/>
  <c r="C846" i="6"/>
  <c r="C11" i="6"/>
  <c r="C42" i="6"/>
  <c r="C70" i="6"/>
  <c r="C96" i="6"/>
  <c r="C127" i="6"/>
  <c r="C155" i="6"/>
  <c r="C182" i="6"/>
  <c r="C212" i="6"/>
  <c r="C240" i="6"/>
  <c r="C267" i="6"/>
  <c r="C298" i="6"/>
  <c r="C326" i="6"/>
  <c r="C350" i="6"/>
  <c r="C373" i="6"/>
  <c r="C394" i="6"/>
  <c r="C414" i="6"/>
  <c r="C431" i="6"/>
  <c r="C442" i="6"/>
  <c r="C452" i="6"/>
  <c r="C463" i="6"/>
  <c r="C474" i="6"/>
  <c r="C484" i="6"/>
  <c r="C495" i="6"/>
  <c r="C506" i="6"/>
  <c r="C516" i="6"/>
  <c r="C527" i="6"/>
  <c r="C538" i="6"/>
  <c r="C548" i="6"/>
  <c r="C559" i="6"/>
  <c r="C570" i="6"/>
  <c r="C580" i="6"/>
  <c r="C591" i="6"/>
  <c r="C600" i="6"/>
  <c r="C607" i="6"/>
  <c r="C612" i="6"/>
  <c r="C617" i="6"/>
  <c r="C623" i="6"/>
  <c r="C628" i="6"/>
  <c r="C633" i="6"/>
  <c r="C639" i="6"/>
  <c r="C644" i="6"/>
  <c r="C649" i="6"/>
  <c r="C655" i="6"/>
  <c r="C660" i="6"/>
  <c r="C665" i="6"/>
  <c r="C671" i="6"/>
  <c r="C676" i="6"/>
  <c r="C681" i="6"/>
  <c r="C687" i="6"/>
  <c r="C692" i="6"/>
  <c r="C697" i="6"/>
  <c r="C703" i="6"/>
  <c r="C708" i="6"/>
  <c r="C713" i="6"/>
  <c r="C719" i="6"/>
  <c r="C724" i="6"/>
  <c r="C729" i="6"/>
  <c r="C735" i="6"/>
  <c r="C740" i="6"/>
  <c r="C745" i="6"/>
  <c r="C751" i="6"/>
  <c r="C755" i="6"/>
  <c r="C759" i="6"/>
  <c r="C763" i="6"/>
  <c r="C767" i="6"/>
  <c r="C771" i="6"/>
  <c r="C775" i="6"/>
  <c r="C779" i="6"/>
  <c r="C783" i="6"/>
  <c r="C787" i="6"/>
  <c r="C791" i="6"/>
  <c r="C795" i="6"/>
  <c r="C799" i="6"/>
  <c r="C803" i="6"/>
  <c r="C807" i="6"/>
  <c r="C811" i="6"/>
  <c r="C815" i="6"/>
  <c r="C819" i="6"/>
  <c r="C823" i="6"/>
  <c r="C827" i="6"/>
  <c r="C831" i="6"/>
  <c r="C835" i="6"/>
  <c r="C839" i="6"/>
  <c r="C843" i="6"/>
  <c r="C847" i="6"/>
  <c r="C54" i="6"/>
  <c r="C112" i="6"/>
  <c r="C170" i="6"/>
  <c r="C224" i="6"/>
  <c r="C283" i="6"/>
  <c r="C340" i="6"/>
  <c r="C382" i="6"/>
  <c r="C426" i="6"/>
  <c r="C447" i="6"/>
  <c r="C468" i="6"/>
  <c r="C490" i="6"/>
  <c r="C511" i="6"/>
  <c r="C532" i="6"/>
  <c r="C554" i="6"/>
  <c r="C575" i="6"/>
  <c r="C596" i="6"/>
  <c r="C609" i="6"/>
  <c r="C620" i="6"/>
  <c r="C631" i="6"/>
  <c r="C641" i="6"/>
  <c r="C652" i="6"/>
  <c r="C663" i="6"/>
  <c r="C673" i="6"/>
  <c r="C684" i="6"/>
  <c r="C695" i="6"/>
  <c r="C705" i="6"/>
  <c r="C716" i="6"/>
  <c r="C727" i="6"/>
  <c r="C737" i="6"/>
  <c r="C748" i="6"/>
  <c r="C757" i="6"/>
  <c r="C765" i="6"/>
  <c r="C773" i="6"/>
  <c r="C781" i="6"/>
  <c r="C789" i="6"/>
  <c r="C797" i="6"/>
  <c r="C805" i="6"/>
  <c r="C813" i="6"/>
  <c r="C821" i="6"/>
  <c r="C829" i="6"/>
  <c r="C837" i="6"/>
  <c r="C845" i="6"/>
  <c r="C851" i="6"/>
  <c r="C855" i="6"/>
  <c r="C859" i="6"/>
  <c r="C863" i="6"/>
  <c r="C867" i="6"/>
  <c r="C871" i="6"/>
  <c r="C875" i="6"/>
  <c r="C879" i="6"/>
  <c r="C883" i="6"/>
  <c r="C887" i="6"/>
  <c r="C891" i="6"/>
  <c r="C895" i="6"/>
  <c r="C899" i="6"/>
  <c r="C903" i="6"/>
  <c r="C907" i="6"/>
  <c r="C911" i="6"/>
  <c r="C915" i="6"/>
  <c r="C919" i="6"/>
  <c r="C923" i="6"/>
  <c r="C927" i="6"/>
  <c r="C931" i="6"/>
  <c r="C935" i="6"/>
  <c r="C939" i="6"/>
  <c r="C943" i="6"/>
  <c r="C947" i="6"/>
  <c r="C951" i="6"/>
  <c r="C955" i="6"/>
  <c r="C959" i="6"/>
  <c r="C963" i="6"/>
  <c r="C967" i="6"/>
  <c r="C971" i="6"/>
  <c r="C975" i="6"/>
  <c r="C979" i="6"/>
  <c r="C983" i="6"/>
  <c r="C987" i="6"/>
  <c r="C991" i="6"/>
  <c r="C995" i="6"/>
  <c r="C999" i="6"/>
  <c r="C1003" i="6"/>
  <c r="C1007" i="6"/>
  <c r="C1011" i="6"/>
  <c r="C1015" i="6"/>
  <c r="C1019" i="6"/>
  <c r="C22" i="6"/>
  <c r="C80" i="6"/>
  <c r="C138" i="6"/>
  <c r="C192" i="6"/>
  <c r="C251" i="6"/>
  <c r="C308" i="6"/>
  <c r="C358" i="6"/>
  <c r="C402" i="6"/>
  <c r="C435" i="6"/>
  <c r="C456" i="6"/>
  <c r="C478" i="6"/>
  <c r="C499" i="6"/>
  <c r="C520" i="6"/>
  <c r="C542" i="6"/>
  <c r="C563" i="6"/>
  <c r="C584" i="6"/>
  <c r="C603" i="6"/>
  <c r="C613" i="6"/>
  <c r="C624" i="6"/>
  <c r="C635" i="6"/>
  <c r="C645" i="6"/>
  <c r="C656" i="6"/>
  <c r="C667" i="6"/>
  <c r="C677" i="6"/>
  <c r="C688" i="6"/>
  <c r="C699" i="6"/>
  <c r="C709" i="6"/>
  <c r="C720" i="6"/>
  <c r="C731" i="6"/>
  <c r="C741" i="6"/>
  <c r="C752" i="6"/>
  <c r="C760" i="6"/>
  <c r="C768" i="6"/>
  <c r="C776" i="6"/>
  <c r="C784" i="6"/>
  <c r="C792" i="6"/>
  <c r="C800" i="6"/>
  <c r="C808" i="6"/>
  <c r="C816" i="6"/>
  <c r="C824" i="6"/>
  <c r="C832" i="6"/>
  <c r="C840" i="6"/>
  <c r="C848" i="6"/>
  <c r="C852" i="6"/>
  <c r="C856" i="6"/>
  <c r="C860" i="6"/>
  <c r="C864" i="6"/>
  <c r="C868" i="6"/>
  <c r="C872" i="6"/>
  <c r="C876" i="6"/>
  <c r="C880" i="6"/>
  <c r="C884" i="6"/>
  <c r="C888" i="6"/>
  <c r="C892" i="6"/>
  <c r="C896" i="6"/>
  <c r="C900" i="6"/>
  <c r="C904" i="6"/>
  <c r="C908" i="6"/>
  <c r="C912" i="6"/>
  <c r="C916" i="6"/>
  <c r="C920" i="6"/>
  <c r="C924" i="6"/>
  <c r="C928" i="6"/>
  <c r="C932" i="6"/>
  <c r="C936" i="6"/>
  <c r="C940" i="6"/>
  <c r="C944" i="6"/>
  <c r="C948" i="6"/>
  <c r="C952" i="6"/>
  <c r="C956" i="6"/>
  <c r="C960" i="6"/>
  <c r="C964" i="6"/>
  <c r="C968" i="6"/>
  <c r="C972" i="6"/>
  <c r="C976" i="6"/>
  <c r="C980" i="6"/>
  <c r="C984" i="6"/>
  <c r="C988" i="6"/>
  <c r="C992" i="6"/>
  <c r="C996" i="6"/>
  <c r="C1000" i="6"/>
  <c r="C1004" i="6"/>
  <c r="C1008" i="6"/>
  <c r="C1012" i="6"/>
  <c r="C1016" i="6"/>
  <c r="C1020" i="6"/>
  <c r="C1024" i="6"/>
  <c r="C1028" i="6"/>
  <c r="C1032" i="6"/>
  <c r="C1045" i="6"/>
  <c r="C1041" i="6"/>
  <c r="C1037" i="6"/>
  <c r="C1033" i="6"/>
  <c r="C1027" i="6"/>
  <c r="C1022" i="6"/>
  <c r="C1014" i="6"/>
  <c r="C1006" i="6"/>
  <c r="C998" i="6"/>
  <c r="C990" i="6"/>
  <c r="C982" i="6"/>
  <c r="C974" i="6"/>
  <c r="C966" i="6"/>
  <c r="C958" i="6"/>
  <c r="C950" i="6"/>
  <c r="C942" i="6"/>
  <c r="C934" i="6"/>
  <c r="C926" i="6"/>
  <c r="C918" i="6"/>
  <c r="C910" i="6"/>
  <c r="C902" i="6"/>
  <c r="C894" i="6"/>
  <c r="C886" i="6"/>
  <c r="C878" i="6"/>
  <c r="C870" i="6"/>
  <c r="C862" i="6"/>
  <c r="C854" i="6"/>
  <c r="C844" i="6"/>
  <c r="C828" i="6"/>
  <c r="C812" i="6"/>
  <c r="C796" i="6"/>
  <c r="C780" i="6"/>
  <c r="C764" i="6"/>
  <c r="C747" i="6"/>
  <c r="C725" i="6"/>
  <c r="C704" i="6"/>
  <c r="C683" i="6"/>
  <c r="C661" i="6"/>
  <c r="C640" i="6"/>
  <c r="C619" i="6"/>
  <c r="C595" i="6"/>
  <c r="C552" i="6"/>
  <c r="C510" i="6"/>
  <c r="C467" i="6"/>
  <c r="C422" i="6"/>
  <c r="C336" i="6"/>
  <c r="C223" i="6"/>
  <c r="C107" i="6"/>
  <c r="C750" i="6"/>
  <c r="C746" i="6"/>
  <c r="C742" i="6"/>
  <c r="C738" i="6"/>
  <c r="C734" i="6"/>
  <c r="C730" i="6"/>
  <c r="C726" i="6"/>
  <c r="C722" i="6"/>
  <c r="C718" i="6"/>
  <c r="C714" i="6"/>
  <c r="C710" i="6"/>
  <c r="C706" i="6"/>
  <c r="C702" i="6"/>
  <c r="C698" i="6"/>
  <c r="C694" i="6"/>
  <c r="C690" i="6"/>
  <c r="C686" i="6"/>
  <c r="C682" i="6"/>
  <c r="C678" i="6"/>
  <c r="C674" i="6"/>
  <c r="C670" i="6"/>
  <c r="C666" i="6"/>
  <c r="C662" i="6"/>
  <c r="C658" i="6"/>
  <c r="C654" i="6"/>
  <c r="C650" i="6"/>
  <c r="C646" i="6"/>
  <c r="C642" i="6"/>
  <c r="C638" i="6"/>
  <c r="C634" i="6"/>
  <c r="C630" i="6"/>
  <c r="C626" i="6"/>
  <c r="C622" i="6"/>
  <c r="C618" i="6"/>
  <c r="C614" i="6"/>
  <c r="C610" i="6"/>
  <c r="C606" i="6"/>
  <c r="C602" i="6"/>
  <c r="C598" i="6"/>
  <c r="C594" i="6"/>
  <c r="C588" i="6"/>
  <c r="C583" i="6"/>
  <c r="C578" i="6"/>
  <c r="C572" i="6"/>
  <c r="C567" i="6"/>
  <c r="C562" i="6"/>
  <c r="C556" i="6"/>
  <c r="C551" i="6"/>
  <c r="C546" i="6"/>
  <c r="C540" i="6"/>
  <c r="C535" i="6"/>
  <c r="C530" i="6"/>
  <c r="C524" i="6"/>
  <c r="C519" i="6"/>
  <c r="C514" i="6"/>
  <c r="C508" i="6"/>
  <c r="C503" i="6"/>
  <c r="C498" i="6"/>
  <c r="C492" i="6"/>
  <c r="C487" i="6"/>
  <c r="C482" i="6"/>
  <c r="C476" i="6"/>
  <c r="C471" i="6"/>
  <c r="C466" i="6"/>
  <c r="C460" i="6"/>
  <c r="C455" i="6"/>
  <c r="C450" i="6"/>
  <c r="C444" i="6"/>
  <c r="C439" i="6"/>
  <c r="C434" i="6"/>
  <c r="C428" i="6"/>
  <c r="C421" i="6"/>
  <c r="C410" i="6"/>
  <c r="C398" i="6"/>
  <c r="C389" i="6"/>
  <c r="C378" i="6"/>
  <c r="C366" i="6"/>
  <c r="C357" i="6"/>
  <c r="C346" i="6"/>
  <c r="C331" i="6"/>
  <c r="C319" i="6"/>
  <c r="C304" i="6"/>
  <c r="C288" i="6"/>
  <c r="C276" i="6"/>
  <c r="C262" i="6"/>
  <c r="C246" i="6"/>
  <c r="C234" i="6"/>
  <c r="C219" i="6"/>
  <c r="C203" i="6"/>
  <c r="C191" i="6"/>
  <c r="C176" i="6"/>
  <c r="C160" i="6"/>
  <c r="C148" i="6"/>
  <c r="C134" i="6"/>
  <c r="C118" i="6"/>
  <c r="C106" i="6"/>
  <c r="C91" i="6"/>
  <c r="C75" i="6"/>
  <c r="C63" i="6"/>
  <c r="C48" i="6"/>
  <c r="C32" i="6"/>
  <c r="C20" i="6"/>
  <c r="C6" i="6"/>
  <c r="C601" i="6"/>
  <c r="C597" i="6"/>
  <c r="C592" i="6"/>
  <c r="C587" i="6"/>
  <c r="C582" i="6"/>
  <c r="C576" i="6"/>
  <c r="C571" i="6"/>
  <c r="C566" i="6"/>
  <c r="C560" i="6"/>
  <c r="C555" i="6"/>
  <c r="C550" i="6"/>
  <c r="C544" i="6"/>
  <c r="C539" i="6"/>
  <c r="C534" i="6"/>
  <c r="C528" i="6"/>
  <c r="C523" i="6"/>
  <c r="C518" i="6"/>
  <c r="C512" i="6"/>
  <c r="C507" i="6"/>
  <c r="C502" i="6"/>
  <c r="C496" i="6"/>
  <c r="C491" i="6"/>
  <c r="C486" i="6"/>
  <c r="C480" i="6"/>
  <c r="C475" i="6"/>
  <c r="C470" i="6"/>
  <c r="C464" i="6"/>
  <c r="C459" i="6"/>
  <c r="C454" i="6"/>
  <c r="C448" i="6"/>
  <c r="C443" i="6"/>
  <c r="C438" i="6"/>
  <c r="C432" i="6"/>
  <c r="C427" i="6"/>
  <c r="C418" i="6"/>
  <c r="C406" i="6"/>
  <c r="C397" i="6"/>
  <c r="C386" i="6"/>
  <c r="C374" i="6"/>
  <c r="C365" i="6"/>
  <c r="C354" i="6"/>
  <c r="C342" i="6"/>
  <c r="C330" i="6"/>
  <c r="C315" i="6"/>
  <c r="C299" i="6"/>
  <c r="C287" i="6"/>
  <c r="C272" i="6"/>
  <c r="C256" i="6"/>
  <c r="C244" i="6"/>
  <c r="C230" i="6"/>
  <c r="C214" i="6"/>
  <c r="C202" i="6"/>
  <c r="C187" i="6"/>
  <c r="C171" i="6"/>
  <c r="C159" i="6"/>
  <c r="C144" i="6"/>
  <c r="C128" i="6"/>
  <c r="C116" i="6"/>
  <c r="C102" i="6"/>
  <c r="C86" i="6"/>
  <c r="C74" i="6"/>
  <c r="C59" i="6"/>
  <c r="C43" i="6"/>
  <c r="C31" i="6"/>
  <c r="C2" i="6"/>
  <c r="C5" i="6"/>
  <c r="C4" i="6"/>
  <c r="C15" i="6"/>
  <c r="C26" i="6"/>
  <c r="C36" i="6"/>
  <c r="C47" i="6"/>
  <c r="C58" i="6"/>
  <c r="C68" i="6"/>
  <c r="C79" i="6"/>
  <c r="C90" i="6"/>
  <c r="C100" i="6"/>
  <c r="C111" i="6"/>
  <c r="C122" i="6"/>
  <c r="C132" i="6"/>
  <c r="C143" i="6"/>
  <c r="C154" i="6"/>
  <c r="C164" i="6"/>
  <c r="C175" i="6"/>
  <c r="C186" i="6"/>
  <c r="C196" i="6"/>
  <c r="C207" i="6"/>
  <c r="C218" i="6"/>
  <c r="C228" i="6"/>
  <c r="C239" i="6"/>
  <c r="C250" i="6"/>
  <c r="C260" i="6"/>
  <c r="C271" i="6"/>
  <c r="C282" i="6"/>
  <c r="C292" i="6"/>
  <c r="C303" i="6"/>
  <c r="C314" i="6"/>
  <c r="C324" i="6"/>
  <c r="C335" i="6"/>
  <c r="C345" i="6"/>
  <c r="C353" i="6"/>
  <c r="C361" i="6"/>
  <c r="C369" i="6"/>
  <c r="C377" i="6"/>
  <c r="C385" i="6"/>
  <c r="C393" i="6"/>
  <c r="C401" i="6"/>
  <c r="C409" i="6"/>
  <c r="C417" i="6"/>
  <c r="C425" i="6"/>
  <c r="C429" i="6"/>
  <c r="C433" i="6"/>
  <c r="C437" i="6"/>
  <c r="C441" i="6"/>
  <c r="C445" i="6"/>
  <c r="C449" i="6"/>
  <c r="C453" i="6"/>
  <c r="C457" i="6"/>
  <c r="C461" i="6"/>
  <c r="C465" i="6"/>
  <c r="C469" i="6"/>
  <c r="C473" i="6"/>
  <c r="C477" i="6"/>
  <c r="C481" i="6"/>
  <c r="C485" i="6"/>
  <c r="C489" i="6"/>
  <c r="C493" i="6"/>
  <c r="C497" i="6"/>
  <c r="C501" i="6"/>
  <c r="C505" i="6"/>
  <c r="C509" i="6"/>
  <c r="C513" i="6"/>
  <c r="C517" i="6"/>
  <c r="C521" i="6"/>
  <c r="C525" i="6"/>
  <c r="C529" i="6"/>
  <c r="C533" i="6"/>
  <c r="C537" i="6"/>
  <c r="C541" i="6"/>
  <c r="C545" i="6"/>
  <c r="C549" i="6"/>
  <c r="C553" i="6"/>
  <c r="C557" i="6"/>
  <c r="C561" i="6"/>
  <c r="C565" i="6"/>
  <c r="C569" i="6"/>
  <c r="C573" i="6"/>
  <c r="C577" i="6"/>
  <c r="C581" i="6"/>
  <c r="C585" i="6"/>
  <c r="C589" i="6"/>
  <c r="C593" i="6"/>
  <c r="D9" i="6"/>
  <c r="C424" i="6"/>
  <c r="C420" i="6"/>
  <c r="C416" i="6"/>
  <c r="C412" i="6"/>
  <c r="C408" i="6"/>
  <c r="C404" i="6"/>
  <c r="C400" i="6"/>
  <c r="C396" i="6"/>
  <c r="C392" i="6"/>
  <c r="C388" i="6"/>
  <c r="C384" i="6"/>
  <c r="C380" i="6"/>
  <c r="C376" i="6"/>
  <c r="C372" i="6"/>
  <c r="C368" i="6"/>
  <c r="C364" i="6"/>
  <c r="C360" i="6"/>
  <c r="C356" i="6"/>
  <c r="C352" i="6"/>
  <c r="C348" i="6"/>
  <c r="C344" i="6"/>
  <c r="C339" i="6"/>
  <c r="C334" i="6"/>
  <c r="C328" i="6"/>
  <c r="C323" i="6"/>
  <c r="C318" i="6"/>
  <c r="C312" i="6"/>
  <c r="C307" i="6"/>
  <c r="C302" i="6"/>
  <c r="C296" i="6"/>
  <c r="C291" i="6"/>
  <c r="C286" i="6"/>
  <c r="C280" i="6"/>
  <c r="C275" i="6"/>
  <c r="C270" i="6"/>
  <c r="C264" i="6"/>
  <c r="C259" i="6"/>
  <c r="C254" i="6"/>
  <c r="C248" i="6"/>
  <c r="C243" i="6"/>
  <c r="C238" i="6"/>
  <c r="C232" i="6"/>
  <c r="C227" i="6"/>
  <c r="C222" i="6"/>
  <c r="C216" i="6"/>
  <c r="C211" i="6"/>
  <c r="C206" i="6"/>
  <c r="C200" i="6"/>
  <c r="C195" i="6"/>
  <c r="C190" i="6"/>
  <c r="C184" i="6"/>
  <c r="C179" i="6"/>
  <c r="C174" i="6"/>
  <c r="C168" i="6"/>
  <c r="C163" i="6"/>
  <c r="C158" i="6"/>
  <c r="C152" i="6"/>
  <c r="C147" i="6"/>
  <c r="C142" i="6"/>
  <c r="C136" i="6"/>
  <c r="C131" i="6"/>
  <c r="C126" i="6"/>
  <c r="C120" i="6"/>
  <c r="C115" i="6"/>
  <c r="C110" i="6"/>
  <c r="C104" i="6"/>
  <c r="C99" i="6"/>
  <c r="C94" i="6"/>
  <c r="C88" i="6"/>
  <c r="C83" i="6"/>
  <c r="C78" i="6"/>
  <c r="C72" i="6"/>
  <c r="C67" i="6"/>
  <c r="C62" i="6"/>
  <c r="C56" i="6"/>
  <c r="C51" i="6"/>
  <c r="C46" i="6"/>
  <c r="C40" i="6"/>
  <c r="C35" i="6"/>
  <c r="C30" i="6"/>
  <c r="C24" i="6"/>
  <c r="C19" i="6"/>
  <c r="C14" i="6"/>
  <c r="C8" i="6"/>
  <c r="C3" i="6"/>
  <c r="C423" i="6"/>
  <c r="C419" i="6"/>
  <c r="C415" i="6"/>
  <c r="C411" i="6"/>
  <c r="C407" i="6"/>
  <c r="C403" i="6"/>
  <c r="C399" i="6"/>
  <c r="C395" i="6"/>
  <c r="C391" i="6"/>
  <c r="C387" i="6"/>
  <c r="C383" i="6"/>
  <c r="C379" i="6"/>
  <c r="C375" i="6"/>
  <c r="C371" i="6"/>
  <c r="C367" i="6"/>
  <c r="C363" i="6"/>
  <c r="C359" i="6"/>
  <c r="C355" i="6"/>
  <c r="C351" i="6"/>
  <c r="C347" i="6"/>
  <c r="C343" i="6"/>
  <c r="C338" i="6"/>
  <c r="C332" i="6"/>
  <c r="C327" i="6"/>
  <c r="C322" i="6"/>
  <c r="C316" i="6"/>
  <c r="C311" i="6"/>
  <c r="C306" i="6"/>
  <c r="C300" i="6"/>
  <c r="C295" i="6"/>
  <c r="C290" i="6"/>
  <c r="C284" i="6"/>
  <c r="C279" i="6"/>
  <c r="C274" i="6"/>
  <c r="C268" i="6"/>
  <c r="C263" i="6"/>
  <c r="C258" i="6"/>
  <c r="C252" i="6"/>
  <c r="C247" i="6"/>
  <c r="C242" i="6"/>
  <c r="C236" i="6"/>
  <c r="C231" i="6"/>
  <c r="C226" i="6"/>
  <c r="C220" i="6"/>
  <c r="C215" i="6"/>
  <c r="C210" i="6"/>
  <c r="C204" i="6"/>
  <c r="C199" i="6"/>
  <c r="C194" i="6"/>
  <c r="C188" i="6"/>
  <c r="C183" i="6"/>
  <c r="C178" i="6"/>
  <c r="C172" i="6"/>
  <c r="C167" i="6"/>
  <c r="C162" i="6"/>
  <c r="C156" i="6"/>
  <c r="C151" i="6"/>
  <c r="C146" i="6"/>
  <c r="C140" i="6"/>
  <c r="C135" i="6"/>
  <c r="C130" i="6"/>
  <c r="C124" i="6"/>
  <c r="C119" i="6"/>
  <c r="C114" i="6"/>
  <c r="C108" i="6"/>
  <c r="C103" i="6"/>
  <c r="C98" i="6"/>
  <c r="C92" i="6"/>
  <c r="C87" i="6"/>
  <c r="C82" i="6"/>
  <c r="C76" i="6"/>
  <c r="C71" i="6"/>
  <c r="C66" i="6"/>
  <c r="C60" i="6"/>
  <c r="C55" i="6"/>
  <c r="C50" i="6"/>
  <c r="C44" i="6"/>
  <c r="C39" i="6"/>
  <c r="C34" i="6"/>
  <c r="C28" i="6"/>
  <c r="C23" i="6"/>
  <c r="C18" i="6"/>
  <c r="C12" i="6"/>
  <c r="C7" i="6"/>
  <c r="B2" i="6"/>
  <c r="C341" i="6"/>
  <c r="C337" i="6"/>
  <c r="C333" i="6"/>
  <c r="C329" i="6"/>
  <c r="C325" i="6"/>
  <c r="C321" i="6"/>
  <c r="C317" i="6"/>
  <c r="C313" i="6"/>
  <c r="C309" i="6"/>
  <c r="C305" i="6"/>
  <c r="C301" i="6"/>
  <c r="C297" i="6"/>
  <c r="C293" i="6"/>
  <c r="C289" i="6"/>
  <c r="C285" i="6"/>
  <c r="C281" i="6"/>
  <c r="C277" i="6"/>
  <c r="C273" i="6"/>
  <c r="C269" i="6"/>
  <c r="C265" i="6"/>
  <c r="C261" i="6"/>
  <c r="C257" i="6"/>
  <c r="C253" i="6"/>
  <c r="C249" i="6"/>
  <c r="C245" i="6"/>
  <c r="C241" i="6"/>
  <c r="C237" i="6"/>
  <c r="C233" i="6"/>
  <c r="C229" i="6"/>
  <c r="C225" i="6"/>
  <c r="C221" i="6"/>
  <c r="C217" i="6"/>
  <c r="C213" i="6"/>
  <c r="C209" i="6"/>
  <c r="C205" i="6"/>
  <c r="C201" i="6"/>
  <c r="C197" i="6"/>
  <c r="C193" i="6"/>
  <c r="C189" i="6"/>
  <c r="C185" i="6"/>
  <c r="C181" i="6"/>
  <c r="C177" i="6"/>
  <c r="C173" i="6"/>
  <c r="C169" i="6"/>
  <c r="C165" i="6"/>
  <c r="C161" i="6"/>
  <c r="C157" i="6"/>
  <c r="C153" i="6"/>
  <c r="C149" i="6"/>
  <c r="C145" i="6"/>
  <c r="C141" i="6"/>
  <c r="C137" i="6"/>
  <c r="C133" i="6"/>
  <c r="C129" i="6"/>
  <c r="C125" i="6"/>
  <c r="C121" i="6"/>
  <c r="C117" i="6"/>
  <c r="C113" i="6"/>
  <c r="C109" i="6"/>
  <c r="C105" i="6"/>
  <c r="C101" i="6"/>
  <c r="C97" i="6"/>
  <c r="C93" i="6"/>
  <c r="C89" i="6"/>
  <c r="C85" i="6"/>
  <c r="C81" i="6"/>
  <c r="C77" i="6"/>
  <c r="C73" i="6"/>
  <c r="C69" i="6"/>
  <c r="C65" i="6"/>
  <c r="C61" i="6"/>
  <c r="C57" i="6"/>
  <c r="C53" i="6"/>
  <c r="C49" i="6"/>
  <c r="C45" i="6"/>
  <c r="C41" i="6"/>
  <c r="C37" i="6"/>
  <c r="C33" i="6"/>
  <c r="C29" i="6"/>
  <c r="C25" i="6"/>
  <c r="C21" i="6"/>
  <c r="C17" i="6"/>
  <c r="C13" i="6"/>
  <c r="C9" i="6"/>
  <c r="B16" i="6"/>
  <c r="D187" i="6"/>
  <c r="B1040" i="6"/>
  <c r="B1032" i="6"/>
  <c r="B1024" i="6"/>
  <c r="B1016" i="6"/>
  <c r="B1008" i="6"/>
  <c r="B1000" i="6"/>
  <c r="B996" i="6"/>
  <c r="B988" i="6"/>
  <c r="B980" i="6"/>
  <c r="B972" i="6"/>
  <c r="B964" i="6"/>
  <c r="B960" i="6"/>
  <c r="B952" i="6"/>
  <c r="B944" i="6"/>
  <c r="B940" i="6"/>
  <c r="B932" i="6"/>
  <c r="B928" i="6"/>
  <c r="B924" i="6"/>
  <c r="B920" i="6"/>
  <c r="B916" i="6"/>
  <c r="B912" i="6"/>
  <c r="B908" i="6"/>
  <c r="B904" i="6"/>
  <c r="B900" i="6"/>
  <c r="B896" i="6"/>
  <c r="B892" i="6"/>
  <c r="B884" i="6"/>
  <c r="B880" i="6"/>
  <c r="B876" i="6"/>
  <c r="B872" i="6"/>
  <c r="B868" i="6"/>
  <c r="B864" i="6"/>
  <c r="B860" i="6"/>
  <c r="B856" i="6"/>
  <c r="B852" i="6"/>
  <c r="B848" i="6"/>
  <c r="B844" i="6"/>
  <c r="B840" i="6"/>
  <c r="B836" i="6"/>
  <c r="B832" i="6"/>
  <c r="B828" i="6"/>
  <c r="B824" i="6"/>
  <c r="B820" i="6"/>
  <c r="B816" i="6"/>
  <c r="B812" i="6"/>
  <c r="B808" i="6"/>
  <c r="B804" i="6"/>
  <c r="B800" i="6"/>
  <c r="B796" i="6"/>
  <c r="B792" i="6"/>
  <c r="B788" i="6"/>
  <c r="B784" i="6"/>
  <c r="B780" i="6"/>
  <c r="B776" i="6"/>
  <c r="B772" i="6"/>
  <c r="B768" i="6"/>
  <c r="B764" i="6"/>
  <c r="B760" i="6"/>
  <c r="B756" i="6"/>
  <c r="B752" i="6"/>
  <c r="B748" i="6"/>
  <c r="B744" i="6"/>
  <c r="B740" i="6"/>
  <c r="B736" i="6"/>
  <c r="B732" i="6"/>
  <c r="B728" i="6"/>
  <c r="B724" i="6"/>
  <c r="B720" i="6"/>
  <c r="B716" i="6"/>
  <c r="B712" i="6"/>
  <c r="B708" i="6"/>
  <c r="B704" i="6"/>
  <c r="B700" i="6"/>
  <c r="B696" i="6"/>
  <c r="B692" i="6"/>
  <c r="B688" i="6"/>
  <c r="B684" i="6"/>
  <c r="B680" i="6"/>
  <c r="B675" i="6"/>
  <c r="B670" i="6"/>
  <c r="B664" i="6"/>
  <c r="B659" i="6"/>
  <c r="B654" i="6"/>
  <c r="B648" i="6"/>
  <c r="B643" i="6"/>
  <c r="B638" i="6"/>
  <c r="B632" i="6"/>
  <c r="B627" i="6"/>
  <c r="B622" i="6"/>
  <c r="B616" i="6"/>
  <c r="B611" i="6"/>
  <c r="B606" i="6"/>
  <c r="B600" i="6"/>
  <c r="B594" i="6"/>
  <c r="B586" i="6"/>
  <c r="B578" i="6"/>
  <c r="B570" i="6"/>
  <c r="B562" i="6"/>
  <c r="B554" i="6"/>
  <c r="B546" i="6"/>
  <c r="B538" i="6"/>
  <c r="B530" i="6"/>
  <c r="B522" i="6"/>
  <c r="B514" i="6"/>
  <c r="B506" i="6"/>
  <c r="B498" i="6"/>
  <c r="B490" i="6"/>
  <c r="B482" i="6"/>
  <c r="B474" i="6"/>
  <c r="B466" i="6"/>
  <c r="B458" i="6"/>
  <c r="B450" i="6"/>
  <c r="B442" i="6"/>
  <c r="B434" i="6"/>
  <c r="B425" i="6"/>
  <c r="B409" i="6"/>
  <c r="B393" i="6"/>
  <c r="B377" i="6"/>
  <c r="B361" i="6"/>
  <c r="B345" i="6"/>
  <c r="B325" i="6"/>
  <c r="B304" i="6"/>
  <c r="B282" i="6"/>
  <c r="B261" i="6"/>
  <c r="B240" i="6"/>
  <c r="B218" i="6"/>
  <c r="B197" i="6"/>
  <c r="B176" i="6"/>
  <c r="B154" i="6"/>
  <c r="B133" i="6"/>
  <c r="B112" i="6"/>
  <c r="B90" i="6"/>
  <c r="B69" i="6"/>
  <c r="B48" i="6"/>
  <c r="B26" i="6"/>
  <c r="D1031" i="6"/>
  <c r="D1007" i="6"/>
  <c r="D977" i="6"/>
  <c r="D949" i="6"/>
  <c r="D916" i="6"/>
  <c r="D877" i="6"/>
  <c r="D840" i="6"/>
  <c r="D802" i="6"/>
  <c r="D764" i="6"/>
  <c r="D726" i="6"/>
  <c r="D689" i="6"/>
  <c r="D649" i="6"/>
  <c r="D612" i="6"/>
  <c r="D574" i="6"/>
  <c r="D536" i="6"/>
  <c r="D498" i="6"/>
  <c r="D461" i="6"/>
  <c r="D377" i="6"/>
  <c r="D240" i="6"/>
  <c r="D91" i="6"/>
  <c r="B827" i="6"/>
  <c r="B819" i="6"/>
  <c r="B807" i="6"/>
  <c r="B799" i="6"/>
  <c r="B791" i="6"/>
  <c r="B783" i="6"/>
  <c r="B771" i="6"/>
  <c r="B763" i="6"/>
  <c r="B755" i="6"/>
  <c r="B743" i="6"/>
  <c r="B719" i="6"/>
  <c r="B551" i="6"/>
  <c r="D969" i="6"/>
  <c r="D37" i="6"/>
  <c r="B1046" i="6"/>
  <c r="B1042" i="6"/>
  <c r="B1038" i="6"/>
  <c r="B1034" i="6"/>
  <c r="B1030" i="6"/>
  <c r="B1026" i="6"/>
  <c r="B1022" i="6"/>
  <c r="B1018" i="6"/>
  <c r="B1014" i="6"/>
  <c r="B1010" i="6"/>
  <c r="B1006" i="6"/>
  <c r="B1002" i="6"/>
  <c r="B998" i="6"/>
  <c r="B994" i="6"/>
  <c r="B990" i="6"/>
  <c r="B986" i="6"/>
  <c r="B982" i="6"/>
  <c r="B978" i="6"/>
  <c r="B974" i="6"/>
  <c r="B970" i="6"/>
  <c r="B966" i="6"/>
  <c r="B962" i="6"/>
  <c r="B958" i="6"/>
  <c r="B954" i="6"/>
  <c r="B950" i="6"/>
  <c r="B946" i="6"/>
  <c r="B942" i="6"/>
  <c r="B938" i="6"/>
  <c r="B934" i="6"/>
  <c r="B930" i="6"/>
  <c r="B926" i="6"/>
  <c r="B922" i="6"/>
  <c r="B918" i="6"/>
  <c r="B914" i="6"/>
  <c r="B910" i="6"/>
  <c r="B906" i="6"/>
  <c r="B902" i="6"/>
  <c r="B898" i="6"/>
  <c r="B894" i="6"/>
  <c r="B890" i="6"/>
  <c r="B886" i="6"/>
  <c r="B882" i="6"/>
  <c r="B878" i="6"/>
  <c r="B874" i="6"/>
  <c r="B870" i="6"/>
  <c r="B866" i="6"/>
  <c r="B862" i="6"/>
  <c r="B858" i="6"/>
  <c r="B854" i="6"/>
  <c r="B850" i="6"/>
  <c r="B846" i="6"/>
  <c r="B842" i="6"/>
  <c r="B838" i="6"/>
  <c r="B834" i="6"/>
  <c r="B830" i="6"/>
  <c r="B826" i="6"/>
  <c r="B822" i="6"/>
  <c r="B818" i="6"/>
  <c r="B814" i="6"/>
  <c r="B810" i="6"/>
  <c r="B806" i="6"/>
  <c r="B802" i="6"/>
  <c r="B798" i="6"/>
  <c r="B794" i="6"/>
  <c r="B790" i="6"/>
  <c r="B786" i="6"/>
  <c r="B782" i="6"/>
  <c r="B778" i="6"/>
  <c r="B774" i="6"/>
  <c r="B770" i="6"/>
  <c r="B766" i="6"/>
  <c r="B762" i="6"/>
  <c r="B758" i="6"/>
  <c r="B754" i="6"/>
  <c r="B750" i="6"/>
  <c r="B746" i="6"/>
  <c r="B742" i="6"/>
  <c r="B738" i="6"/>
  <c r="B734" i="6"/>
  <c r="B730" i="6"/>
  <c r="B726" i="6"/>
  <c r="B722" i="6"/>
  <c r="B718" i="6"/>
  <c r="B714" i="6"/>
  <c r="B710" i="6"/>
  <c r="B706" i="6"/>
  <c r="B702" i="6"/>
  <c r="B698" i="6"/>
  <c r="B694" i="6"/>
  <c r="B690" i="6"/>
  <c r="B686" i="6"/>
  <c r="B682" i="6"/>
  <c r="B678" i="6"/>
  <c r="B672" i="6"/>
  <c r="B667" i="6"/>
  <c r="B662" i="6"/>
  <c r="B656" i="6"/>
  <c r="B651" i="6"/>
  <c r="B646" i="6"/>
  <c r="B640" i="6"/>
  <c r="B635" i="6"/>
  <c r="B630" i="6"/>
  <c r="B624" i="6"/>
  <c r="B619" i="6"/>
  <c r="B614" i="6"/>
  <c r="B608" i="6"/>
  <c r="B603" i="6"/>
  <c r="B598" i="6"/>
  <c r="B590" i="6"/>
  <c r="B582" i="6"/>
  <c r="B574" i="6"/>
  <c r="B566" i="6"/>
  <c r="B558" i="6"/>
  <c r="B550" i="6"/>
  <c r="B542" i="6"/>
  <c r="B534" i="6"/>
  <c r="B526" i="6"/>
  <c r="B518" i="6"/>
  <c r="B510" i="6"/>
  <c r="B502" i="6"/>
  <c r="B494" i="6"/>
  <c r="B486" i="6"/>
  <c r="B478" i="6"/>
  <c r="B470" i="6"/>
  <c r="B462" i="6"/>
  <c r="B454" i="6"/>
  <c r="B446" i="6"/>
  <c r="B438" i="6"/>
  <c r="B430" i="6"/>
  <c r="B417" i="6"/>
  <c r="B401" i="6"/>
  <c r="B385" i="6"/>
  <c r="B369" i="6"/>
  <c r="B353" i="6"/>
  <c r="B336" i="6"/>
  <c r="B314" i="6"/>
  <c r="B293" i="6"/>
  <c r="B272" i="6"/>
  <c r="B250" i="6"/>
  <c r="B229" i="6"/>
  <c r="B208" i="6"/>
  <c r="B186" i="6"/>
  <c r="B165" i="6"/>
  <c r="B144" i="6"/>
  <c r="B122" i="6"/>
  <c r="B101" i="6"/>
  <c r="B80" i="6"/>
  <c r="B58" i="6"/>
  <c r="B37" i="6"/>
  <c r="D1040" i="6"/>
  <c r="D1020" i="6"/>
  <c r="D992" i="6"/>
  <c r="D964" i="6"/>
  <c r="D934" i="6"/>
  <c r="D897" i="6"/>
  <c r="D860" i="6"/>
  <c r="D820" i="6"/>
  <c r="D782" i="6"/>
  <c r="D745" i="6"/>
  <c r="D706" i="6"/>
  <c r="D669" i="6"/>
  <c r="D632" i="6"/>
  <c r="D593" i="6"/>
  <c r="D556" i="6"/>
  <c r="D518" i="6"/>
  <c r="D478" i="6"/>
  <c r="D431" i="6"/>
  <c r="D315" i="6"/>
  <c r="D159" i="6"/>
  <c r="B10" i="6"/>
  <c r="B21" i="6"/>
  <c r="B32" i="6"/>
  <c r="B42" i="6"/>
  <c r="B53" i="6"/>
  <c r="B64" i="6"/>
  <c r="B74" i="6"/>
  <c r="B85" i="6"/>
  <c r="B96" i="6"/>
  <c r="B106" i="6"/>
  <c r="B117" i="6"/>
  <c r="B128" i="6"/>
  <c r="B138" i="6"/>
  <c r="B149" i="6"/>
  <c r="B160" i="6"/>
  <c r="B170" i="6"/>
  <c r="B181" i="6"/>
  <c r="B192" i="6"/>
  <c r="B202" i="6"/>
  <c r="B213" i="6"/>
  <c r="B224" i="6"/>
  <c r="B234" i="6"/>
  <c r="B245" i="6"/>
  <c r="B256" i="6"/>
  <c r="B266" i="6"/>
  <c r="B277" i="6"/>
  <c r="B288" i="6"/>
  <c r="B298" i="6"/>
  <c r="B309" i="6"/>
  <c r="B320" i="6"/>
  <c r="B330" i="6"/>
  <c r="B341" i="6"/>
  <c r="B349" i="6"/>
  <c r="B357" i="6"/>
  <c r="B365" i="6"/>
  <c r="B373" i="6"/>
  <c r="B381" i="6"/>
  <c r="B389" i="6"/>
  <c r="B397" i="6"/>
  <c r="B405" i="6"/>
  <c r="B413" i="6"/>
  <c r="B421" i="6"/>
  <c r="B428" i="6"/>
  <c r="B432" i="6"/>
  <c r="B436" i="6"/>
  <c r="B440" i="6"/>
  <c r="B444" i="6"/>
  <c r="B448" i="6"/>
  <c r="B452" i="6"/>
  <c r="B456" i="6"/>
  <c r="B460" i="6"/>
  <c r="B464" i="6"/>
  <c r="B468" i="6"/>
  <c r="B472" i="6"/>
  <c r="B476" i="6"/>
  <c r="B480" i="6"/>
  <c r="B484" i="6"/>
  <c r="B488" i="6"/>
  <c r="B492" i="6"/>
  <c r="B496" i="6"/>
  <c r="B500" i="6"/>
  <c r="B504" i="6"/>
  <c r="B508" i="6"/>
  <c r="B512" i="6"/>
  <c r="B516" i="6"/>
  <c r="B520" i="6"/>
  <c r="B524" i="6"/>
  <c r="B528" i="6"/>
  <c r="B532" i="6"/>
  <c r="B536" i="6"/>
  <c r="B540" i="6"/>
  <c r="B544" i="6"/>
  <c r="B548" i="6"/>
  <c r="B552" i="6"/>
  <c r="B556" i="6"/>
  <c r="B560" i="6"/>
  <c r="B564" i="6"/>
  <c r="B568" i="6"/>
  <c r="B572" i="6"/>
  <c r="B576" i="6"/>
  <c r="B580" i="6"/>
  <c r="B584" i="6"/>
  <c r="B588" i="6"/>
  <c r="B592" i="6"/>
  <c r="B596" i="6"/>
  <c r="B14" i="6"/>
  <c r="B25" i="6"/>
  <c r="B36" i="6"/>
  <c r="B46" i="6"/>
  <c r="B57" i="6"/>
  <c r="B68" i="6"/>
  <c r="B78" i="6"/>
  <c r="B89" i="6"/>
  <c r="B100" i="6"/>
  <c r="B110" i="6"/>
  <c r="B121" i="6"/>
  <c r="B132" i="6"/>
  <c r="B142" i="6"/>
  <c r="B153" i="6"/>
  <c r="B164" i="6"/>
  <c r="B174" i="6"/>
  <c r="B185" i="6"/>
  <c r="B196" i="6"/>
  <c r="B206" i="6"/>
  <c r="B217" i="6"/>
  <c r="B228" i="6"/>
  <c r="B238" i="6"/>
  <c r="B249" i="6"/>
  <c r="B260" i="6"/>
  <c r="B270" i="6"/>
  <c r="B281" i="6"/>
  <c r="B292" i="6"/>
  <c r="B302" i="6"/>
  <c r="B313" i="6"/>
  <c r="B324" i="6"/>
  <c r="B334" i="6"/>
  <c r="B344" i="6"/>
  <c r="B352" i="6"/>
  <c r="B360" i="6"/>
  <c r="B368" i="6"/>
  <c r="B376" i="6"/>
  <c r="B384" i="6"/>
  <c r="B392" i="6"/>
  <c r="B400" i="6"/>
  <c r="B408" i="6"/>
  <c r="B416" i="6"/>
  <c r="B424" i="6"/>
  <c r="B429" i="6"/>
  <c r="B433" i="6"/>
  <c r="B437" i="6"/>
  <c r="B441" i="6"/>
  <c r="B445" i="6"/>
  <c r="B449" i="6"/>
  <c r="B453" i="6"/>
  <c r="B457" i="6"/>
  <c r="B461" i="6"/>
  <c r="B465" i="6"/>
  <c r="B469" i="6"/>
  <c r="B473" i="6"/>
  <c r="B477" i="6"/>
  <c r="B481" i="6"/>
  <c r="B485" i="6"/>
  <c r="B489" i="6"/>
  <c r="B493" i="6"/>
  <c r="B497" i="6"/>
  <c r="B501" i="6"/>
  <c r="B505" i="6"/>
  <c r="B509" i="6"/>
  <c r="B513" i="6"/>
  <c r="B517" i="6"/>
  <c r="B521" i="6"/>
  <c r="B525" i="6"/>
  <c r="B529" i="6"/>
  <c r="B533" i="6"/>
  <c r="B537" i="6"/>
  <c r="B541" i="6"/>
  <c r="B545" i="6"/>
  <c r="B549" i="6"/>
  <c r="B553" i="6"/>
  <c r="B557" i="6"/>
  <c r="B561" i="6"/>
  <c r="B565" i="6"/>
  <c r="B569" i="6"/>
  <c r="B573" i="6"/>
  <c r="B577" i="6"/>
  <c r="B581" i="6"/>
  <c r="B585" i="6"/>
  <c r="B589" i="6"/>
  <c r="B593" i="6"/>
  <c r="B597" i="6"/>
  <c r="B601" i="6"/>
  <c r="B605" i="6"/>
  <c r="B609" i="6"/>
  <c r="B613" i="6"/>
  <c r="B617" i="6"/>
  <c r="B621" i="6"/>
  <c r="B625" i="6"/>
  <c r="B629" i="6"/>
  <c r="B633" i="6"/>
  <c r="B637" i="6"/>
  <c r="B641" i="6"/>
  <c r="B645" i="6"/>
  <c r="B649" i="6"/>
  <c r="B653" i="6"/>
  <c r="B657" i="6"/>
  <c r="B661" i="6"/>
  <c r="B665" i="6"/>
  <c r="B669" i="6"/>
  <c r="B673" i="6"/>
  <c r="B677" i="6"/>
  <c r="B1044" i="6"/>
  <c r="B1036" i="6"/>
  <c r="B1028" i="6"/>
  <c r="B1020" i="6"/>
  <c r="B1012" i="6"/>
  <c r="B1004" i="6"/>
  <c r="B992" i="6"/>
  <c r="B984" i="6"/>
  <c r="B976" i="6"/>
  <c r="B968" i="6"/>
  <c r="B956" i="6"/>
  <c r="B948" i="6"/>
  <c r="B936" i="6"/>
  <c r="B888" i="6"/>
  <c r="B1043" i="6"/>
  <c r="B1039" i="6"/>
  <c r="B1035" i="6"/>
  <c r="B1031" i="6"/>
  <c r="B1027" i="6"/>
  <c r="B1023" i="6"/>
  <c r="B1019" i="6"/>
  <c r="B1015" i="6"/>
  <c r="B1011" i="6"/>
  <c r="B1007" i="6"/>
  <c r="B1003" i="6"/>
  <c r="B999" i="6"/>
  <c r="B995" i="6"/>
  <c r="B991" i="6"/>
  <c r="B987" i="6"/>
  <c r="B983" i="6"/>
  <c r="B979" i="6"/>
  <c r="B975" i="6"/>
  <c r="B971" i="6"/>
  <c r="B967" i="6"/>
  <c r="B963" i="6"/>
  <c r="B959" i="6"/>
  <c r="B955" i="6"/>
  <c r="B951" i="6"/>
  <c r="B947" i="6"/>
  <c r="B943" i="6"/>
  <c r="B939" i="6"/>
  <c r="B935" i="6"/>
  <c r="B931" i="6"/>
  <c r="B927" i="6"/>
  <c r="B923" i="6"/>
  <c r="B919" i="6"/>
  <c r="B915" i="6"/>
  <c r="B911" i="6"/>
  <c r="B907" i="6"/>
  <c r="B903" i="6"/>
  <c r="B899" i="6"/>
  <c r="B895" i="6"/>
  <c r="B891" i="6"/>
  <c r="B887" i="6"/>
  <c r="B883" i="6"/>
  <c r="B879" i="6"/>
  <c r="B875" i="6"/>
  <c r="B871" i="6"/>
  <c r="B867" i="6"/>
  <c r="B863" i="6"/>
  <c r="B859" i="6"/>
  <c r="B855" i="6"/>
  <c r="B851" i="6"/>
  <c r="B847" i="6"/>
  <c r="B843" i="6"/>
  <c r="B839" i="6"/>
  <c r="B835" i="6"/>
  <c r="B831" i="6"/>
  <c r="B823" i="6"/>
  <c r="B815" i="6"/>
  <c r="B811" i="6"/>
  <c r="B803" i="6"/>
  <c r="B795" i="6"/>
  <c r="B787" i="6"/>
  <c r="B779" i="6"/>
  <c r="B775" i="6"/>
  <c r="B767" i="6"/>
  <c r="B759" i="6"/>
  <c r="B751" i="6"/>
  <c r="B747" i="6"/>
  <c r="B739" i="6"/>
  <c r="B735" i="6"/>
  <c r="B731" i="6"/>
  <c r="B727" i="6"/>
  <c r="B723" i="6"/>
  <c r="B715" i="6"/>
  <c r="B711" i="6"/>
  <c r="B707" i="6"/>
  <c r="B703" i="6"/>
  <c r="B699" i="6"/>
  <c r="B695" i="6"/>
  <c r="B691" i="6"/>
  <c r="B687" i="6"/>
  <c r="B683" i="6"/>
  <c r="B679" i="6"/>
  <c r="B674" i="6"/>
  <c r="B668" i="6"/>
  <c r="B663" i="6"/>
  <c r="B658" i="6"/>
  <c r="B652" i="6"/>
  <c r="B647" i="6"/>
  <c r="B642" i="6"/>
  <c r="B636" i="6"/>
  <c r="B631" i="6"/>
  <c r="B626" i="6"/>
  <c r="B620" i="6"/>
  <c r="B615" i="6"/>
  <c r="B610" i="6"/>
  <c r="B604" i="6"/>
  <c r="B599" i="6"/>
  <c r="B591" i="6"/>
  <c r="B583" i="6"/>
  <c r="B575" i="6"/>
  <c r="B567" i="6"/>
  <c r="B559" i="6"/>
  <c r="B543" i="6"/>
  <c r="B535" i="6"/>
  <c r="B527" i="6"/>
  <c r="B519" i="6"/>
  <c r="B511" i="6"/>
  <c r="B503" i="6"/>
  <c r="B495" i="6"/>
  <c r="B487" i="6"/>
  <c r="B479" i="6"/>
  <c r="B471" i="6"/>
  <c r="B463" i="6"/>
  <c r="B455" i="6"/>
  <c r="B447" i="6"/>
  <c r="B439" i="6"/>
  <c r="B431" i="6"/>
  <c r="B420" i="6"/>
  <c r="B404" i="6"/>
  <c r="B388" i="6"/>
  <c r="B372" i="6"/>
  <c r="B356" i="6"/>
  <c r="B340" i="6"/>
  <c r="B318" i="6"/>
  <c r="B297" i="6"/>
  <c r="B276" i="6"/>
  <c r="B254" i="6"/>
  <c r="B233" i="6"/>
  <c r="B212" i="6"/>
  <c r="B190" i="6"/>
  <c r="B169" i="6"/>
  <c r="B148" i="6"/>
  <c r="B126" i="6"/>
  <c r="B105" i="6"/>
  <c r="B84" i="6"/>
  <c r="B62" i="6"/>
  <c r="B41" i="6"/>
  <c r="B20" i="6"/>
  <c r="D1041" i="6"/>
  <c r="D1024" i="6"/>
  <c r="D997" i="6"/>
  <c r="D940" i="6"/>
  <c r="D904" i="6"/>
  <c r="D866" i="6"/>
  <c r="D828" i="6"/>
  <c r="D790" i="6"/>
  <c r="D753" i="6"/>
  <c r="D713" i="6"/>
  <c r="D676" i="6"/>
  <c r="D638" i="6"/>
  <c r="D600" i="6"/>
  <c r="D562" i="6"/>
  <c r="D525" i="6"/>
  <c r="D486" i="6"/>
  <c r="D444" i="6"/>
  <c r="D345" i="6"/>
  <c r="D6" i="6"/>
  <c r="D10" i="6"/>
  <c r="D14" i="6"/>
  <c r="D18" i="6"/>
  <c r="D22" i="6"/>
  <c r="D26" i="6"/>
  <c r="D30" i="6"/>
  <c r="D34" i="6"/>
  <c r="D38" i="6"/>
  <c r="D42" i="6"/>
  <c r="D46" i="6"/>
  <c r="D50" i="6"/>
  <c r="D54" i="6"/>
  <c r="D58" i="6"/>
  <c r="D62" i="6"/>
  <c r="D66" i="6"/>
  <c r="D70" i="6"/>
  <c r="D74" i="6"/>
  <c r="D78" i="6"/>
  <c r="D82" i="6"/>
  <c r="D86" i="6"/>
  <c r="D90" i="6"/>
  <c r="D94" i="6"/>
  <c r="D98" i="6"/>
  <c r="D102" i="6"/>
  <c r="D106" i="6"/>
  <c r="D110" i="6"/>
  <c r="D114" i="6"/>
  <c r="D118" i="6"/>
  <c r="D122" i="6"/>
  <c r="D126" i="6"/>
  <c r="D130" i="6"/>
  <c r="D134" i="6"/>
  <c r="D138" i="6"/>
  <c r="D142" i="6"/>
  <c r="D146" i="6"/>
  <c r="D150" i="6"/>
  <c r="D154" i="6"/>
  <c r="D158" i="6"/>
  <c r="D162" i="6"/>
  <c r="D166" i="6"/>
  <c r="D170" i="6"/>
  <c r="D174" i="6"/>
  <c r="D178" i="6"/>
  <c r="D182" i="6"/>
  <c r="D186" i="6"/>
  <c r="D190" i="6"/>
  <c r="D194" i="6"/>
  <c r="D198" i="6"/>
  <c r="D202" i="6"/>
  <c r="D206" i="6"/>
  <c r="D210" i="6"/>
  <c r="D214" i="6"/>
  <c r="D218" i="6"/>
  <c r="D222" i="6"/>
  <c r="D226" i="6"/>
  <c r="D230" i="6"/>
  <c r="D234" i="6"/>
  <c r="D238" i="6"/>
  <c r="D242" i="6"/>
  <c r="D246" i="6"/>
  <c r="D250" i="6"/>
  <c r="D254" i="6"/>
  <c r="D258" i="6"/>
  <c r="D262" i="6"/>
  <c r="D266" i="6"/>
  <c r="D270" i="6"/>
  <c r="D274" i="6"/>
  <c r="D278" i="6"/>
  <c r="D282" i="6"/>
  <c r="D286" i="6"/>
  <c r="D290" i="6"/>
  <c r="D294" i="6"/>
  <c r="D298" i="6"/>
  <c r="D302" i="6"/>
  <c r="D306" i="6"/>
  <c r="D310" i="6"/>
  <c r="D314" i="6"/>
  <c r="D318" i="6"/>
  <c r="D322" i="6"/>
  <c r="D326" i="6"/>
  <c r="D330" i="6"/>
  <c r="D334" i="6"/>
  <c r="D338" i="6"/>
  <c r="D7" i="6"/>
  <c r="D12" i="6"/>
  <c r="D17" i="6"/>
  <c r="D23" i="6"/>
  <c r="D28" i="6"/>
  <c r="D33" i="6"/>
  <c r="D39" i="6"/>
  <c r="D44" i="6"/>
  <c r="D49" i="6"/>
  <c r="D55" i="6"/>
  <c r="D60" i="6"/>
  <c r="D65" i="6"/>
  <c r="D71" i="6"/>
  <c r="D76" i="6"/>
  <c r="D81" i="6"/>
  <c r="D87" i="6"/>
  <c r="D92" i="6"/>
  <c r="D97" i="6"/>
  <c r="D103" i="6"/>
  <c r="D108" i="6"/>
  <c r="D113" i="6"/>
  <c r="D119" i="6"/>
  <c r="D124" i="6"/>
  <c r="D129" i="6"/>
  <c r="D135" i="6"/>
  <c r="D140" i="6"/>
  <c r="D145" i="6"/>
  <c r="D151" i="6"/>
  <c r="D156" i="6"/>
  <c r="D161" i="6"/>
  <c r="D167" i="6"/>
  <c r="D172" i="6"/>
  <c r="D177" i="6"/>
  <c r="D183" i="6"/>
  <c r="D188" i="6"/>
  <c r="D193" i="6"/>
  <c r="D199" i="6"/>
  <c r="D204" i="6"/>
  <c r="D209" i="6"/>
  <c r="D215" i="6"/>
  <c r="D220" i="6"/>
  <c r="D225" i="6"/>
  <c r="D231" i="6"/>
  <c r="D236" i="6"/>
  <c r="D241" i="6"/>
  <c r="D247" i="6"/>
  <c r="D252" i="6"/>
  <c r="D257" i="6"/>
  <c r="D263" i="6"/>
  <c r="D268" i="6"/>
  <c r="D273" i="6"/>
  <c r="D279" i="6"/>
  <c r="D284" i="6"/>
  <c r="D289" i="6"/>
  <c r="D295" i="6"/>
  <c r="D300" i="6"/>
  <c r="D305" i="6"/>
  <c r="D311" i="6"/>
  <c r="D316" i="6"/>
  <c r="D321" i="6"/>
  <c r="D327" i="6"/>
  <c r="D332" i="6"/>
  <c r="D337" i="6"/>
  <c r="D342" i="6"/>
  <c r="D346" i="6"/>
  <c r="D350" i="6"/>
  <c r="D354" i="6"/>
  <c r="D358" i="6"/>
  <c r="D362" i="6"/>
  <c r="D366" i="6"/>
  <c r="D370" i="6"/>
  <c r="D374" i="6"/>
  <c r="D378" i="6"/>
  <c r="D382" i="6"/>
  <c r="D386" i="6"/>
  <c r="D390" i="6"/>
  <c r="D394" i="6"/>
  <c r="D398" i="6"/>
  <c r="D402" i="6"/>
  <c r="D406" i="6"/>
  <c r="D410" i="6"/>
  <c r="D414" i="6"/>
  <c r="D418" i="6"/>
  <c r="D422" i="6"/>
  <c r="D426" i="6"/>
  <c r="D430" i="6"/>
  <c r="D434" i="6"/>
  <c r="D3" i="6"/>
  <c r="D8" i="6"/>
  <c r="D13" i="6"/>
  <c r="D19" i="6"/>
  <c r="D24" i="6"/>
  <c r="D29" i="6"/>
  <c r="D35" i="6"/>
  <c r="D40" i="6"/>
  <c r="D45" i="6"/>
  <c r="D51" i="6"/>
  <c r="D56" i="6"/>
  <c r="D61" i="6"/>
  <c r="D67" i="6"/>
  <c r="D72" i="6"/>
  <c r="D77" i="6"/>
  <c r="D83" i="6"/>
  <c r="D88" i="6"/>
  <c r="D93" i="6"/>
  <c r="D99" i="6"/>
  <c r="D104" i="6"/>
  <c r="D109" i="6"/>
  <c r="D115" i="6"/>
  <c r="D120" i="6"/>
  <c r="D125" i="6"/>
  <c r="D131" i="6"/>
  <c r="D136" i="6"/>
  <c r="D141" i="6"/>
  <c r="D147" i="6"/>
  <c r="D152" i="6"/>
  <c r="D157" i="6"/>
  <c r="D163" i="6"/>
  <c r="D168" i="6"/>
  <c r="D173" i="6"/>
  <c r="D179" i="6"/>
  <c r="D184" i="6"/>
  <c r="D189" i="6"/>
  <c r="D195" i="6"/>
  <c r="D200" i="6"/>
  <c r="D205" i="6"/>
  <c r="D211" i="6"/>
  <c r="D216" i="6"/>
  <c r="D221" i="6"/>
  <c r="D227" i="6"/>
  <c r="D232" i="6"/>
  <c r="D237" i="6"/>
  <c r="D243" i="6"/>
  <c r="D248" i="6"/>
  <c r="D253" i="6"/>
  <c r="D259" i="6"/>
  <c r="D264" i="6"/>
  <c r="D269" i="6"/>
  <c r="D275" i="6"/>
  <c r="D280" i="6"/>
  <c r="D285" i="6"/>
  <c r="D291" i="6"/>
  <c r="D296" i="6"/>
  <c r="D301" i="6"/>
  <c r="D307" i="6"/>
  <c r="D312" i="6"/>
  <c r="D317" i="6"/>
  <c r="D323" i="6"/>
  <c r="D328" i="6"/>
  <c r="D333" i="6"/>
  <c r="D339" i="6"/>
  <c r="D343" i="6"/>
  <c r="D347" i="6"/>
  <c r="D351" i="6"/>
  <c r="D355" i="6"/>
  <c r="D359" i="6"/>
  <c r="D363" i="6"/>
  <c r="D367" i="6"/>
  <c r="D371" i="6"/>
  <c r="D375" i="6"/>
  <c r="D379" i="6"/>
  <c r="D383" i="6"/>
  <c r="D387" i="6"/>
  <c r="D391" i="6"/>
  <c r="D395" i="6"/>
  <c r="D399" i="6"/>
  <c r="D403" i="6"/>
  <c r="D407" i="6"/>
  <c r="D411" i="6"/>
  <c r="D415" i="6"/>
  <c r="D419" i="6"/>
  <c r="D423" i="6"/>
  <c r="D11" i="6"/>
  <c r="D21" i="6"/>
  <c r="D32" i="6"/>
  <c r="D43" i="6"/>
  <c r="D53" i="6"/>
  <c r="D64" i="6"/>
  <c r="D75" i="6"/>
  <c r="D85" i="6"/>
  <c r="D96" i="6"/>
  <c r="D107" i="6"/>
  <c r="D117" i="6"/>
  <c r="D128" i="6"/>
  <c r="D139" i="6"/>
  <c r="D149" i="6"/>
  <c r="D160" i="6"/>
  <c r="D171" i="6"/>
  <c r="D181" i="6"/>
  <c r="D192" i="6"/>
  <c r="D203" i="6"/>
  <c r="D213" i="6"/>
  <c r="D224" i="6"/>
  <c r="D235" i="6"/>
  <c r="D245" i="6"/>
  <c r="D256" i="6"/>
  <c r="D267" i="6"/>
  <c r="D277" i="6"/>
  <c r="D288" i="6"/>
  <c r="D299" i="6"/>
  <c r="D309" i="6"/>
  <c r="D320" i="6"/>
  <c r="D331" i="6"/>
  <c r="D341" i="6"/>
  <c r="D349" i="6"/>
  <c r="D357" i="6"/>
  <c r="D365" i="6"/>
  <c r="D373" i="6"/>
  <c r="D381" i="6"/>
  <c r="D389" i="6"/>
  <c r="D397" i="6"/>
  <c r="D405" i="6"/>
  <c r="D413" i="6"/>
  <c r="D421" i="6"/>
  <c r="D428" i="6"/>
  <c r="D433" i="6"/>
  <c r="D438" i="6"/>
  <c r="D442" i="6"/>
  <c r="D446" i="6"/>
  <c r="D450" i="6"/>
  <c r="D454" i="6"/>
  <c r="D458" i="6"/>
  <c r="D4" i="6"/>
  <c r="D15" i="6"/>
  <c r="D25" i="6"/>
  <c r="D36" i="6"/>
  <c r="D47" i="6"/>
  <c r="D57" i="6"/>
  <c r="D68" i="6"/>
  <c r="D79" i="6"/>
  <c r="D89" i="6"/>
  <c r="D100" i="6"/>
  <c r="D111" i="6"/>
  <c r="D121" i="6"/>
  <c r="D132" i="6"/>
  <c r="D143" i="6"/>
  <c r="D153" i="6"/>
  <c r="D164" i="6"/>
  <c r="D175" i="6"/>
  <c r="D185" i="6"/>
  <c r="D196" i="6"/>
  <c r="D207" i="6"/>
  <c r="D217" i="6"/>
  <c r="D228" i="6"/>
  <c r="D239" i="6"/>
  <c r="D249" i="6"/>
  <c r="D260" i="6"/>
  <c r="D271" i="6"/>
  <c r="D281" i="6"/>
  <c r="D292" i="6"/>
  <c r="D303" i="6"/>
  <c r="D313" i="6"/>
  <c r="D324" i="6"/>
  <c r="D335" i="6"/>
  <c r="D344" i="6"/>
  <c r="D352" i="6"/>
  <c r="D360" i="6"/>
  <c r="D368" i="6"/>
  <c r="D376" i="6"/>
  <c r="D384" i="6"/>
  <c r="D392" i="6"/>
  <c r="D400" i="6"/>
  <c r="D408" i="6"/>
  <c r="D416" i="6"/>
  <c r="D424" i="6"/>
  <c r="D429" i="6"/>
  <c r="D435" i="6"/>
  <c r="D439" i="6"/>
  <c r="D443" i="6"/>
  <c r="D447" i="6"/>
  <c r="D451" i="6"/>
  <c r="D455" i="6"/>
  <c r="D459" i="6"/>
  <c r="D463" i="6"/>
  <c r="D467" i="6"/>
  <c r="D471" i="6"/>
  <c r="D475" i="6"/>
  <c r="D479" i="6"/>
  <c r="D483" i="6"/>
  <c r="D487" i="6"/>
  <c r="D491" i="6"/>
  <c r="D495" i="6"/>
  <c r="D499" i="6"/>
  <c r="D503" i="6"/>
  <c r="D507" i="6"/>
  <c r="D511" i="6"/>
  <c r="D515" i="6"/>
  <c r="D519" i="6"/>
  <c r="D523" i="6"/>
  <c r="D527" i="6"/>
  <c r="D531" i="6"/>
  <c r="D535" i="6"/>
  <c r="D539" i="6"/>
  <c r="D543" i="6"/>
  <c r="D547" i="6"/>
  <c r="D551" i="6"/>
  <c r="D555" i="6"/>
  <c r="D559" i="6"/>
  <c r="D563" i="6"/>
  <c r="D567" i="6"/>
  <c r="D571" i="6"/>
  <c r="D575" i="6"/>
  <c r="D579" i="6"/>
  <c r="D583" i="6"/>
  <c r="D587" i="6"/>
  <c r="D591" i="6"/>
  <c r="D595" i="6"/>
  <c r="D599" i="6"/>
  <c r="D603" i="6"/>
  <c r="D607" i="6"/>
  <c r="D611" i="6"/>
  <c r="D615" i="6"/>
  <c r="D619" i="6"/>
  <c r="D623" i="6"/>
  <c r="D627" i="6"/>
  <c r="D631" i="6"/>
  <c r="D635" i="6"/>
  <c r="D639" i="6"/>
  <c r="D643" i="6"/>
  <c r="D647" i="6"/>
  <c r="D651" i="6"/>
  <c r="D655" i="6"/>
  <c r="D659" i="6"/>
  <c r="D663" i="6"/>
  <c r="D667" i="6"/>
  <c r="D671" i="6"/>
  <c r="D675" i="6"/>
  <c r="D679" i="6"/>
  <c r="D683" i="6"/>
  <c r="D687" i="6"/>
  <c r="D691" i="6"/>
  <c r="D695" i="6"/>
  <c r="D699" i="6"/>
  <c r="D703" i="6"/>
  <c r="D707" i="6"/>
  <c r="D711" i="6"/>
  <c r="D715" i="6"/>
  <c r="D719" i="6"/>
  <c r="D723" i="6"/>
  <c r="D727" i="6"/>
  <c r="D731" i="6"/>
  <c r="D735" i="6"/>
  <c r="D739" i="6"/>
  <c r="D743" i="6"/>
  <c r="D747" i="6"/>
  <c r="D751" i="6"/>
  <c r="D755" i="6"/>
  <c r="D759" i="6"/>
  <c r="D763" i="6"/>
  <c r="D767" i="6"/>
  <c r="D771" i="6"/>
  <c r="D775" i="6"/>
  <c r="D779" i="6"/>
  <c r="D783" i="6"/>
  <c r="D787" i="6"/>
  <c r="D791" i="6"/>
  <c r="D795" i="6"/>
  <c r="D799" i="6"/>
  <c r="D803" i="6"/>
  <c r="D807" i="6"/>
  <c r="D811" i="6"/>
  <c r="D815" i="6"/>
  <c r="D819" i="6"/>
  <c r="D823" i="6"/>
  <c r="D827" i="6"/>
  <c r="D831" i="6"/>
  <c r="D835" i="6"/>
  <c r="D839" i="6"/>
  <c r="D843" i="6"/>
  <c r="D847" i="6"/>
  <c r="D851" i="6"/>
  <c r="D855" i="6"/>
  <c r="D859" i="6"/>
  <c r="D863" i="6"/>
  <c r="D867" i="6"/>
  <c r="D871" i="6"/>
  <c r="D875" i="6"/>
  <c r="D879" i="6"/>
  <c r="D883" i="6"/>
  <c r="D887" i="6"/>
  <c r="D891" i="6"/>
  <c r="D895" i="6"/>
  <c r="D899" i="6"/>
  <c r="D903" i="6"/>
  <c r="D907" i="6"/>
  <c r="D911" i="6"/>
  <c r="D915" i="6"/>
  <c r="D919" i="6"/>
  <c r="D923" i="6"/>
  <c r="D927" i="6"/>
  <c r="D931" i="6"/>
  <c r="D935" i="6"/>
  <c r="D20" i="6"/>
  <c r="D41" i="6"/>
  <c r="D63" i="6"/>
  <c r="D84" i="6"/>
  <c r="D105" i="6"/>
  <c r="D127" i="6"/>
  <c r="D148" i="6"/>
  <c r="D169" i="6"/>
  <c r="D191" i="6"/>
  <c r="D212" i="6"/>
  <c r="D233" i="6"/>
  <c r="D255" i="6"/>
  <c r="D276" i="6"/>
  <c r="D297" i="6"/>
  <c r="D319" i="6"/>
  <c r="D340" i="6"/>
  <c r="D356" i="6"/>
  <c r="D372" i="6"/>
  <c r="D388" i="6"/>
  <c r="D404" i="6"/>
  <c r="D420" i="6"/>
  <c r="D432" i="6"/>
  <c r="D441" i="6"/>
  <c r="D449" i="6"/>
  <c r="D457" i="6"/>
  <c r="D464" i="6"/>
  <c r="D469" i="6"/>
  <c r="D474" i="6"/>
  <c r="D480" i="6"/>
  <c r="D485" i="6"/>
  <c r="D490" i="6"/>
  <c r="D496" i="6"/>
  <c r="D501" i="6"/>
  <c r="D506" i="6"/>
  <c r="D512" i="6"/>
  <c r="D517" i="6"/>
  <c r="D522" i="6"/>
  <c r="D528" i="6"/>
  <c r="D533" i="6"/>
  <c r="D538" i="6"/>
  <c r="D544" i="6"/>
  <c r="D549" i="6"/>
  <c r="D554" i="6"/>
  <c r="D560" i="6"/>
  <c r="D565" i="6"/>
  <c r="D570" i="6"/>
  <c r="D576" i="6"/>
  <c r="D581" i="6"/>
  <c r="D586" i="6"/>
  <c r="D592" i="6"/>
  <c r="D597" i="6"/>
  <c r="D602" i="6"/>
  <c r="D608" i="6"/>
  <c r="D613" i="6"/>
  <c r="D618" i="6"/>
  <c r="D624" i="6"/>
  <c r="D629" i="6"/>
  <c r="D634" i="6"/>
  <c r="D640" i="6"/>
  <c r="D645" i="6"/>
  <c r="D650" i="6"/>
  <c r="D656" i="6"/>
  <c r="D661" i="6"/>
  <c r="D666" i="6"/>
  <c r="D672" i="6"/>
  <c r="D677" i="6"/>
  <c r="D682" i="6"/>
  <c r="D688" i="6"/>
  <c r="D693" i="6"/>
  <c r="D698" i="6"/>
  <c r="D704" i="6"/>
  <c r="D709" i="6"/>
  <c r="D714" i="6"/>
  <c r="D720" i="6"/>
  <c r="D725" i="6"/>
  <c r="D730" i="6"/>
  <c r="D736" i="6"/>
  <c r="D741" i="6"/>
  <c r="D746" i="6"/>
  <c r="D752" i="6"/>
  <c r="D757" i="6"/>
  <c r="D762" i="6"/>
  <c r="D768" i="6"/>
  <c r="D773" i="6"/>
  <c r="D778" i="6"/>
  <c r="D784" i="6"/>
  <c r="D789" i="6"/>
  <c r="D794" i="6"/>
  <c r="D800" i="6"/>
  <c r="D805" i="6"/>
  <c r="D810" i="6"/>
  <c r="D816" i="6"/>
  <c r="D821" i="6"/>
  <c r="D826" i="6"/>
  <c r="D832" i="6"/>
  <c r="D837" i="6"/>
  <c r="D842" i="6"/>
  <c r="D848" i="6"/>
  <c r="D853" i="6"/>
  <c r="D858" i="6"/>
  <c r="D864" i="6"/>
  <c r="D869" i="6"/>
  <c r="D874" i="6"/>
  <c r="D880" i="6"/>
  <c r="D885" i="6"/>
  <c r="D890" i="6"/>
  <c r="D896" i="6"/>
  <c r="D901" i="6"/>
  <c r="D906" i="6"/>
  <c r="D912" i="6"/>
  <c r="D917" i="6"/>
  <c r="D922" i="6"/>
  <c r="D928" i="6"/>
  <c r="D933" i="6"/>
  <c r="D938" i="6"/>
  <c r="D942" i="6"/>
  <c r="D946" i="6"/>
  <c r="D950" i="6"/>
  <c r="D954" i="6"/>
  <c r="D958" i="6"/>
  <c r="D962" i="6"/>
  <c r="D966" i="6"/>
  <c r="D970" i="6"/>
  <c r="D974" i="6"/>
  <c r="D978" i="6"/>
  <c r="D982" i="6"/>
  <c r="D986" i="6"/>
  <c r="D990" i="6"/>
  <c r="D994" i="6"/>
  <c r="D998" i="6"/>
  <c r="D1002" i="6"/>
  <c r="D1006" i="6"/>
  <c r="D1010" i="6"/>
  <c r="D1014" i="6"/>
  <c r="D1018" i="6"/>
  <c r="D1022" i="6"/>
  <c r="D1026" i="6"/>
  <c r="D1030" i="6"/>
  <c r="D1034" i="6"/>
  <c r="D1038" i="6"/>
  <c r="D1042" i="6"/>
  <c r="D1046" i="6"/>
  <c r="D27" i="6"/>
  <c r="D52" i="6"/>
  <c r="D80" i="6"/>
  <c r="D112" i="6"/>
  <c r="D137" i="6"/>
  <c r="D165" i="6"/>
  <c r="D197" i="6"/>
  <c r="D223" i="6"/>
  <c r="D251" i="6"/>
  <c r="D283" i="6"/>
  <c r="D308" i="6"/>
  <c r="D336" i="6"/>
  <c r="D361" i="6"/>
  <c r="D380" i="6"/>
  <c r="D401" i="6"/>
  <c r="D425" i="6"/>
  <c r="D437" i="6"/>
  <c r="D448" i="6"/>
  <c r="D460" i="6"/>
  <c r="D466" i="6"/>
  <c r="D473" i="6"/>
  <c r="D481" i="6"/>
  <c r="D488" i="6"/>
  <c r="D494" i="6"/>
  <c r="D502" i="6"/>
  <c r="D509" i="6"/>
  <c r="D516" i="6"/>
  <c r="D524" i="6"/>
  <c r="D530" i="6"/>
  <c r="D537" i="6"/>
  <c r="D545" i="6"/>
  <c r="D552" i="6"/>
  <c r="D558" i="6"/>
  <c r="D566" i="6"/>
  <c r="D573" i="6"/>
  <c r="D580" i="6"/>
  <c r="D588" i="6"/>
  <c r="D594" i="6"/>
  <c r="D601" i="6"/>
  <c r="D609" i="6"/>
  <c r="D616" i="6"/>
  <c r="D622" i="6"/>
  <c r="D630" i="6"/>
  <c r="D637" i="6"/>
  <c r="D644" i="6"/>
  <c r="D652" i="6"/>
  <c r="D658" i="6"/>
  <c r="D665" i="6"/>
  <c r="D673" i="6"/>
  <c r="D680" i="6"/>
  <c r="D686" i="6"/>
  <c r="D694" i="6"/>
  <c r="D701" i="6"/>
  <c r="D708" i="6"/>
  <c r="D716" i="6"/>
  <c r="D722" i="6"/>
  <c r="D729" i="6"/>
  <c r="D737" i="6"/>
  <c r="D744" i="6"/>
  <c r="D750" i="6"/>
  <c r="D758" i="6"/>
  <c r="D765" i="6"/>
  <c r="D772" i="6"/>
  <c r="D780" i="6"/>
  <c r="D786" i="6"/>
  <c r="D793" i="6"/>
  <c r="D801" i="6"/>
  <c r="D808" i="6"/>
  <c r="D814" i="6"/>
  <c r="D822" i="6"/>
  <c r="D829" i="6"/>
  <c r="D836" i="6"/>
  <c r="D844" i="6"/>
  <c r="D850" i="6"/>
  <c r="D857" i="6"/>
  <c r="D865" i="6"/>
  <c r="D872" i="6"/>
  <c r="D878" i="6"/>
  <c r="D886" i="6"/>
  <c r="D893" i="6"/>
  <c r="D900" i="6"/>
  <c r="D908" i="6"/>
  <c r="D914" i="6"/>
  <c r="D921" i="6"/>
  <c r="D929" i="6"/>
  <c r="D936" i="6"/>
  <c r="D941" i="6"/>
  <c r="D947" i="6"/>
  <c r="D952" i="6"/>
  <c r="D957" i="6"/>
  <c r="D963" i="6"/>
  <c r="D968" i="6"/>
  <c r="D973" i="6"/>
  <c r="D979" i="6"/>
  <c r="D984" i="6"/>
  <c r="D989" i="6"/>
  <c r="D995" i="6"/>
  <c r="D1000" i="6"/>
  <c r="D1005" i="6"/>
  <c r="D1011" i="6"/>
  <c r="D1016" i="6"/>
  <c r="D1021" i="6"/>
  <c r="D1027" i="6"/>
  <c r="D1032" i="6"/>
  <c r="D1037" i="6"/>
  <c r="D1043" i="6"/>
  <c r="D31" i="6"/>
  <c r="D69" i="6"/>
  <c r="D101" i="6"/>
  <c r="D144" i="6"/>
  <c r="D180" i="6"/>
  <c r="D219" i="6"/>
  <c r="D261" i="6"/>
  <c r="D293" i="6"/>
  <c r="D329" i="6"/>
  <c r="D364" i="6"/>
  <c r="D393" i="6"/>
  <c r="D417" i="6"/>
  <c r="D440" i="6"/>
  <c r="D453" i="6"/>
  <c r="D465" i="6"/>
  <c r="D476" i="6"/>
  <c r="D484" i="6"/>
  <c r="D493" i="6"/>
  <c r="D504" i="6"/>
  <c r="D513" i="6"/>
  <c r="D521" i="6"/>
  <c r="D532" i="6"/>
  <c r="D541" i="6"/>
  <c r="D550" i="6"/>
  <c r="D561" i="6"/>
  <c r="D569" i="6"/>
  <c r="D578" i="6"/>
  <c r="D589" i="6"/>
  <c r="D598" i="6"/>
  <c r="D606" i="6"/>
  <c r="D617" i="6"/>
  <c r="D626" i="6"/>
  <c r="D636" i="6"/>
  <c r="D646" i="6"/>
  <c r="D654" i="6"/>
  <c r="D664" i="6"/>
  <c r="D674" i="6"/>
  <c r="D684" i="6"/>
  <c r="D692" i="6"/>
  <c r="D702" i="6"/>
  <c r="D712" i="6"/>
  <c r="D721" i="6"/>
  <c r="D732" i="6"/>
  <c r="D740" i="6"/>
  <c r="D749" i="6"/>
  <c r="D760" i="6"/>
  <c r="D769" i="6"/>
  <c r="D777" i="6"/>
  <c r="D788" i="6"/>
  <c r="D797" i="6"/>
  <c r="D806" i="6"/>
  <c r="D817" i="6"/>
  <c r="D825" i="6"/>
  <c r="D834" i="6"/>
  <c r="D845" i="6"/>
  <c r="D854" i="6"/>
  <c r="D862" i="6"/>
  <c r="D873" i="6"/>
  <c r="D882" i="6"/>
  <c r="D892" i="6"/>
  <c r="D902" i="6"/>
  <c r="D910" i="6"/>
  <c r="D920" i="6"/>
  <c r="D930" i="6"/>
  <c r="D939" i="6"/>
  <c r="D945" i="6"/>
  <c r="D953" i="6"/>
  <c r="D960" i="6"/>
  <c r="D967" i="6"/>
  <c r="D975" i="6"/>
  <c r="D981" i="6"/>
  <c r="D988" i="6"/>
  <c r="D996" i="6"/>
  <c r="D1003" i="6"/>
  <c r="D1009" i="6"/>
  <c r="D1017" i="6"/>
  <c r="D16" i="6"/>
  <c r="D59" i="6"/>
  <c r="D95" i="6"/>
  <c r="D133" i="6"/>
  <c r="D176" i="6"/>
  <c r="D208" i="6"/>
  <c r="D244" i="6"/>
  <c r="D287" i="6"/>
  <c r="D325" i="6"/>
  <c r="D353" i="6"/>
  <c r="D385" i="6"/>
  <c r="D412" i="6"/>
  <c r="D436" i="6"/>
  <c r="D452" i="6"/>
  <c r="D462" i="6"/>
  <c r="D472" i="6"/>
  <c r="D482" i="6"/>
  <c r="D492" i="6"/>
  <c r="D500" i="6"/>
  <c r="D510" i="6"/>
  <c r="D520" i="6"/>
  <c r="D529" i="6"/>
  <c r="D540" i="6"/>
  <c r="D548" i="6"/>
  <c r="D557" i="6"/>
  <c r="D568" i="6"/>
  <c r="D577" i="6"/>
  <c r="D585" i="6"/>
  <c r="D596" i="6"/>
  <c r="D605" i="6"/>
  <c r="D614" i="6"/>
  <c r="D625" i="6"/>
  <c r="D633" i="6"/>
  <c r="D642" i="6"/>
  <c r="D653" i="6"/>
  <c r="D662" i="6"/>
  <c r="D670" i="6"/>
  <c r="D681" i="6"/>
  <c r="D690" i="6"/>
  <c r="D700" i="6"/>
  <c r="D710" i="6"/>
  <c r="D718" i="6"/>
  <c r="D728" i="6"/>
  <c r="D738" i="6"/>
  <c r="D748" i="6"/>
  <c r="D756" i="6"/>
  <c r="D766" i="6"/>
  <c r="D776" i="6"/>
  <c r="D785" i="6"/>
  <c r="D796" i="6"/>
  <c r="D804" i="6"/>
  <c r="D813" i="6"/>
  <c r="D824" i="6"/>
  <c r="D833" i="6"/>
  <c r="D841" i="6"/>
  <c r="D852" i="6"/>
  <c r="D861" i="6"/>
  <c r="D870" i="6"/>
  <c r="D881" i="6"/>
  <c r="D889" i="6"/>
  <c r="D898" i="6"/>
  <c r="D909" i="6"/>
  <c r="D918" i="6"/>
  <c r="D926" i="6"/>
  <c r="D937" i="6"/>
  <c r="D944" i="6"/>
  <c r="D951" i="6"/>
  <c r="D959" i="6"/>
  <c r="D965" i="6"/>
  <c r="D972" i="6"/>
  <c r="D980" i="6"/>
  <c r="D987" i="6"/>
  <c r="D993" i="6"/>
  <c r="D1001" i="6"/>
  <c r="D1008" i="6"/>
  <c r="D1015" i="6"/>
  <c r="D1023" i="6"/>
  <c r="D1029" i="6"/>
  <c r="D1036" i="6"/>
  <c r="D1044" i="6"/>
  <c r="D48" i="6"/>
  <c r="D123" i="6"/>
  <c r="D201" i="6"/>
  <c r="D272" i="6"/>
  <c r="D348" i="6"/>
  <c r="D409" i="6"/>
  <c r="D445" i="6"/>
  <c r="D470" i="6"/>
  <c r="D489" i="6"/>
  <c r="D508" i="6"/>
  <c r="D526" i="6"/>
  <c r="D546" i="6"/>
  <c r="D564" i="6"/>
  <c r="D584" i="6"/>
  <c r="D604" i="6"/>
  <c r="D621" i="6"/>
  <c r="D641" i="6"/>
  <c r="D660" i="6"/>
  <c r="D678" i="6"/>
  <c r="D697" i="6"/>
  <c r="D717" i="6"/>
  <c r="D734" i="6"/>
  <c r="D754" i="6"/>
  <c r="D774" i="6"/>
  <c r="D792" i="6"/>
  <c r="D812" i="6"/>
  <c r="D830" i="6"/>
  <c r="D849" i="6"/>
  <c r="D868" i="6"/>
  <c r="D888" i="6"/>
  <c r="D905" i="6"/>
  <c r="D925" i="6"/>
  <c r="D943" i="6"/>
  <c r="D956" i="6"/>
  <c r="D971" i="6"/>
  <c r="D985" i="6"/>
  <c r="D999" i="6"/>
  <c r="D1013" i="6"/>
  <c r="D1025" i="6"/>
  <c r="D1035" i="6"/>
  <c r="D1045" i="6"/>
  <c r="D5" i="6"/>
  <c r="D73" i="6"/>
  <c r="D155" i="6"/>
  <c r="D229" i="6"/>
  <c r="D304" i="6"/>
  <c r="D369" i="6"/>
  <c r="D427" i="6"/>
  <c r="D456" i="6"/>
  <c r="D477" i="6"/>
  <c r="D497" i="6"/>
  <c r="D514" i="6"/>
  <c r="D534" i="6"/>
  <c r="D553" i="6"/>
  <c r="D572" i="6"/>
  <c r="D590" i="6"/>
  <c r="D610" i="6"/>
  <c r="D628" i="6"/>
  <c r="D648" i="6"/>
  <c r="D668" i="6"/>
  <c r="D685" i="6"/>
  <c r="D705" i="6"/>
  <c r="D724" i="6"/>
  <c r="D742" i="6"/>
  <c r="D761" i="6"/>
  <c r="D781" i="6"/>
  <c r="D798" i="6"/>
  <c r="D818" i="6"/>
  <c r="D838" i="6"/>
  <c r="D856" i="6"/>
  <c r="D876" i="6"/>
  <c r="D894" i="6"/>
  <c r="D913" i="6"/>
  <c r="D932" i="6"/>
  <c r="D948" i="6"/>
  <c r="D961" i="6"/>
  <c r="D976" i="6"/>
  <c r="D991" i="6"/>
  <c r="D1004" i="6"/>
  <c r="D1019" i="6"/>
  <c r="D1028" i="6"/>
  <c r="D1039" i="6"/>
  <c r="D2" i="6"/>
  <c r="B1045" i="6"/>
  <c r="B1041" i="6"/>
  <c r="B1037" i="6"/>
  <c r="B1033" i="6"/>
  <c r="B1029" i="6"/>
  <c r="B1025" i="6"/>
  <c r="B1021" i="6"/>
  <c r="B1017" i="6"/>
  <c r="B1013" i="6"/>
  <c r="B1009" i="6"/>
  <c r="B1005" i="6"/>
  <c r="B1001" i="6"/>
  <c r="B997" i="6"/>
  <c r="B993" i="6"/>
  <c r="B989" i="6"/>
  <c r="B985" i="6"/>
  <c r="B981" i="6"/>
  <c r="B977" i="6"/>
  <c r="B973" i="6"/>
  <c r="B969" i="6"/>
  <c r="B965" i="6"/>
  <c r="B961" i="6"/>
  <c r="B957" i="6"/>
  <c r="B953" i="6"/>
  <c r="B949" i="6"/>
  <c r="B945" i="6"/>
  <c r="B941" i="6"/>
  <c r="B937" i="6"/>
  <c r="B933" i="6"/>
  <c r="B929" i="6"/>
  <c r="B925" i="6"/>
  <c r="B921" i="6"/>
  <c r="B917" i="6"/>
  <c r="B913" i="6"/>
  <c r="B909" i="6"/>
  <c r="B905" i="6"/>
  <c r="B901" i="6"/>
  <c r="B897" i="6"/>
  <c r="B893" i="6"/>
  <c r="B889" i="6"/>
  <c r="B885" i="6"/>
  <c r="B881" i="6"/>
  <c r="B877" i="6"/>
  <c r="B873" i="6"/>
  <c r="B869" i="6"/>
  <c r="B865" i="6"/>
  <c r="B861" i="6"/>
  <c r="B857" i="6"/>
  <c r="B853" i="6"/>
  <c r="B849" i="6"/>
  <c r="B845" i="6"/>
  <c r="B841" i="6"/>
  <c r="B837" i="6"/>
  <c r="B833" i="6"/>
  <c r="B829" i="6"/>
  <c r="B825" i="6"/>
  <c r="B821" i="6"/>
  <c r="B817" i="6"/>
  <c r="B813" i="6"/>
  <c r="B809" i="6"/>
  <c r="B805" i="6"/>
  <c r="B801" i="6"/>
  <c r="B797" i="6"/>
  <c r="B793" i="6"/>
  <c r="B789" i="6"/>
  <c r="B785" i="6"/>
  <c r="B781" i="6"/>
  <c r="B777" i="6"/>
  <c r="B773" i="6"/>
  <c r="B769" i="6"/>
  <c r="B765" i="6"/>
  <c r="B761" i="6"/>
  <c r="B757" i="6"/>
  <c r="B753" i="6"/>
  <c r="B749" i="6"/>
  <c r="B745" i="6"/>
  <c r="B741" i="6"/>
  <c r="B737" i="6"/>
  <c r="B733" i="6"/>
  <c r="B729" i="6"/>
  <c r="B725" i="6"/>
  <c r="B721" i="6"/>
  <c r="B717" i="6"/>
  <c r="B713" i="6"/>
  <c r="B709" i="6"/>
  <c r="B705" i="6"/>
  <c r="B701" i="6"/>
  <c r="B697" i="6"/>
  <c r="B693" i="6"/>
  <c r="B689" i="6"/>
  <c r="B685" i="6"/>
  <c r="B681" i="6"/>
  <c r="B676" i="6"/>
  <c r="B671" i="6"/>
  <c r="B666" i="6"/>
  <c r="B660" i="6"/>
  <c r="B655" i="6"/>
  <c r="B650" i="6"/>
  <c r="B644" i="6"/>
  <c r="B639" i="6"/>
  <c r="B634" i="6"/>
  <c r="B628" i="6"/>
  <c r="B623" i="6"/>
  <c r="B618" i="6"/>
  <c r="B612" i="6"/>
  <c r="B607" i="6"/>
  <c r="B602" i="6"/>
  <c r="B595" i="6"/>
  <c r="B587" i="6"/>
  <c r="B579" i="6"/>
  <c r="B571" i="6"/>
  <c r="B563" i="6"/>
  <c r="B555" i="6"/>
  <c r="B547" i="6"/>
  <c r="B539" i="6"/>
  <c r="B531" i="6"/>
  <c r="B523" i="6"/>
  <c r="B515" i="6"/>
  <c r="B507" i="6"/>
  <c r="B499" i="6"/>
  <c r="B491" i="6"/>
  <c r="B483" i="6"/>
  <c r="B475" i="6"/>
  <c r="B467" i="6"/>
  <c r="B459" i="6"/>
  <c r="B451" i="6"/>
  <c r="B443" i="6"/>
  <c r="B435" i="6"/>
  <c r="B427" i="6"/>
  <c r="B412" i="6"/>
  <c r="B396" i="6"/>
  <c r="B380" i="6"/>
  <c r="B364" i="6"/>
  <c r="B348" i="6"/>
  <c r="B329" i="6"/>
  <c r="B308" i="6"/>
  <c r="B286" i="6"/>
  <c r="B265" i="6"/>
  <c r="B244" i="6"/>
  <c r="B222" i="6"/>
  <c r="B201" i="6"/>
  <c r="B180" i="6"/>
  <c r="B158" i="6"/>
  <c r="B137" i="6"/>
  <c r="B116" i="6"/>
  <c r="B94" i="6"/>
  <c r="B73" i="6"/>
  <c r="B52" i="6"/>
  <c r="B30" i="6"/>
  <c r="B9" i="6"/>
  <c r="D1033" i="6"/>
  <c r="D1012" i="6"/>
  <c r="D983" i="6"/>
  <c r="D955" i="6"/>
  <c r="D924" i="6"/>
  <c r="D884" i="6"/>
  <c r="D846" i="6"/>
  <c r="D809" i="6"/>
  <c r="D770" i="6"/>
  <c r="D733" i="6"/>
  <c r="D696" i="6"/>
  <c r="D657" i="6"/>
  <c r="D620" i="6"/>
  <c r="D582" i="6"/>
  <c r="D542" i="6"/>
  <c r="D505" i="6"/>
  <c r="D468" i="6"/>
  <c r="D396" i="6"/>
  <c r="D265" i="6"/>
  <c r="D116" i="6"/>
  <c r="B4" i="6"/>
  <c r="B423" i="6"/>
  <c r="B419" i="6"/>
  <c r="B415" i="6"/>
  <c r="B411" i="6"/>
  <c r="B407" i="6"/>
  <c r="B403" i="6"/>
  <c r="B399" i="6"/>
  <c r="B395" i="6"/>
  <c r="B391" i="6"/>
  <c r="B387" i="6"/>
  <c r="B383" i="6"/>
  <c r="B379" i="6"/>
  <c r="B375" i="6"/>
  <c r="B371" i="6"/>
  <c r="B367" i="6"/>
  <c r="B363" i="6"/>
  <c r="B359" i="6"/>
  <c r="B355" i="6"/>
  <c r="B351" i="6"/>
  <c r="B347" i="6"/>
  <c r="B343" i="6"/>
  <c r="B338" i="6"/>
  <c r="B333" i="6"/>
  <c r="B328" i="6"/>
  <c r="B322" i="6"/>
  <c r="B317" i="6"/>
  <c r="B312" i="6"/>
  <c r="B306" i="6"/>
  <c r="B301" i="6"/>
  <c r="B296" i="6"/>
  <c r="B290" i="6"/>
  <c r="B285" i="6"/>
  <c r="B280" i="6"/>
  <c r="B274" i="6"/>
  <c r="B269" i="6"/>
  <c r="B264" i="6"/>
  <c r="B258" i="6"/>
  <c r="B253" i="6"/>
  <c r="B248" i="6"/>
  <c r="B242" i="6"/>
  <c r="B237" i="6"/>
  <c r="B232" i="6"/>
  <c r="B226" i="6"/>
  <c r="B221" i="6"/>
  <c r="B216" i="6"/>
  <c r="B210" i="6"/>
  <c r="B205" i="6"/>
  <c r="B200" i="6"/>
  <c r="B194" i="6"/>
  <c r="B189" i="6"/>
  <c r="B184" i="6"/>
  <c r="B178" i="6"/>
  <c r="B173" i="6"/>
  <c r="B168" i="6"/>
  <c r="B162" i="6"/>
  <c r="B157" i="6"/>
  <c r="B152" i="6"/>
  <c r="B146" i="6"/>
  <c r="B141" i="6"/>
  <c r="B136" i="6"/>
  <c r="B130" i="6"/>
  <c r="B125" i="6"/>
  <c r="B120" i="6"/>
  <c r="B114" i="6"/>
  <c r="B109" i="6"/>
  <c r="B104" i="6"/>
  <c r="B98" i="6"/>
  <c r="B93" i="6"/>
  <c r="B88" i="6"/>
  <c r="B82" i="6"/>
  <c r="B77" i="6"/>
  <c r="B72" i="6"/>
  <c r="B66" i="6"/>
  <c r="B61" i="6"/>
  <c r="B56" i="6"/>
  <c r="B50" i="6"/>
  <c r="B45" i="6"/>
  <c r="B40" i="6"/>
  <c r="B34" i="6"/>
  <c r="B29" i="6"/>
  <c r="B24" i="6"/>
  <c r="B18" i="6"/>
  <c r="B13" i="6"/>
  <c r="B8" i="6"/>
  <c r="B5" i="6"/>
  <c r="B426" i="6"/>
  <c r="B422" i="6"/>
  <c r="B418" i="6"/>
  <c r="B414" i="6"/>
  <c r="B410" i="6"/>
  <c r="B406" i="6"/>
  <c r="B402" i="6"/>
  <c r="B398" i="6"/>
  <c r="B394" i="6"/>
  <c r="B390" i="6"/>
  <c r="B386" i="6"/>
  <c r="B382" i="6"/>
  <c r="B378" i="6"/>
  <c r="B374" i="6"/>
  <c r="B370" i="6"/>
  <c r="B366" i="6"/>
  <c r="B362" i="6"/>
  <c r="B358" i="6"/>
  <c r="B354" i="6"/>
  <c r="B350" i="6"/>
  <c r="B346" i="6"/>
  <c r="B342" i="6"/>
  <c r="B337" i="6"/>
  <c r="B332" i="6"/>
  <c r="B326" i="6"/>
  <c r="B321" i="6"/>
  <c r="B316" i="6"/>
  <c r="B310" i="6"/>
  <c r="B305" i="6"/>
  <c r="B300" i="6"/>
  <c r="B294" i="6"/>
  <c r="B289" i="6"/>
  <c r="B284" i="6"/>
  <c r="B278" i="6"/>
  <c r="B273" i="6"/>
  <c r="B268" i="6"/>
  <c r="B262" i="6"/>
  <c r="B257" i="6"/>
  <c r="B252" i="6"/>
  <c r="B246" i="6"/>
  <c r="B241" i="6"/>
  <c r="B236" i="6"/>
  <c r="B230" i="6"/>
  <c r="B225" i="6"/>
  <c r="B220" i="6"/>
  <c r="B214" i="6"/>
  <c r="B209" i="6"/>
  <c r="B204" i="6"/>
  <c r="B198" i="6"/>
  <c r="B193" i="6"/>
  <c r="B188" i="6"/>
  <c r="B182" i="6"/>
  <c r="B177" i="6"/>
  <c r="B172" i="6"/>
  <c r="B166" i="6"/>
  <c r="B161" i="6"/>
  <c r="B156" i="6"/>
  <c r="B150" i="6"/>
  <c r="B145" i="6"/>
  <c r="B140" i="6"/>
  <c r="B134" i="6"/>
  <c r="B129" i="6"/>
  <c r="B124" i="6"/>
  <c r="B118" i="6"/>
  <c r="B113" i="6"/>
  <c r="B108" i="6"/>
  <c r="B102" i="6"/>
  <c r="B97" i="6"/>
  <c r="B92" i="6"/>
  <c r="B86" i="6"/>
  <c r="B81" i="6"/>
  <c r="B76" i="6"/>
  <c r="B70" i="6"/>
  <c r="B65" i="6"/>
  <c r="B60" i="6"/>
  <c r="B54" i="6"/>
  <c r="B49" i="6"/>
  <c r="B44" i="6"/>
  <c r="B38" i="6"/>
  <c r="B33" i="6"/>
  <c r="B28" i="6"/>
  <c r="B22" i="6"/>
  <c r="B17" i="6"/>
  <c r="B12" i="6"/>
  <c r="B339" i="6"/>
  <c r="B335" i="6"/>
  <c r="B331" i="6"/>
  <c r="B327" i="6"/>
  <c r="B323" i="6"/>
  <c r="B319" i="6"/>
  <c r="B315" i="6"/>
  <c r="B311" i="6"/>
  <c r="B307" i="6"/>
  <c r="B303" i="6"/>
  <c r="B299" i="6"/>
  <c r="B295" i="6"/>
  <c r="B291" i="6"/>
  <c r="B287" i="6"/>
  <c r="B283" i="6"/>
  <c r="B279" i="6"/>
  <c r="B275" i="6"/>
  <c r="B271" i="6"/>
  <c r="B267" i="6"/>
  <c r="B263" i="6"/>
  <c r="B259" i="6"/>
  <c r="B255" i="6"/>
  <c r="B251" i="6"/>
  <c r="B247" i="6"/>
  <c r="B243" i="6"/>
  <c r="B239" i="6"/>
  <c r="B235" i="6"/>
  <c r="B231" i="6"/>
  <c r="B227" i="6"/>
  <c r="B223" i="6"/>
  <c r="B219" i="6"/>
  <c r="B215" i="6"/>
  <c r="B211" i="6"/>
  <c r="B207" i="6"/>
  <c r="B203" i="6"/>
  <c r="B199" i="6"/>
  <c r="B195" i="6"/>
  <c r="B191" i="6"/>
  <c r="B187" i="6"/>
  <c r="B183" i="6"/>
  <c r="B179" i="6"/>
  <c r="B175" i="6"/>
  <c r="B171" i="6"/>
  <c r="B167" i="6"/>
  <c r="B163" i="6"/>
  <c r="B159" i="6"/>
  <c r="B155" i="6"/>
  <c r="B151" i="6"/>
  <c r="B147" i="6"/>
  <c r="B143" i="6"/>
  <c r="B139" i="6"/>
  <c r="B135" i="6"/>
  <c r="B131" i="6"/>
  <c r="B127" i="6"/>
  <c r="B123" i="6"/>
  <c r="B119" i="6"/>
  <c r="B115" i="6"/>
  <c r="B111" i="6"/>
  <c r="B107" i="6"/>
  <c r="B103" i="6"/>
  <c r="B99" i="6"/>
  <c r="B95" i="6"/>
  <c r="B91" i="6"/>
  <c r="B87" i="6"/>
  <c r="B83" i="6"/>
  <c r="B79" i="6"/>
  <c r="B75" i="6"/>
  <c r="B71" i="6"/>
  <c r="B67" i="6"/>
  <c r="B63" i="6"/>
  <c r="B59" i="6"/>
  <c r="B55" i="6"/>
  <c r="B51" i="6"/>
  <c r="B47" i="6"/>
  <c r="B43" i="6"/>
  <c r="B39" i="6"/>
  <c r="B35" i="6"/>
  <c r="B31" i="6"/>
  <c r="B27" i="6"/>
  <c r="B23" i="6"/>
  <c r="B19" i="6"/>
  <c r="B15" i="6"/>
  <c r="B11" i="6"/>
  <c r="B7" i="6"/>
  <c r="B3" i="6"/>
  <c r="B6" i="6"/>
  <c r="D7" i="5" l="1" a="1"/>
  <c r="D7" i="5" s="1"/>
  <c r="G7" i="5"/>
  <c r="I4" i="5" a="1"/>
  <c r="I4" i="5" s="1"/>
  <c r="J4" i="5" s="1"/>
  <c r="K4" i="5" s="1"/>
  <c r="I5" i="5" a="1"/>
  <c r="I5" i="5" s="1"/>
  <c r="J5" i="5" s="1"/>
  <c r="K5" i="5" s="1"/>
  <c r="H5" i="5" a="1"/>
  <c r="H5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AD1B66-B4D3-476C-AC16-CCB2196C2074}" keepAlive="1" name="Requête - MRS-LCP" description="Connexion à la requête « MRS-LCP » dans le classeur." type="5" refreshedVersion="8" background="1" saveData="1">
    <dbPr connection="Provider=Microsoft.Mashup.OleDb.1;Data Source=$Workbook$;Location=MRS-LCP;Extended Properties=&quot;&quot;" command="SELECT * FROM [MRS-LCP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<sst xmlns="http://schemas.openxmlformats.org/spreadsheetml/2006/main" count="16456" uniqueCount="3984">
  <si>
    <t>time</t>
  </si>
  <si>
    <t>pm1</t>
  </si>
  <si>
    <t>pm25</t>
  </si>
  <si>
    <t>pm10</t>
  </si>
  <si>
    <t>temperature</t>
  </si>
  <si>
    <t>humidite</t>
  </si>
  <si>
    <t>2026-01-26T16:00:00.000Z</t>
  </si>
  <si>
    <t>2026-01-26T16:15:00.000Z</t>
  </si>
  <si>
    <t>2026-01-26T16:30:00.000Z</t>
  </si>
  <si>
    <t>2026-01-26T16:45:00.000Z</t>
  </si>
  <si>
    <t>2026-01-26T17:00:00.000Z</t>
  </si>
  <si>
    <t>2026-01-26T17:15:00.000Z</t>
  </si>
  <si>
    <t>2026-01-26T17:30:00.000Z</t>
  </si>
  <si>
    <t>2026-01-26T17:45:00.000Z</t>
  </si>
  <si>
    <t>2026-01-26T18:00:00.000Z</t>
  </si>
  <si>
    <t>2026-01-26T18:15:00.000Z</t>
  </si>
  <si>
    <t>2026-01-26T18:30:00.000Z</t>
  </si>
  <si>
    <t>2026-01-26T18:45:00.000Z</t>
  </si>
  <si>
    <t>2026-01-26T19:00:00.000Z</t>
  </si>
  <si>
    <t>2026-01-26T19:15:00.000Z</t>
  </si>
  <si>
    <t>2026-01-26T19:30:00.000Z</t>
  </si>
  <si>
    <t>2026-01-26T19:45:00.000Z</t>
  </si>
  <si>
    <t>2026-01-26T20:00:00.000Z</t>
  </si>
  <si>
    <t>2026-01-26T20:15:00.000Z</t>
  </si>
  <si>
    <t>2026-01-26T20:30:00.000Z</t>
  </si>
  <si>
    <t>2026-01-26T20:45:00.000Z</t>
  </si>
  <si>
    <t>2026-01-26T21:00:00.000Z</t>
  </si>
  <si>
    <t>2026-01-26T21:15:00.000Z</t>
  </si>
  <si>
    <t>2026-01-26T21:30:00.000Z</t>
  </si>
  <si>
    <t>2026-01-26T21:45:00.000Z</t>
  </si>
  <si>
    <t>2026-01-26T22:00:00.000Z</t>
  </si>
  <si>
    <t>2026-01-26T22:15:00.000Z</t>
  </si>
  <si>
    <t>2026-01-26T22:30:00.000Z</t>
  </si>
  <si>
    <t>2026-01-26T22:45:00.000Z</t>
  </si>
  <si>
    <t>2026-01-26T23:00:00.000Z</t>
  </si>
  <si>
    <t>2026-01-26T23:15:00.000Z</t>
  </si>
  <si>
    <t>2026-01-26T23:30:00.000Z</t>
  </si>
  <si>
    <t>2026-01-26T23:45:00.000Z</t>
  </si>
  <si>
    <t>2026-01-27T00:00:00.000Z</t>
  </si>
  <si>
    <t>2026-01-27T00:15:00.000Z</t>
  </si>
  <si>
    <t>2026-01-27T00:30:00.000Z</t>
  </si>
  <si>
    <t>2026-01-27T00:45:00.000Z</t>
  </si>
  <si>
    <t>2026-01-27T01:00:00.000Z</t>
  </si>
  <si>
    <t>2026-01-27T01:15:00.000Z</t>
  </si>
  <si>
    <t>2026-01-27T01:30:00.000Z</t>
  </si>
  <si>
    <t>2026-01-27T01:45:00.000Z</t>
  </si>
  <si>
    <t>2026-01-27T02:00:00.000Z</t>
  </si>
  <si>
    <t>2026-01-27T02:15:00.000Z</t>
  </si>
  <si>
    <t>2026-01-27T02:30:00.000Z</t>
  </si>
  <si>
    <t>2026-01-27T02:45:00.000Z</t>
  </si>
  <si>
    <t>2026-01-27T03:00:00.000Z</t>
  </si>
  <si>
    <t>2026-01-27T03:15:00.000Z</t>
  </si>
  <si>
    <t>2026-01-27T03:30:00.000Z</t>
  </si>
  <si>
    <t>2026-01-27T03:45:00.000Z</t>
  </si>
  <si>
    <t>2026-01-27T04:00:00.000Z</t>
  </si>
  <si>
    <t>2026-01-27T04:15:00.000Z</t>
  </si>
  <si>
    <t>2026-01-27T04:30:00.000Z</t>
  </si>
  <si>
    <t>2026-01-27T04:45:00.000Z</t>
  </si>
  <si>
    <t>2026-01-27T05:00:00.000Z</t>
  </si>
  <si>
    <t>2026-01-27T05:15:00.000Z</t>
  </si>
  <si>
    <t>2026-01-27T05:30:00.000Z</t>
  </si>
  <si>
    <t>2026-01-27T05:45:00.000Z</t>
  </si>
  <si>
    <t>2026-01-27T06:00:00.000Z</t>
  </si>
  <si>
    <t>2026-01-27T06:15:00.000Z</t>
  </si>
  <si>
    <t>2026-01-27T06:30:00.000Z</t>
  </si>
  <si>
    <t>2026-01-27T06:45:00.000Z</t>
  </si>
  <si>
    <t>2026-01-27T07:00:00.000Z</t>
  </si>
  <si>
    <t>2026-01-27T07:15:00.000Z</t>
  </si>
  <si>
    <t>2026-01-27T07:30:00.000Z</t>
  </si>
  <si>
    <t>2026-01-27T07:45:00.000Z</t>
  </si>
  <si>
    <t>2026-01-27T08:00:00.000Z</t>
  </si>
  <si>
    <t>2026-01-27T08:15:00.000Z</t>
  </si>
  <si>
    <t>2026-01-27T08:30:00.000Z</t>
  </si>
  <si>
    <t>2026-01-27T08:45:00.000Z</t>
  </si>
  <si>
    <t>2026-01-27T09:00:00.000Z</t>
  </si>
  <si>
    <t>2026-01-27T09:15:00.000Z</t>
  </si>
  <si>
    <t>2026-01-27T09:30:00.000Z</t>
  </si>
  <si>
    <t>2026-01-27T09:45:00.000Z</t>
  </si>
  <si>
    <t>2026-01-27T10:00:00.000Z</t>
  </si>
  <si>
    <t>2026-01-27T10:15:00.000Z</t>
  </si>
  <si>
    <t>2026-01-27T10:30:00.000Z</t>
  </si>
  <si>
    <t>2026-01-27T10:45:00.000Z</t>
  </si>
  <si>
    <t>2026-01-27T11:00:00.000Z</t>
  </si>
  <si>
    <t>2026-01-27T11:15:00.000Z</t>
  </si>
  <si>
    <t>2026-01-27T11:30:00.000Z</t>
  </si>
  <si>
    <t>2026-01-27T11:45:00.000Z</t>
  </si>
  <si>
    <t>2026-01-27T12:00:00.000Z</t>
  </si>
  <si>
    <t>2026-01-27T12:15:00.000Z</t>
  </si>
  <si>
    <t>2026-01-27T12:30:00.000Z</t>
  </si>
  <si>
    <t>2026-01-27T12:45:00.000Z</t>
  </si>
  <si>
    <t>2026-01-27T13:00:00.000Z</t>
  </si>
  <si>
    <t>2026-01-27T13:15:00.000Z</t>
  </si>
  <si>
    <t>2026-01-27T13:30:00.000Z</t>
  </si>
  <si>
    <t>2026-01-27T13:45:00.000Z</t>
  </si>
  <si>
    <t>2026-01-27T14:00:00.000Z</t>
  </si>
  <si>
    <t>2026-01-27T14:15:00.000Z</t>
  </si>
  <si>
    <t>2026-01-27T14:30:00.000Z</t>
  </si>
  <si>
    <t>2026-01-27T14:45:00.000Z</t>
  </si>
  <si>
    <t>2026-01-27T15:00:00.000Z</t>
  </si>
  <si>
    <t>2026-01-27T15:15:00.000Z</t>
  </si>
  <si>
    <t>2026-01-27T15:30:00.000Z</t>
  </si>
  <si>
    <t>2026-01-27T15:45:00.000Z</t>
  </si>
  <si>
    <t>2026-01-27T16:00:00.000Z</t>
  </si>
  <si>
    <t>2026-01-27T16:15:00.000Z</t>
  </si>
  <si>
    <t>2026-01-27T16:30:00.000Z</t>
  </si>
  <si>
    <t>2026-01-27T16:45:00.000Z</t>
  </si>
  <si>
    <t>2026-01-27T17:00:00.000Z</t>
  </si>
  <si>
    <t>2026-01-27T17:15:00.000Z</t>
  </si>
  <si>
    <t>2026-01-27T17:30:00.000Z</t>
  </si>
  <si>
    <t>2026-01-27T17:45:00.000Z</t>
  </si>
  <si>
    <t>2026-01-27T18:00:00.000Z</t>
  </si>
  <si>
    <t>2026-01-27T18:15:00.000Z</t>
  </si>
  <si>
    <t>2026-01-27T18:30:00.000Z</t>
  </si>
  <si>
    <t>2026-01-27T18:45:00.000Z</t>
  </si>
  <si>
    <t>2026-01-27T19:00:00.000Z</t>
  </si>
  <si>
    <t>2026-01-27T19:15:00.000Z</t>
  </si>
  <si>
    <t>2026-01-27T19:30:00.000Z</t>
  </si>
  <si>
    <t>2026-01-27T19:45:00.000Z</t>
  </si>
  <si>
    <t>2026-01-27T20:00:00.000Z</t>
  </si>
  <si>
    <t>2026-01-27T20:15:00.000Z</t>
  </si>
  <si>
    <t>2026-01-27T20:30:00.000Z</t>
  </si>
  <si>
    <t>2026-01-27T20:45:00.000Z</t>
  </si>
  <si>
    <t>2026-01-27T21:00:00.000Z</t>
  </si>
  <si>
    <t>2026-01-27T21:15:00.000Z</t>
  </si>
  <si>
    <t>2026-01-27T21:30:00.000Z</t>
  </si>
  <si>
    <t>2026-01-27T21:45:00.000Z</t>
  </si>
  <si>
    <t>2026-01-27T22:00:00.000Z</t>
  </si>
  <si>
    <t>2026-01-27T22:15:00.000Z</t>
  </si>
  <si>
    <t>2026-01-27T22:30:00.000Z</t>
  </si>
  <si>
    <t>2026-01-27T22:45:00.000Z</t>
  </si>
  <si>
    <t>2026-01-27T23:00:00.000Z</t>
  </si>
  <si>
    <t>2026-01-27T23:15:00.000Z</t>
  </si>
  <si>
    <t>2026-01-27T23:30:00.000Z</t>
  </si>
  <si>
    <t>2026-01-27T23:45:00.000Z</t>
  </si>
  <si>
    <t>2026-01-28T00:00:00.000Z</t>
  </si>
  <si>
    <t>2026-01-28T00:15:00.000Z</t>
  </si>
  <si>
    <t>2026-01-28T00:30:00.000Z</t>
  </si>
  <si>
    <t>2026-01-28T00:45:00.000Z</t>
  </si>
  <si>
    <t>2026-01-28T01:00:00.000Z</t>
  </si>
  <si>
    <t>2026-01-28T01:15:00.000Z</t>
  </si>
  <si>
    <t>2026-01-28T01:30:00.000Z</t>
  </si>
  <si>
    <t>2026-01-28T01:45:00.000Z</t>
  </si>
  <si>
    <t>2026-01-28T02:00:00.000Z</t>
  </si>
  <si>
    <t>2026-01-28T02:15:00.000Z</t>
  </si>
  <si>
    <t>2026-01-28T02:30:00.000Z</t>
  </si>
  <si>
    <t>2026-01-28T02:45:00.000Z</t>
  </si>
  <si>
    <t>2026-01-28T03:00:00.000Z</t>
  </si>
  <si>
    <t>2026-01-28T03:15:00.000Z</t>
  </si>
  <si>
    <t>2026-01-28T03:30:00.000Z</t>
  </si>
  <si>
    <t>2026-01-28T03:45:00.000Z</t>
  </si>
  <si>
    <t>2026-01-28T04:00:00.000Z</t>
  </si>
  <si>
    <t>2026-01-28T04:15:00.000Z</t>
  </si>
  <si>
    <t>2026-01-28T04:30:00.000Z</t>
  </si>
  <si>
    <t>2026-01-28T04:45:00.000Z</t>
  </si>
  <si>
    <t>2026-01-28T05:00:00.000Z</t>
  </si>
  <si>
    <t>2026-01-28T05:15:00.000Z</t>
  </si>
  <si>
    <t>2026-01-28T05:30:00.000Z</t>
  </si>
  <si>
    <t>2026-01-28T05:45:00.000Z</t>
  </si>
  <si>
    <t>2026-01-28T06:00:00.000Z</t>
  </si>
  <si>
    <t>2026-01-28T06:15:00.000Z</t>
  </si>
  <si>
    <t>2026-01-28T06:30:00.000Z</t>
  </si>
  <si>
    <t>2026-01-28T06:45:00.000Z</t>
  </si>
  <si>
    <t>2026-01-28T07:00:00.000Z</t>
  </si>
  <si>
    <t>2026-01-28T07:15:00.000Z</t>
  </si>
  <si>
    <t>2026-01-28T07:30:00.000Z</t>
  </si>
  <si>
    <t>2026-01-28T07:45:00.000Z</t>
  </si>
  <si>
    <t>2026-01-28T08:00:00.000Z</t>
  </si>
  <si>
    <t>2026-01-28T08:15:00.000Z</t>
  </si>
  <si>
    <t>2026-01-28T08:30:00.000Z</t>
  </si>
  <si>
    <t>2026-01-28T08:45:00.000Z</t>
  </si>
  <si>
    <t>2026-01-28T09:00:00.000Z</t>
  </si>
  <si>
    <t>2026-01-28T09:15:00.000Z</t>
  </si>
  <si>
    <t>2026-01-28T09:30:00.000Z</t>
  </si>
  <si>
    <t>2026-01-28T09:45:00.000Z</t>
  </si>
  <si>
    <t>2026-01-28T10:00:00.000Z</t>
  </si>
  <si>
    <t>2026-01-28T10:15:00.000Z</t>
  </si>
  <si>
    <t>2026-01-28T10:30:00.000Z</t>
  </si>
  <si>
    <t>2026-01-28T10:45:00.000Z</t>
  </si>
  <si>
    <t>2026-01-28T11:00:00.000Z</t>
  </si>
  <si>
    <t>2026-01-28T11:15:00.000Z</t>
  </si>
  <si>
    <t>2026-01-28T11:30:00.000Z</t>
  </si>
  <si>
    <t>2026-01-28T11:45:00.000Z</t>
  </si>
  <si>
    <t>2026-01-28T12:00:00.000Z</t>
  </si>
  <si>
    <t>2026-01-28T12:15:00.000Z</t>
  </si>
  <si>
    <t>2026-01-28T12:30:00.000Z</t>
  </si>
  <si>
    <t>2026-01-28T12:45:00.000Z</t>
  </si>
  <si>
    <t>2026-01-28T13:00:00.000Z</t>
  </si>
  <si>
    <t>2026-01-28T13:15:00.000Z</t>
  </si>
  <si>
    <t>2026-01-28T13:30:00.000Z</t>
  </si>
  <si>
    <t>2026-01-28T13:45:00.000Z</t>
  </si>
  <si>
    <t>2026-01-28T14:00:00.000Z</t>
  </si>
  <si>
    <t>2026-01-28T14:15:00.000Z</t>
  </si>
  <si>
    <t>2026-01-28T14:30:00.000Z</t>
  </si>
  <si>
    <t>2026-01-28T14:45:00.000Z</t>
  </si>
  <si>
    <t>2026-01-28T15:00:00.000Z</t>
  </si>
  <si>
    <t>2026-01-28T15:15:00.000Z</t>
  </si>
  <si>
    <t>2026-01-28T15:30:00.000Z</t>
  </si>
  <si>
    <t>2026-01-28T15:45:00.000Z</t>
  </si>
  <si>
    <t>2026-01-28T16:00:00.000Z</t>
  </si>
  <si>
    <t>2026-01-28T16:15:00.000Z</t>
  </si>
  <si>
    <t>2026-01-28T16:30:00.000Z</t>
  </si>
  <si>
    <t>2026-01-28T16:45:00.000Z</t>
  </si>
  <si>
    <t>2026-01-28T17:00:00.000Z</t>
  </si>
  <si>
    <t>2026-01-28T17:15:00.000Z</t>
  </si>
  <si>
    <t>2026-01-28T17:30:00.000Z</t>
  </si>
  <si>
    <t>2026-01-28T17:45:00.000Z</t>
  </si>
  <si>
    <t>2026-01-28T18:00:00.000Z</t>
  </si>
  <si>
    <t>2026-01-28T18:15:00.000Z</t>
  </si>
  <si>
    <t>2026-01-28T18:30:00.000Z</t>
  </si>
  <si>
    <t>2026-01-28T18:45:00.000Z</t>
  </si>
  <si>
    <t>2026-01-28T19:00:00.000Z</t>
  </si>
  <si>
    <t>2026-01-28T19:15:00.000Z</t>
  </si>
  <si>
    <t>2026-01-28T19:30:00.000Z</t>
  </si>
  <si>
    <t>2026-01-28T19:45:00.000Z</t>
  </si>
  <si>
    <t>2026-01-28T20:00:00.000Z</t>
  </si>
  <si>
    <t>2026-01-28T20:15:00.000Z</t>
  </si>
  <si>
    <t>2026-01-28T20:30:00.000Z</t>
  </si>
  <si>
    <t>2026-01-28T20:45:00.000Z</t>
  </si>
  <si>
    <t>2026-01-28T21:00:00.000Z</t>
  </si>
  <si>
    <t>2026-01-28T21:15:00.000Z</t>
  </si>
  <si>
    <t>2026-01-28T21:30:00.000Z</t>
  </si>
  <si>
    <t>2026-01-28T21:45:00.000Z</t>
  </si>
  <si>
    <t>2026-01-28T22:00:00.000Z</t>
  </si>
  <si>
    <t>2026-01-28T22:15:00.000Z</t>
  </si>
  <si>
    <t>2026-01-28T22:30:00.000Z</t>
  </si>
  <si>
    <t>2026-01-28T22:45:00.000Z</t>
  </si>
  <si>
    <t>2026-01-28T23:00:00.000Z</t>
  </si>
  <si>
    <t>2026-01-28T23:15:00.000Z</t>
  </si>
  <si>
    <t>2026-01-28T23:30:00.000Z</t>
  </si>
  <si>
    <t>2026-01-28T23:45:00.000Z</t>
  </si>
  <si>
    <t>2026-01-29T00:00:00.000Z</t>
  </si>
  <si>
    <t>2026-01-29T00:15:00.000Z</t>
  </si>
  <si>
    <t>2026-01-29T00:30:00.000Z</t>
  </si>
  <si>
    <t>2026-01-29T00:45:00.000Z</t>
  </si>
  <si>
    <t>2026-01-29T01:00:00.000Z</t>
  </si>
  <si>
    <t>2026-01-29T01:15:00.000Z</t>
  </si>
  <si>
    <t>2026-01-29T01:30:00.000Z</t>
  </si>
  <si>
    <t>2026-01-29T01:45:00.000Z</t>
  </si>
  <si>
    <t>2026-01-29T02:00:00.000Z</t>
  </si>
  <si>
    <t>2026-01-29T02:15:00.000Z</t>
  </si>
  <si>
    <t>2026-01-29T02:30:00.000Z</t>
  </si>
  <si>
    <t>2026-01-29T02:45:00.000Z</t>
  </si>
  <si>
    <t>2026-01-29T03:00:00.000Z</t>
  </si>
  <si>
    <t>2026-01-29T03:15:00.000Z</t>
  </si>
  <si>
    <t>2026-01-29T03:30:00.000Z</t>
  </si>
  <si>
    <t>2026-01-29T03:45:00.000Z</t>
  </si>
  <si>
    <t>2026-01-29T04:00:00.000Z</t>
  </si>
  <si>
    <t>2026-01-29T04:15:00.000Z</t>
  </si>
  <si>
    <t>2026-01-29T04:30:00.000Z</t>
  </si>
  <si>
    <t>2026-01-29T04:45:00.000Z</t>
  </si>
  <si>
    <t>2026-01-29T05:00:00.000Z</t>
  </si>
  <si>
    <t>2026-01-29T05:15:00.000Z</t>
  </si>
  <si>
    <t>2026-01-29T05:30:00.000Z</t>
  </si>
  <si>
    <t>2026-01-29T05:45:00.000Z</t>
  </si>
  <si>
    <t>2026-01-29T06:00:00.000Z</t>
  </si>
  <si>
    <t>2026-01-29T06:15:00.000Z</t>
  </si>
  <si>
    <t>2026-01-29T06:30:00.000Z</t>
  </si>
  <si>
    <t>2026-01-29T06:45:00.000Z</t>
  </si>
  <si>
    <t>2026-01-29T07:00:00.000Z</t>
  </si>
  <si>
    <t>2026-01-29T07:15:00.000Z</t>
  </si>
  <si>
    <t>2026-01-29T07:30:00.000Z</t>
  </si>
  <si>
    <t>2026-01-29T07:45:00.000Z</t>
  </si>
  <si>
    <t>2026-01-29T08:00:00.000Z</t>
  </si>
  <si>
    <t>2026-01-29T08:15:00.000Z</t>
  </si>
  <si>
    <t>2026-01-29T08:30:00.000Z</t>
  </si>
  <si>
    <t>2026-01-29T08:45:00.000Z</t>
  </si>
  <si>
    <t>2026-01-29T09:00:00.000Z</t>
  </si>
  <si>
    <t>2026-01-29T09:15:00.000Z</t>
  </si>
  <si>
    <t>2026-01-29T09:30:00.000Z</t>
  </si>
  <si>
    <t>2026-01-29T09:45:00.000Z</t>
  </si>
  <si>
    <t>2026-01-29T10:00:00.000Z</t>
  </si>
  <si>
    <t>2026-01-29T10:15:00.000Z</t>
  </si>
  <si>
    <t>2026-01-29T10:30:00.000Z</t>
  </si>
  <si>
    <t>2026-01-29T10:45:00.000Z</t>
  </si>
  <si>
    <t>2026-01-29T11:00:00.000Z</t>
  </si>
  <si>
    <t>2026-01-29T11:15:00.000Z</t>
  </si>
  <si>
    <t>2026-01-29T11:30:00.000Z</t>
  </si>
  <si>
    <t>2026-01-29T11:45:00.000Z</t>
  </si>
  <si>
    <t>2026-01-29T12:00:00.000Z</t>
  </si>
  <si>
    <t>2026-01-29T12:15:00.000Z</t>
  </si>
  <si>
    <t>2026-01-29T12:30:00.000Z</t>
  </si>
  <si>
    <t>2026-01-29T12:45:00.000Z</t>
  </si>
  <si>
    <t>2026-01-29T13:00:00.000Z</t>
  </si>
  <si>
    <t>2026-01-29T13:15:00.000Z</t>
  </si>
  <si>
    <t>2026-01-29T13:30:00.000Z</t>
  </si>
  <si>
    <t>2026-01-29T13:45:00.000Z</t>
  </si>
  <si>
    <t>2026-01-29T14:00:00.000Z</t>
  </si>
  <si>
    <t>2026-01-29T14:15:00.000Z</t>
  </si>
  <si>
    <t>2026-01-29T14:30:00.000Z</t>
  </si>
  <si>
    <t>2026-01-29T14:45:00.000Z</t>
  </si>
  <si>
    <t>2026-01-29T15:00:00.000Z</t>
  </si>
  <si>
    <t>2026-01-29T15:15:00.000Z</t>
  </si>
  <si>
    <t>2026-01-29T15:30:00.000Z</t>
  </si>
  <si>
    <t>2026-01-29T15:45:00.000Z</t>
  </si>
  <si>
    <t>2026-01-29T16:00:00.000Z</t>
  </si>
  <si>
    <t>2026-01-29T16:15:00.000Z</t>
  </si>
  <si>
    <t>2026-01-29T16:30:00.000Z</t>
  </si>
  <si>
    <t>2026-01-29T16:45:00.000Z</t>
  </si>
  <si>
    <t>2026-01-29T17:00:00.000Z</t>
  </si>
  <si>
    <t>2026-01-29T17:15:00.000Z</t>
  </si>
  <si>
    <t>2026-01-29T17:30:00.000Z</t>
  </si>
  <si>
    <t>2026-01-29T17:45:00.000Z</t>
  </si>
  <si>
    <t>2026-01-29T18:00:00.000Z</t>
  </si>
  <si>
    <t>2026-01-29T18:15:00.000Z</t>
  </si>
  <si>
    <t>2026-01-29T18:30:00.000Z</t>
  </si>
  <si>
    <t>2026-01-29T18:45:00.000Z</t>
  </si>
  <si>
    <t>2026-01-29T19:00:00.000Z</t>
  </si>
  <si>
    <t>2026-01-29T19:15:00.000Z</t>
  </si>
  <si>
    <t>2026-01-29T19:30:00.000Z</t>
  </si>
  <si>
    <t>2026-01-29T19:45:00.000Z</t>
  </si>
  <si>
    <t>2026-01-29T20:00:00.000Z</t>
  </si>
  <si>
    <t>2026-01-29T20:15:00.000Z</t>
  </si>
  <si>
    <t>2026-01-29T20:30:00.000Z</t>
  </si>
  <si>
    <t>2026-01-29T20:45:00.000Z</t>
  </si>
  <si>
    <t>2026-01-29T21:00:00.000Z</t>
  </si>
  <si>
    <t>2026-01-29T21:15:00.000Z</t>
  </si>
  <si>
    <t>2026-01-29T21:30:00.000Z</t>
  </si>
  <si>
    <t>2026-01-29T21:45:00.000Z</t>
  </si>
  <si>
    <t>2026-01-29T22:00:00.000Z</t>
  </si>
  <si>
    <t>2026-01-29T22:15:00.000Z</t>
  </si>
  <si>
    <t>2026-01-29T22:30:00.000Z</t>
  </si>
  <si>
    <t>2026-01-29T22:45:00.000Z</t>
  </si>
  <si>
    <t>2026-01-29T23:00:00.000Z</t>
  </si>
  <si>
    <t>2026-01-29T23:15:00.000Z</t>
  </si>
  <si>
    <t>2026-01-29T23:30:00.000Z</t>
  </si>
  <si>
    <t>2026-01-29T23:45:00.000Z</t>
  </si>
  <si>
    <t>2026-01-30T00:00:00.000Z</t>
  </si>
  <si>
    <t>2026-01-30T00:15:00.000Z</t>
  </si>
  <si>
    <t>2026-01-30T00:30:00.000Z</t>
  </si>
  <si>
    <t>2026-01-30T00:45:00.000Z</t>
  </si>
  <si>
    <t>2026-01-30T01:00:00.000Z</t>
  </si>
  <si>
    <t>2026-01-30T01:15:00.000Z</t>
  </si>
  <si>
    <t>2026-01-30T01:30:00.000Z</t>
  </si>
  <si>
    <t>2026-01-30T01:45:00.000Z</t>
  </si>
  <si>
    <t>2026-01-30T02:00:00.000Z</t>
  </si>
  <si>
    <t>2026-01-30T02:15:00.000Z</t>
  </si>
  <si>
    <t>2026-01-30T02:30:00.000Z</t>
  </si>
  <si>
    <t>2026-01-30T02:45:00.000Z</t>
  </si>
  <si>
    <t>2026-01-30T03:00:00.000Z</t>
  </si>
  <si>
    <t>2026-01-30T03:15:00.000Z</t>
  </si>
  <si>
    <t>2026-01-30T03:30:00.000Z</t>
  </si>
  <si>
    <t>2026-01-30T03:45:00.000Z</t>
  </si>
  <si>
    <t>2026-01-30T04:00:00.000Z</t>
  </si>
  <si>
    <t>2026-01-30T04:15:00.000Z</t>
  </si>
  <si>
    <t>2026-01-30T04:30:00.000Z</t>
  </si>
  <si>
    <t>2026-01-30T04:45:00.000Z</t>
  </si>
  <si>
    <t>2026-01-30T05:00:00.000Z</t>
  </si>
  <si>
    <t>2026-01-30T05:15:00.000Z</t>
  </si>
  <si>
    <t>2026-01-30T05:30:00.000Z</t>
  </si>
  <si>
    <t>2026-01-30T05:45:00.000Z</t>
  </si>
  <si>
    <t>2026-01-30T06:00:00.000Z</t>
  </si>
  <si>
    <t>2026-01-30T06:15:00.000Z</t>
  </si>
  <si>
    <t>2026-01-30T06:30:00.000Z</t>
  </si>
  <si>
    <t>2026-01-30T06:45:00.000Z</t>
  </si>
  <si>
    <t>2026-01-30T07:00:00.000Z</t>
  </si>
  <si>
    <t>2026-01-30T07:15:00.000Z</t>
  </si>
  <si>
    <t>2026-01-30T07:30:00.000Z</t>
  </si>
  <si>
    <t>2026-01-30T07:45:00.000Z</t>
  </si>
  <si>
    <t>2026-01-30T08:00:00.000Z</t>
  </si>
  <si>
    <t>2026-01-30T08:15:00.000Z</t>
  </si>
  <si>
    <t>2026-01-30T08:30:00.000Z</t>
  </si>
  <si>
    <t>2026-01-30T08:45:00.000Z</t>
  </si>
  <si>
    <t>2026-01-30T09:00:00.000Z</t>
  </si>
  <si>
    <t>2026-01-30T09:15:00.000Z</t>
  </si>
  <si>
    <t>2026-01-30T09:30:00.000Z</t>
  </si>
  <si>
    <t>2026-01-30T09:45:00.000Z</t>
  </si>
  <si>
    <t>2026-01-30T10:00:00.000Z</t>
  </si>
  <si>
    <t>2026-01-30T10:15:00.000Z</t>
  </si>
  <si>
    <t>2026-01-30T10:30:00.000Z</t>
  </si>
  <si>
    <t>2026-01-30T10:45:00.000Z</t>
  </si>
  <si>
    <t>2026-01-30T11:00:00.000Z</t>
  </si>
  <si>
    <t>2026-01-30T11:15:00.000Z</t>
  </si>
  <si>
    <t>2026-01-30T11:30:00.000Z</t>
  </si>
  <si>
    <t>2026-01-30T11:45:00.000Z</t>
  </si>
  <si>
    <t>2026-01-30T12:00:00.000Z</t>
  </si>
  <si>
    <t>2026-01-30T12:15:00.000Z</t>
  </si>
  <si>
    <t>2026-01-30T12:30:00.000Z</t>
  </si>
  <si>
    <t>2026-01-30T12:45:00.000Z</t>
  </si>
  <si>
    <t>2026-01-30T13:00:00.000Z</t>
  </si>
  <si>
    <t>2026-01-30T13:15:00.000Z</t>
  </si>
  <si>
    <t>2026-01-30T13:30:00.000Z</t>
  </si>
  <si>
    <t>2026-01-30T13:45:00.000Z</t>
  </si>
  <si>
    <t>2026-01-30T14:00:00.000Z</t>
  </si>
  <si>
    <t>2026-01-30T14:15:00.000Z</t>
  </si>
  <si>
    <t>2026-01-30T14:30:00.000Z</t>
  </si>
  <si>
    <t>2026-01-30T14:45:00.000Z</t>
  </si>
  <si>
    <t>2026-01-30T15:00:00.000Z</t>
  </si>
  <si>
    <t>2026-01-30T15:15:00.000Z</t>
  </si>
  <si>
    <t>2026-01-30T15:30:00.000Z</t>
  </si>
  <si>
    <t>2026-01-30T15:45:00.000Z</t>
  </si>
  <si>
    <t>2026-01-30T16:00:00.000Z</t>
  </si>
  <si>
    <t>2026-01-30T16:15:00.000Z</t>
  </si>
  <si>
    <t>2026-01-30T16:30:00.000Z</t>
  </si>
  <si>
    <t>2026-01-30T16:45:00.000Z</t>
  </si>
  <si>
    <t>2026-01-30T17:00:00.000Z</t>
  </si>
  <si>
    <t>2026-01-30T17:15:00.000Z</t>
  </si>
  <si>
    <t>2026-01-30T17:30:00.000Z</t>
  </si>
  <si>
    <t>2026-01-30T17:45:00.000Z</t>
  </si>
  <si>
    <t>2026-01-30T18:00:00.000Z</t>
  </si>
  <si>
    <t>2026-01-30T18:15:00.000Z</t>
  </si>
  <si>
    <t>2026-01-30T18:30:00.000Z</t>
  </si>
  <si>
    <t>2026-01-30T18:45:00.000Z</t>
  </si>
  <si>
    <t>2026-01-30T19:00:00.000Z</t>
  </si>
  <si>
    <t>2026-01-30T19:15:00.000Z</t>
  </si>
  <si>
    <t>2026-01-30T19:30:00.000Z</t>
  </si>
  <si>
    <t>2026-01-30T19:45:00.000Z</t>
  </si>
  <si>
    <t>2026-01-30T20:00:00.000Z</t>
  </si>
  <si>
    <t>2026-01-30T20:15:00.000Z</t>
  </si>
  <si>
    <t>2026-01-30T20:30:00.000Z</t>
  </si>
  <si>
    <t>2026-01-30T20:45:00.000Z</t>
  </si>
  <si>
    <t>2026-01-30T21:00:00.000Z</t>
  </si>
  <si>
    <t>2026-01-30T21:15:00.000Z</t>
  </si>
  <si>
    <t>2026-01-30T21:30:00.000Z</t>
  </si>
  <si>
    <t>2026-01-30T21:45:00.000Z</t>
  </si>
  <si>
    <t>2026-01-30T22:00:00.000Z</t>
  </si>
  <si>
    <t>2026-01-30T22:15:00.000Z</t>
  </si>
  <si>
    <t>2026-01-30T22:30:00.000Z</t>
  </si>
  <si>
    <t>2026-01-30T22:45:00.000Z</t>
  </si>
  <si>
    <t>2026-01-30T23:00:00.000Z</t>
  </si>
  <si>
    <t>2026-01-30T23:15:00.000Z</t>
  </si>
  <si>
    <t>2026-01-30T23:30:00.000Z</t>
  </si>
  <si>
    <t>2026-01-30T23:45:00.000Z</t>
  </si>
  <si>
    <t>2026-01-31T00:00:00.000Z</t>
  </si>
  <si>
    <t>2026-01-31T00:15:00.000Z</t>
  </si>
  <si>
    <t>2026-01-31T00:30:00.000Z</t>
  </si>
  <si>
    <t>2026-01-31T00:45:00.000Z</t>
  </si>
  <si>
    <t>2026-01-31T01:00:00.000Z</t>
  </si>
  <si>
    <t>2026-01-31T01:15:00.000Z</t>
  </si>
  <si>
    <t>2026-01-31T01:30:00.000Z</t>
  </si>
  <si>
    <t>2026-01-31T01:45:00.000Z</t>
  </si>
  <si>
    <t>2026-01-31T02:00:00.000Z</t>
  </si>
  <si>
    <t>2026-01-31T02:15:00.000Z</t>
  </si>
  <si>
    <t>2026-01-31T02:30:00.000Z</t>
  </si>
  <si>
    <t>2026-01-31T02:45:00.000Z</t>
  </si>
  <si>
    <t>2026-01-31T03:00:00.000Z</t>
  </si>
  <si>
    <t>2026-01-31T03:15:00.000Z</t>
  </si>
  <si>
    <t>2026-01-31T03:30:00.000Z</t>
  </si>
  <si>
    <t>2026-01-31T03:45:00.000Z</t>
  </si>
  <si>
    <t>2026-01-31T04:00:00.000Z</t>
  </si>
  <si>
    <t>2026-01-31T04:15:00.000Z</t>
  </si>
  <si>
    <t>2026-01-31T04:30:00.000Z</t>
  </si>
  <si>
    <t>2026-01-31T04:45:00.000Z</t>
  </si>
  <si>
    <t>2026-01-31T05:00:00.000Z</t>
  </si>
  <si>
    <t>2026-01-31T05:15:00.000Z</t>
  </si>
  <si>
    <t>2026-01-31T05:30:00.000Z</t>
  </si>
  <si>
    <t>2026-01-31T05:45:00.000Z</t>
  </si>
  <si>
    <t>2026-01-31T06:00:00.000Z</t>
  </si>
  <si>
    <t>2026-01-31T06:15:00.000Z</t>
  </si>
  <si>
    <t>2026-01-31T06:30:00.000Z</t>
  </si>
  <si>
    <t>2026-01-31T06:45:00.000Z</t>
  </si>
  <si>
    <t>2026-01-31T07:00:00.000Z</t>
  </si>
  <si>
    <t>2026-01-31T07:15:00.000Z</t>
  </si>
  <si>
    <t>2026-01-31T07:30:00.000Z</t>
  </si>
  <si>
    <t>2026-01-31T07:45:00.000Z</t>
  </si>
  <si>
    <t>2026-01-31T08:00:00.000Z</t>
  </si>
  <si>
    <t>2026-01-31T08:15:00.000Z</t>
  </si>
  <si>
    <t>2026-01-31T08:30:00.000Z</t>
  </si>
  <si>
    <t>2026-01-31T08:45:00.000Z</t>
  </si>
  <si>
    <t>2026-01-31T09:00:00.000Z</t>
  </si>
  <si>
    <t>2026-01-31T09:15:00.000Z</t>
  </si>
  <si>
    <t>2026-01-31T09:30:00.000Z</t>
  </si>
  <si>
    <t>2026-01-31T09:45:00.000Z</t>
  </si>
  <si>
    <t>2026-01-31T10:00:00.000Z</t>
  </si>
  <si>
    <t>2026-01-31T10:15:00.000Z</t>
  </si>
  <si>
    <t>2026-01-31T10:30:00.000Z</t>
  </si>
  <si>
    <t>2026-01-31T10:45:00.000Z</t>
  </si>
  <si>
    <t>2026-01-31T11:00:00.000Z</t>
  </si>
  <si>
    <t>2026-01-31T11:15:00.000Z</t>
  </si>
  <si>
    <t>2026-01-31T11:30:00.000Z</t>
  </si>
  <si>
    <t>2026-01-31T11:45:00.000Z</t>
  </si>
  <si>
    <t>2026-01-31T12:00:00.000Z</t>
  </si>
  <si>
    <t>2026-01-31T12:15:00.000Z</t>
  </si>
  <si>
    <t>2026-01-31T12:30:00.000Z</t>
  </si>
  <si>
    <t>2026-01-31T12:45:00.000Z</t>
  </si>
  <si>
    <t>2026-01-31T13:00:00.000Z</t>
  </si>
  <si>
    <t>2026-01-31T13:15:00.000Z</t>
  </si>
  <si>
    <t>2026-01-31T13:30:00.000Z</t>
  </si>
  <si>
    <t>2026-01-31T13:45:00.000Z</t>
  </si>
  <si>
    <t>2026-01-31T14:00:00.000Z</t>
  </si>
  <si>
    <t>2026-01-31T14:15:00.000Z</t>
  </si>
  <si>
    <t>2026-01-31T14:30:00.000Z</t>
  </si>
  <si>
    <t>2026-01-31T14:45:00.000Z</t>
  </si>
  <si>
    <t>2026-01-31T15:00:00.000Z</t>
  </si>
  <si>
    <t>2026-01-31T15:15:00.000Z</t>
  </si>
  <si>
    <t>2026-01-31T15:30:00.000Z</t>
  </si>
  <si>
    <t>2026-01-31T15:45:00.000Z</t>
  </si>
  <si>
    <t>2026-01-31T16:00:00.000Z</t>
  </si>
  <si>
    <t>2026-01-31T16:15:00.000Z</t>
  </si>
  <si>
    <t>2026-01-31T16:30:00.000Z</t>
  </si>
  <si>
    <t>2026-01-31T16:45:00.000Z</t>
  </si>
  <si>
    <t>2026-01-31T17:00:00.000Z</t>
  </si>
  <si>
    <t>2026-01-31T17:15:00.000Z</t>
  </si>
  <si>
    <t>2026-01-31T17:30:00.000Z</t>
  </si>
  <si>
    <t>2026-01-31T17:45:00.000Z</t>
  </si>
  <si>
    <t>2026-01-31T18:00:00.000Z</t>
  </si>
  <si>
    <t>2026-01-31T18:15:00.000Z</t>
  </si>
  <si>
    <t>2026-01-31T18:30:00.000Z</t>
  </si>
  <si>
    <t>2026-01-31T18:45:00.000Z</t>
  </si>
  <si>
    <t>2026-01-31T19:00:00.000Z</t>
  </si>
  <si>
    <t>2026-01-31T19:15:00.000Z</t>
  </si>
  <si>
    <t>2026-01-31T19:30:00.000Z</t>
  </si>
  <si>
    <t>2026-01-31T19:45:00.000Z</t>
  </si>
  <si>
    <t>2026-01-31T20:00:00.000Z</t>
  </si>
  <si>
    <t>2026-01-31T20:15:00.000Z</t>
  </si>
  <si>
    <t>2026-01-31T20:30:00.000Z</t>
  </si>
  <si>
    <t>2026-01-31T20:45:00.000Z</t>
  </si>
  <si>
    <t>2026-01-31T21:00:00.000Z</t>
  </si>
  <si>
    <t>2026-01-31T21:15:00.000Z</t>
  </si>
  <si>
    <t>2026-01-31T21:30:00.000Z</t>
  </si>
  <si>
    <t>2026-01-31T21:45:00.000Z</t>
  </si>
  <si>
    <t>2026-01-31T22:00:00.000Z</t>
  </si>
  <si>
    <t>2026-01-31T22:15:00.000Z</t>
  </si>
  <si>
    <t>2026-01-31T22:30:00.000Z</t>
  </si>
  <si>
    <t>2026-01-31T22:45:00.000Z</t>
  </si>
  <si>
    <t>2026-01-31T23:00:00.000Z</t>
  </si>
  <si>
    <t>2026-01-31T23:15:00.000Z</t>
  </si>
  <si>
    <t>2026-01-31T23:30:00.000Z</t>
  </si>
  <si>
    <t>2026-01-31T23:45:00.000Z</t>
  </si>
  <si>
    <t>2026-02-01T00:00:00.000Z</t>
  </si>
  <si>
    <t>2026-02-01T00:15:00.000Z</t>
  </si>
  <si>
    <t>2026-02-01T00:30:00.000Z</t>
  </si>
  <si>
    <t>2026-02-01T00:45:00.000Z</t>
  </si>
  <si>
    <t>2026-02-01T01:00:00.000Z</t>
  </si>
  <si>
    <t>2026-02-01T01:15:00.000Z</t>
  </si>
  <si>
    <t>2026-02-01T01:30:00.000Z</t>
  </si>
  <si>
    <t>2026-02-01T01:45:00.000Z</t>
  </si>
  <si>
    <t>2026-02-01T02:00:00.000Z</t>
  </si>
  <si>
    <t>2026-02-01T02:15:00.000Z</t>
  </si>
  <si>
    <t>2026-02-01T02:30:00.000Z</t>
  </si>
  <si>
    <t>2026-02-01T02:45:00.000Z</t>
  </si>
  <si>
    <t>2026-02-01T03:00:00.000Z</t>
  </si>
  <si>
    <t>2026-02-01T03:15:00.000Z</t>
  </si>
  <si>
    <t>2026-02-01T03:30:00.000Z</t>
  </si>
  <si>
    <t>2026-02-01T03:45:00.000Z</t>
  </si>
  <si>
    <t>2026-02-01T04:00:00.000Z</t>
  </si>
  <si>
    <t>2026-02-01T04:15:00.000Z</t>
  </si>
  <si>
    <t>2026-02-01T04:30:00.000Z</t>
  </si>
  <si>
    <t>2026-02-01T04:45:00.000Z</t>
  </si>
  <si>
    <t>2026-02-01T05:00:00.000Z</t>
  </si>
  <si>
    <t>2026-02-01T05:15:00.000Z</t>
  </si>
  <si>
    <t>2026-02-01T05:30:00.000Z</t>
  </si>
  <si>
    <t>2026-02-01T05:45:00.000Z</t>
  </si>
  <si>
    <t>2026-02-01T06:00:00.000Z</t>
  </si>
  <si>
    <t>2026-02-01T06:15:00.000Z</t>
  </si>
  <si>
    <t>2026-02-01T06:30:00.000Z</t>
  </si>
  <si>
    <t>2026-02-01T06:45:00.000Z</t>
  </si>
  <si>
    <t>2026-02-01T07:00:00.000Z</t>
  </si>
  <si>
    <t>2026-02-01T07:15:00.000Z</t>
  </si>
  <si>
    <t>2026-02-01T07:30:00.000Z</t>
  </si>
  <si>
    <t>2026-02-01T07:45:00.000Z</t>
  </si>
  <si>
    <t>2026-02-01T08:00:00.000Z</t>
  </si>
  <si>
    <t>2026-02-01T08:15:00.000Z</t>
  </si>
  <si>
    <t>2026-02-01T08:30:00.000Z</t>
  </si>
  <si>
    <t>2026-02-01T08:45:00.000Z</t>
  </si>
  <si>
    <t>2026-02-01T09:00:00.000Z</t>
  </si>
  <si>
    <t>2026-02-01T09:15:00.000Z</t>
  </si>
  <si>
    <t>2026-02-01T09:30:00.000Z</t>
  </si>
  <si>
    <t>2026-02-01T09:45:00.000Z</t>
  </si>
  <si>
    <t>2026-02-01T10:00:00.000Z</t>
  </si>
  <si>
    <t>2026-02-01T10:15:00.000Z</t>
  </si>
  <si>
    <t>2026-02-01T10:30:00.000Z</t>
  </si>
  <si>
    <t>2026-02-01T10:45:00.000Z</t>
  </si>
  <si>
    <t>2026-02-01T11:00:00.000Z</t>
  </si>
  <si>
    <t>2026-02-01T11:15:00.000Z</t>
  </si>
  <si>
    <t>2026-02-01T11:30:00.000Z</t>
  </si>
  <si>
    <t>2026-02-01T11:45:00.000Z</t>
  </si>
  <si>
    <t>2026-02-01T12:00:00.000Z</t>
  </si>
  <si>
    <t>2026-02-01T12:15:00.000Z</t>
  </si>
  <si>
    <t>2026-02-01T12:30:00.000Z</t>
  </si>
  <si>
    <t>2026-02-01T12:45:00.000Z</t>
  </si>
  <si>
    <t>2026-02-01T13:00:00.000Z</t>
  </si>
  <si>
    <t>2026-02-01T13:15:00.000Z</t>
  </si>
  <si>
    <t>2026-02-01T13:30:00.000Z</t>
  </si>
  <si>
    <t>2026-02-01T13:45:00.000Z</t>
  </si>
  <si>
    <t>2026-02-01T14:00:00.000Z</t>
  </si>
  <si>
    <t>2026-02-01T14:15:00.000Z</t>
  </si>
  <si>
    <t>2026-02-01T14:30:00.000Z</t>
  </si>
  <si>
    <t>2026-02-01T14:45:00.000Z</t>
  </si>
  <si>
    <t>2026-02-01T15:00:00.000Z</t>
  </si>
  <si>
    <t>2026-02-01T15:15:00.000Z</t>
  </si>
  <si>
    <t>2026-02-01T15:30:00.000Z</t>
  </si>
  <si>
    <t>2026-02-01T15:45:00.000Z</t>
  </si>
  <si>
    <t>2026-02-01T16:00:00.000Z</t>
  </si>
  <si>
    <t>2026-02-01T16:15:00.000Z</t>
  </si>
  <si>
    <t>2026-02-01T16:30:00.000Z</t>
  </si>
  <si>
    <t>2026-02-01T16:45:00.000Z</t>
  </si>
  <si>
    <t>2026-02-01T17:00:00.000Z</t>
  </si>
  <si>
    <t>2026-02-01T17:15:00.000Z</t>
  </si>
  <si>
    <t>2026-02-01T17:30:00.000Z</t>
  </si>
  <si>
    <t>2026-02-01T17:45:00.000Z</t>
  </si>
  <si>
    <t>2026-02-01T18:00:00.000Z</t>
  </si>
  <si>
    <t>2026-02-01T18:15:00.000Z</t>
  </si>
  <si>
    <t>2026-02-01T18:30:00.000Z</t>
  </si>
  <si>
    <t>2026-02-01T18:45:00.000Z</t>
  </si>
  <si>
    <t>2026-02-01T19:00:00.000Z</t>
  </si>
  <si>
    <t>2026-02-01T19:15:00.000Z</t>
  </si>
  <si>
    <t>2026-02-01T19:30:00.000Z</t>
  </si>
  <si>
    <t>2026-02-01T19:45:00.000Z</t>
  </si>
  <si>
    <t>2026-02-01T20:00:00.000Z</t>
  </si>
  <si>
    <t>2026-02-01T20:15:00.000Z</t>
  </si>
  <si>
    <t>2026-02-01T20:30:00.000Z</t>
  </si>
  <si>
    <t>2026-02-01T20:45:00.000Z</t>
  </si>
  <si>
    <t>2026-02-01T21:00:00.000Z</t>
  </si>
  <si>
    <t>2026-02-01T21:15:00.000Z</t>
  </si>
  <si>
    <t>2026-02-01T21:30:00.000Z</t>
  </si>
  <si>
    <t>2026-02-01T21:45:00.000Z</t>
  </si>
  <si>
    <t>2026-02-01T22:00:00.000Z</t>
  </si>
  <si>
    <t>2026-02-01T22:15:00.000Z</t>
  </si>
  <si>
    <t>2026-02-01T22:30:00.000Z</t>
  </si>
  <si>
    <t>2026-02-01T22:45:00.000Z</t>
  </si>
  <si>
    <t>2026-02-01T23:00:00.000Z</t>
  </si>
  <si>
    <t>2026-02-01T23:15:00.000Z</t>
  </si>
  <si>
    <t>2026-02-01T23:30:00.000Z</t>
  </si>
  <si>
    <t>2026-02-01T23:45:00.000Z</t>
  </si>
  <si>
    <t>2026-02-02T00:00:00.000Z</t>
  </si>
  <si>
    <t>2026-02-02T00:15:00.000Z</t>
  </si>
  <si>
    <t>2026-02-02T00:30:00.000Z</t>
  </si>
  <si>
    <t>2026-02-02T00:45:00.000Z</t>
  </si>
  <si>
    <t>2026-02-02T01:00:00.000Z</t>
  </si>
  <si>
    <t>2026-02-02T01:15:00.000Z</t>
  </si>
  <si>
    <t>2026-02-02T01:30:00.000Z</t>
  </si>
  <si>
    <t>2026-02-02T01:45:00.000Z</t>
  </si>
  <si>
    <t>2026-02-02T02:00:00.000Z</t>
  </si>
  <si>
    <t>2026-02-02T02:15:00.000Z</t>
  </si>
  <si>
    <t>2026-02-02T02:30:00.000Z</t>
  </si>
  <si>
    <t>2026-02-02T02:45:00.000Z</t>
  </si>
  <si>
    <t>2026-02-02T03:00:00.000Z</t>
  </si>
  <si>
    <t>2026-02-02T03:15:00.000Z</t>
  </si>
  <si>
    <t>2026-02-02T03:30:00.000Z</t>
  </si>
  <si>
    <t>2026-02-02T03:45:00.000Z</t>
  </si>
  <si>
    <t>2026-02-02T04:00:00.000Z</t>
  </si>
  <si>
    <t>2026-02-02T04:15:00.000Z</t>
  </si>
  <si>
    <t>2026-02-02T04:30:00.000Z</t>
  </si>
  <si>
    <t>2026-02-02T04:45:00.000Z</t>
  </si>
  <si>
    <t>2026-02-02T05:00:00.000Z</t>
  </si>
  <si>
    <t>2026-02-02T05:15:00.000Z</t>
  </si>
  <si>
    <t>2026-02-02T05:30:00.000Z</t>
  </si>
  <si>
    <t>2026-02-02T05:45:00.000Z</t>
  </si>
  <si>
    <t>2026-02-02T06:00:00.000Z</t>
  </si>
  <si>
    <t>2026-02-02T06:15:00.000Z</t>
  </si>
  <si>
    <t>2026-02-02T06:30:00.000Z</t>
  </si>
  <si>
    <t>2026-02-02T06:45:00.000Z</t>
  </si>
  <si>
    <t>2026-02-02T07:00:00.000Z</t>
  </si>
  <si>
    <t>2026-02-02T07:15:00.000Z</t>
  </si>
  <si>
    <t>2026-02-02T07:30:00.000Z</t>
  </si>
  <si>
    <t>2026-02-02T07:45:00.000Z</t>
  </si>
  <si>
    <t>2026-02-02T08:00:00.000Z</t>
  </si>
  <si>
    <t>2026-02-02T08:15:00.000Z</t>
  </si>
  <si>
    <t>2026-02-02T08:30:00.000Z</t>
  </si>
  <si>
    <t>2026-02-02T08:45:00.000Z</t>
  </si>
  <si>
    <t>2026-02-02T09:00:00.000Z</t>
  </si>
  <si>
    <t>2026-02-02T09:15:00.000Z</t>
  </si>
  <si>
    <t>2026-02-02T09:30:00.000Z</t>
  </si>
  <si>
    <t>2026-02-02T09:45:00.000Z</t>
  </si>
  <si>
    <t>2026-02-02T10:00:00.000Z</t>
  </si>
  <si>
    <t>2026-02-02T10:15:00.000Z</t>
  </si>
  <si>
    <t>2026-02-02T10:30:00.000Z</t>
  </si>
  <si>
    <t>2026-02-02T10:45:00.000Z</t>
  </si>
  <si>
    <t>2026-02-02T11:00:00.000Z</t>
  </si>
  <si>
    <t>2026-02-02T11:15:00.000Z</t>
  </si>
  <si>
    <t>2026-02-02T11:30:00.000Z</t>
  </si>
  <si>
    <t>2026-02-02T11:45:00.000Z</t>
  </si>
  <si>
    <t>2026-02-02T12:00:00.000Z</t>
  </si>
  <si>
    <t>2026-02-02T12:15:00.000Z</t>
  </si>
  <si>
    <t>2026-02-02T12:30:00.000Z</t>
  </si>
  <si>
    <t>2026-02-02T12:45:00.000Z</t>
  </si>
  <si>
    <t>2026-02-02T13:00:00.000Z</t>
  </si>
  <si>
    <t>2026-02-02T13:15:00.000Z</t>
  </si>
  <si>
    <t>2026-02-02T13:30:00.000Z</t>
  </si>
  <si>
    <t>2026-02-02T13:45:00.000Z</t>
  </si>
  <si>
    <t>2026-02-02T14:00:00.000Z</t>
  </si>
  <si>
    <t>2026-02-02T14:15:00.000Z</t>
  </si>
  <si>
    <t>2026-02-02T14:30:00.000Z</t>
  </si>
  <si>
    <t>2026-02-02T14:45:00.000Z</t>
  </si>
  <si>
    <t>2026-02-02T15:00:00.000Z</t>
  </si>
  <si>
    <t>2026-02-02T15:15:00.000Z</t>
  </si>
  <si>
    <t>2026-02-02T15:30:00.000Z</t>
  </si>
  <si>
    <t>2026-02-02T15:45:00.000Z</t>
  </si>
  <si>
    <t>2026-02-02T16:00:00.000Z</t>
  </si>
  <si>
    <t>2026-02-02T16:15:00.000Z</t>
  </si>
  <si>
    <t>2026-02-02T16:30:00.000Z</t>
  </si>
  <si>
    <t>2026-02-02T16:45:00.000Z</t>
  </si>
  <si>
    <t>2026-02-02T17:00:00.000Z</t>
  </si>
  <si>
    <t>2026-02-02T17:15:00.000Z</t>
  </si>
  <si>
    <t>2026-02-02T17:30:00.000Z</t>
  </si>
  <si>
    <t>2026-02-02T17:45:00.000Z</t>
  </si>
  <si>
    <t>2026-02-02T18:00:00.000Z</t>
  </si>
  <si>
    <t>2026-02-02T18:15:00.000Z</t>
  </si>
  <si>
    <t>2026-02-02T18:30:00.000Z</t>
  </si>
  <si>
    <t>2026-02-02T18:45:00.000Z</t>
  </si>
  <si>
    <t>2026-02-02T19:00:00.000Z</t>
  </si>
  <si>
    <t>2026-02-02T19:15:00.000Z</t>
  </si>
  <si>
    <t>2026-02-02T19:30:00.000Z</t>
  </si>
  <si>
    <t>2026-02-02T19:45:00.000Z</t>
  </si>
  <si>
    <t>2026-02-02T20:00:00.000Z</t>
  </si>
  <si>
    <t>2026-02-02T20:15:00.000Z</t>
  </si>
  <si>
    <t>2026-02-02T20:30:00.000Z</t>
  </si>
  <si>
    <t>2026-02-02T20:45:00.000Z</t>
  </si>
  <si>
    <t>2026-02-02T21:00:00.000Z</t>
  </si>
  <si>
    <t>2026-02-02T21:15:00.000Z</t>
  </si>
  <si>
    <t>2026-02-02T21:30:00.000Z</t>
  </si>
  <si>
    <t>2026-02-02T21:45:00.000Z</t>
  </si>
  <si>
    <t>2026-02-02T22:00:00.000Z</t>
  </si>
  <si>
    <t>2026-02-02T22:15:00.000Z</t>
  </si>
  <si>
    <t>2026-02-02T22:30:00.000Z</t>
  </si>
  <si>
    <t>2026-02-02T22:45:00.000Z</t>
  </si>
  <si>
    <t>2026-02-02T23:00:00.000Z</t>
  </si>
  <si>
    <t>2026-02-02T23:15:00.000Z</t>
  </si>
  <si>
    <t>2026-02-02T23:30:00.000Z</t>
  </si>
  <si>
    <t>2026-02-02T23:45:00.000Z</t>
  </si>
  <si>
    <t>2026-02-03T00:00:00.000Z</t>
  </si>
  <si>
    <t>2026-02-03T00:15:00.000Z</t>
  </si>
  <si>
    <t>2026-02-03T00:30:00.000Z</t>
  </si>
  <si>
    <t>2026-02-03T00:45:00.000Z</t>
  </si>
  <si>
    <t>2026-02-03T01:00:00.000Z</t>
  </si>
  <si>
    <t>2026-02-03T01:15:00.000Z</t>
  </si>
  <si>
    <t>2026-02-03T01:30:00.000Z</t>
  </si>
  <si>
    <t>2026-02-03T01:45:00.000Z</t>
  </si>
  <si>
    <t>2026-02-03T02:00:00.000Z</t>
  </si>
  <si>
    <t>2026-02-03T02:15:00.000Z</t>
  </si>
  <si>
    <t>2026-02-03T02:30:00.000Z</t>
  </si>
  <si>
    <t>2026-02-03T02:45:00.000Z</t>
  </si>
  <si>
    <t>2026-02-03T03:00:00.000Z</t>
  </si>
  <si>
    <t>2026-02-03T03:15:00.000Z</t>
  </si>
  <si>
    <t>2026-02-03T03:30:00.000Z</t>
  </si>
  <si>
    <t>2026-02-03T03:45:00.000Z</t>
  </si>
  <si>
    <t>2026-02-03T04:00:00.000Z</t>
  </si>
  <si>
    <t>2026-02-03T04:15:00.000Z</t>
  </si>
  <si>
    <t>2026-02-03T04:30:00.000Z</t>
  </si>
  <si>
    <t>2026-02-03T04:45:00.000Z</t>
  </si>
  <si>
    <t>2026-02-03T05:00:00.000Z</t>
  </si>
  <si>
    <t>2026-02-03T05:15:00.000Z</t>
  </si>
  <si>
    <t>2026-02-03T05:30:00.000Z</t>
  </si>
  <si>
    <t>2026-02-03T05:45:00.000Z</t>
  </si>
  <si>
    <t>2026-02-03T06:00:00.000Z</t>
  </si>
  <si>
    <t>2026-02-03T06:15:00.000Z</t>
  </si>
  <si>
    <t>2026-02-03T06:30:00.000Z</t>
  </si>
  <si>
    <t>2026-02-03T06:45:00.000Z</t>
  </si>
  <si>
    <t>2026-02-03T07:00:00.000Z</t>
  </si>
  <si>
    <t>2026-02-03T07:15:00.000Z</t>
  </si>
  <si>
    <t>2026-02-03T07:30:00.000Z</t>
  </si>
  <si>
    <t>2026-02-03T07:45:00.000Z</t>
  </si>
  <si>
    <t>2026-02-03T08:00:00.000Z</t>
  </si>
  <si>
    <t>2026-02-03T08:15:00.000Z</t>
  </si>
  <si>
    <t>2026-02-03T08:30:00.000Z</t>
  </si>
  <si>
    <t>2026-02-03T08:45:00.000Z</t>
  </si>
  <si>
    <t>2026-02-03T09:00:00.000Z</t>
  </si>
  <si>
    <t>2026-02-03T09:15:00.000Z</t>
  </si>
  <si>
    <t>2026-02-03T09:30:00.000Z</t>
  </si>
  <si>
    <t>2026-02-03T09:45:00.000Z</t>
  </si>
  <si>
    <t>2026-02-03T10:00:00.000Z</t>
  </si>
  <si>
    <t>2026-02-03T10:15:00.000Z</t>
  </si>
  <si>
    <t>2026-02-03T10:30:00.000Z</t>
  </si>
  <si>
    <t>2026-02-03T10:45:00.000Z</t>
  </si>
  <si>
    <t>2026-02-03T11:00:00.000Z</t>
  </si>
  <si>
    <t>2026-02-03T11:15:00.000Z</t>
  </si>
  <si>
    <t>2026-02-03T11:30:00.000Z</t>
  </si>
  <si>
    <t>2026-02-03T11:45:00.000Z</t>
  </si>
  <si>
    <t>2026-02-03T12:00:00.000Z</t>
  </si>
  <si>
    <t>2026-02-03T12:15:00.000Z</t>
  </si>
  <si>
    <t>2026-02-03T12:30:00.000Z</t>
  </si>
  <si>
    <t>2026-02-03T12:45:00.000Z</t>
  </si>
  <si>
    <t>2026-02-03T13:00:00.000Z</t>
  </si>
  <si>
    <t>2026-02-03T13:15:00.000Z</t>
  </si>
  <si>
    <t>2026-02-03T13:30:00.000Z</t>
  </si>
  <si>
    <t>2026-02-03T13:45:00.000Z</t>
  </si>
  <si>
    <t>2026-02-03T14:00:00.000Z</t>
  </si>
  <si>
    <t>2026-02-03T14:15:00.000Z</t>
  </si>
  <si>
    <t>2026-02-03T14:30:00.000Z</t>
  </si>
  <si>
    <t>2026-02-03T14:45:00.000Z</t>
  </si>
  <si>
    <t>2026-02-03T15:00:00.000Z</t>
  </si>
  <si>
    <t>2026-02-03T15:15:00.000Z</t>
  </si>
  <si>
    <t>2026-02-03T15:30:00.000Z</t>
  </si>
  <si>
    <t>2026-02-03T15:45:00.000Z</t>
  </si>
  <si>
    <t>2026-02-03T16:00:00.000Z</t>
  </si>
  <si>
    <t>2026-02-03T16:15:00.000Z</t>
  </si>
  <si>
    <t>2026-02-03T16:30:00.000Z</t>
  </si>
  <si>
    <t>2026-02-03T16:45:00.000Z</t>
  </si>
  <si>
    <t>2026-02-03T17:00:00.000Z</t>
  </si>
  <si>
    <t>2026-02-03T17:15:00.000Z</t>
  </si>
  <si>
    <t>2026-02-03T17:30:00.000Z</t>
  </si>
  <si>
    <t>2026-02-03T17:45:00.000Z</t>
  </si>
  <si>
    <t>2026-02-03T18:00:00.000Z</t>
  </si>
  <si>
    <t>2026-02-03T18:15:00.000Z</t>
  </si>
  <si>
    <t>2026-02-03T18:30:00.000Z</t>
  </si>
  <si>
    <t>2026-02-03T18:45:00.000Z</t>
  </si>
  <si>
    <t>2026-02-03T19:00:00.000Z</t>
  </si>
  <si>
    <t>2026-02-03T19:15:00.000Z</t>
  </si>
  <si>
    <t>2026-02-03T19:30:00.000Z</t>
  </si>
  <si>
    <t>2026-02-03T19:45:00.000Z</t>
  </si>
  <si>
    <t>2026-02-03T20:00:00.000Z</t>
  </si>
  <si>
    <t>2026-02-03T20:15:00.000Z</t>
  </si>
  <si>
    <t>2026-02-03T20:30:00.000Z</t>
  </si>
  <si>
    <t>2026-02-03T20:45:00.000Z</t>
  </si>
  <si>
    <t>2026-02-03T21:00:00.000Z</t>
  </si>
  <si>
    <t>2026-02-03T21:15:00.000Z</t>
  </si>
  <si>
    <t>2026-02-03T21:30:00.000Z</t>
  </si>
  <si>
    <t>2026-02-03T21:45:00.000Z</t>
  </si>
  <si>
    <t>2026-02-03T22:00:00.000Z</t>
  </si>
  <si>
    <t>2026-02-03T22:15:00.000Z</t>
  </si>
  <si>
    <t>2026-02-03T22:30:00.000Z</t>
  </si>
  <si>
    <t>2026-02-03T22:45:00.000Z</t>
  </si>
  <si>
    <t>2026-02-03T23:00:00.000Z</t>
  </si>
  <si>
    <t>2026-02-03T23:15:00.000Z</t>
  </si>
  <si>
    <t>2026-02-03T23:30:00.000Z</t>
  </si>
  <si>
    <t>2026-02-03T23:45:00.000Z</t>
  </si>
  <si>
    <t>2026-02-04T00:00:00.000Z</t>
  </si>
  <si>
    <t>2026-02-04T00:15:00.000Z</t>
  </si>
  <si>
    <t>2026-02-04T00:30:00.000Z</t>
  </si>
  <si>
    <t>2026-02-04T00:45:00.000Z</t>
  </si>
  <si>
    <t>2026-02-04T01:00:00.000Z</t>
  </si>
  <si>
    <t>2026-02-04T01:15:00.000Z</t>
  </si>
  <si>
    <t>2026-02-04T01:30:00.000Z</t>
  </si>
  <si>
    <t>2026-02-04T01:45:00.000Z</t>
  </si>
  <si>
    <t>2026-02-04T02:00:00.000Z</t>
  </si>
  <si>
    <t>2026-02-04T02:15:00.000Z</t>
  </si>
  <si>
    <t>2026-02-04T02:30:00.000Z</t>
  </si>
  <si>
    <t>2026-02-04T02:45:00.000Z</t>
  </si>
  <si>
    <t>2026-02-04T03:00:00.000Z</t>
  </si>
  <si>
    <t>2026-02-04T03:15:00.000Z</t>
  </si>
  <si>
    <t>2026-02-04T03:30:00.000Z</t>
  </si>
  <si>
    <t>2026-02-04T03:45:00.000Z</t>
  </si>
  <si>
    <t>2026-02-04T04:00:00.000Z</t>
  </si>
  <si>
    <t>2026-02-04T04:15:00.000Z</t>
  </si>
  <si>
    <t>2026-02-04T04:30:00.000Z</t>
  </si>
  <si>
    <t>2026-02-04T04:45:00.000Z</t>
  </si>
  <si>
    <t>2026-02-04T05:00:00.000Z</t>
  </si>
  <si>
    <t>2026-02-04T05:15:00.000Z</t>
  </si>
  <si>
    <t>2026-02-04T05:30:00.000Z</t>
  </si>
  <si>
    <t>2026-02-04T05:45:00.000Z</t>
  </si>
  <si>
    <t>2026-02-04T06:00:00.000Z</t>
  </si>
  <si>
    <t>2026-02-04T06:15:00.000Z</t>
  </si>
  <si>
    <t>2026-02-04T06:30:00.000Z</t>
  </si>
  <si>
    <t>2026-02-04T06:45:00.000Z</t>
  </si>
  <si>
    <t>2026-02-04T07:00:00.000Z</t>
  </si>
  <si>
    <t>2026-02-04T07:15:00.000Z</t>
  </si>
  <si>
    <t>2026-02-04T07:30:00.000Z</t>
  </si>
  <si>
    <t>2026-02-04T07:45:00.000Z</t>
  </si>
  <si>
    <t>2026-02-04T08:00:00.000Z</t>
  </si>
  <si>
    <t>2026-02-04T08:15:00.000Z</t>
  </si>
  <si>
    <t>2026-02-04T08:30:00.000Z</t>
  </si>
  <si>
    <t>2026-02-04T08:45:00.000Z</t>
  </si>
  <si>
    <t>2026-02-04T09:00:00.000Z</t>
  </si>
  <si>
    <t>2026-02-04T09:15:00.000Z</t>
  </si>
  <si>
    <t>2026-02-04T09:30:00.000Z</t>
  </si>
  <si>
    <t>2026-02-04T09:45:00.000Z</t>
  </si>
  <si>
    <t>2026-02-04T10:00:00.000Z</t>
  </si>
  <si>
    <t>2026-02-04T10:15:00.000Z</t>
  </si>
  <si>
    <t>2026-02-04T10:30:00.000Z</t>
  </si>
  <si>
    <t>2026-02-04T10:45:00.000Z</t>
  </si>
  <si>
    <t>2026-02-04T11:00:00.000Z</t>
  </si>
  <si>
    <t>2026-02-04T11:15:00.000Z</t>
  </si>
  <si>
    <t>2026-02-04T11:30:00.000Z</t>
  </si>
  <si>
    <t>2026-02-04T11:45:00.000Z</t>
  </si>
  <si>
    <t>2026-02-04T12:00:00.000Z</t>
  </si>
  <si>
    <t>2026-02-04T12:15:00.000Z</t>
  </si>
  <si>
    <t>2026-02-04T12:30:00.000Z</t>
  </si>
  <si>
    <t>2026-02-04T12:45:00.000Z</t>
  </si>
  <si>
    <t>2026-02-04T13:00:00.000Z</t>
  </si>
  <si>
    <t>2026-02-04T13:15:00.000Z</t>
  </si>
  <si>
    <t>2026-02-04T13:30:00.000Z</t>
  </si>
  <si>
    <t>2026-02-04T13:45:00.000Z</t>
  </si>
  <si>
    <t>2026-02-04T14:00:00.000Z</t>
  </si>
  <si>
    <t>2026-02-04T14:15:00.000Z</t>
  </si>
  <si>
    <t>2026-02-04T14:30:00.000Z</t>
  </si>
  <si>
    <t>2026-02-04T14:45:00.000Z</t>
  </si>
  <si>
    <t>2026-02-04T15:00:00.000Z</t>
  </si>
  <si>
    <t>2026-02-04T15:15:00.000Z</t>
  </si>
  <si>
    <t>2026-02-04T15:30:00.000Z</t>
  </si>
  <si>
    <t>2026-02-04T15:45:00.000Z</t>
  </si>
  <si>
    <t>2026-02-04T16:00:00.000Z</t>
  </si>
  <si>
    <t>2026-02-04T16:15:00.000Z</t>
  </si>
  <si>
    <t>2026-02-04T16:30:00.000Z</t>
  </si>
  <si>
    <t>2026-02-04T16:45:00.000Z</t>
  </si>
  <si>
    <t>2026-02-04T17:00:00.000Z</t>
  </si>
  <si>
    <t>2026-02-04T17:15:00.000Z</t>
  </si>
  <si>
    <t>2026-02-04T17:30:00.000Z</t>
  </si>
  <si>
    <t>2026-02-04T17:45:00.000Z</t>
  </si>
  <si>
    <t>2026-02-04T18:00:00.000Z</t>
  </si>
  <si>
    <t>2026-02-04T18:15:00.000Z</t>
  </si>
  <si>
    <t>2026-02-04T18:30:00.000Z</t>
  </si>
  <si>
    <t>2026-02-04T18:45:00.000Z</t>
  </si>
  <si>
    <t>2026-02-04T19:00:00.000Z</t>
  </si>
  <si>
    <t>2026-02-04T19:15:00.000Z</t>
  </si>
  <si>
    <t>2026-02-04T19:30:00.000Z</t>
  </si>
  <si>
    <t>2026-02-04T19:45:00.000Z</t>
  </si>
  <si>
    <t>2026-02-04T20:00:00.000Z</t>
  </si>
  <si>
    <t>2026-02-04T20:15:00.000Z</t>
  </si>
  <si>
    <t>2026-02-04T20:30:00.000Z</t>
  </si>
  <si>
    <t>2026-02-04T20:45:00.000Z</t>
  </si>
  <si>
    <t>2026-02-04T21:00:00.000Z</t>
  </si>
  <si>
    <t>2026-02-04T21:15:00.000Z</t>
  </si>
  <si>
    <t>2026-02-04T21:30:00.000Z</t>
  </si>
  <si>
    <t>2026-02-04T21:45:00.000Z</t>
  </si>
  <si>
    <t>2026-02-04T22:00:00.000Z</t>
  </si>
  <si>
    <t>2026-02-04T22:15:00.000Z</t>
  </si>
  <si>
    <t>2026-02-04T22:30:00.000Z</t>
  </si>
  <si>
    <t>2026-02-04T22:45:00.000Z</t>
  </si>
  <si>
    <t>2026-02-04T23:00:00.000Z</t>
  </si>
  <si>
    <t>2026-02-04T23:15:00.000Z</t>
  </si>
  <si>
    <t>2026-02-04T23:30:00.000Z</t>
  </si>
  <si>
    <t>2026-02-04T23:45:00.000Z</t>
  </si>
  <si>
    <t>2026-02-05T00:00:00.000Z</t>
  </si>
  <si>
    <t>2026-02-05T00:15:00.000Z</t>
  </si>
  <si>
    <t>2026-02-05T00:30:00.000Z</t>
  </si>
  <si>
    <t>2026-02-05T00:45:00.000Z</t>
  </si>
  <si>
    <t>2026-02-05T01:00:00.000Z</t>
  </si>
  <si>
    <t>2026-02-05T01:15:00.000Z</t>
  </si>
  <si>
    <t>2026-02-05T01:30:00.000Z</t>
  </si>
  <si>
    <t>2026-02-05T01:45:00.000Z</t>
  </si>
  <si>
    <t>2026-02-05T02:00:00.000Z</t>
  </si>
  <si>
    <t>2026-02-05T02:15:00.000Z</t>
  </si>
  <si>
    <t>2026-02-05T02:30:00.000Z</t>
  </si>
  <si>
    <t>2026-02-05T02:45:00.000Z</t>
  </si>
  <si>
    <t>2026-02-05T03:00:00.000Z</t>
  </si>
  <si>
    <t>2026-02-05T03:15:00.000Z</t>
  </si>
  <si>
    <t>2026-02-05T03:30:00.000Z</t>
  </si>
  <si>
    <t>2026-02-05T03:45:00.000Z</t>
  </si>
  <si>
    <t>2026-02-05T04:00:00.000Z</t>
  </si>
  <si>
    <t>2026-02-05T04:15:00.000Z</t>
  </si>
  <si>
    <t>2026-02-05T04:30:00.000Z</t>
  </si>
  <si>
    <t>2026-02-05T04:45:00.000Z</t>
  </si>
  <si>
    <t>2026-02-05T05:00:00.000Z</t>
  </si>
  <si>
    <t>2026-02-05T05:15:00.000Z</t>
  </si>
  <si>
    <t>2026-02-05T05:30:00.000Z</t>
  </si>
  <si>
    <t>2026-02-05T05:45:00.000Z</t>
  </si>
  <si>
    <t>2026-02-05T06:00:00.000Z</t>
  </si>
  <si>
    <t>2026-02-05T06:15:00.000Z</t>
  </si>
  <si>
    <t>2026-02-05T06:30:00.000Z</t>
  </si>
  <si>
    <t>2026-02-05T06:45:00.000Z</t>
  </si>
  <si>
    <t>2026-02-05T07:00:00.000Z</t>
  </si>
  <si>
    <t>2026-02-05T07:15:00.000Z</t>
  </si>
  <si>
    <t>2026-02-05T07:30:00.000Z</t>
  </si>
  <si>
    <t>2026-02-05T07:45:00.000Z</t>
  </si>
  <si>
    <t>2026-02-05T08:00:00.000Z</t>
  </si>
  <si>
    <t>2026-02-05T08:15:00.000Z</t>
  </si>
  <si>
    <t>2026-02-05T08:30:00.000Z</t>
  </si>
  <si>
    <t>2026-02-05T08:45:00.000Z</t>
  </si>
  <si>
    <t>2026-02-05T09:00:00.000Z</t>
  </si>
  <si>
    <t>2026-02-05T09:15:00.000Z</t>
  </si>
  <si>
    <t>2026-02-05T09:30:00.000Z</t>
  </si>
  <si>
    <t>2026-02-05T09:45:00.000Z</t>
  </si>
  <si>
    <t>2026-02-05T10:00:00.000Z</t>
  </si>
  <si>
    <t>2026-02-05T10:15:00.000Z</t>
  </si>
  <si>
    <t>2026-02-05T10:30:00.000Z</t>
  </si>
  <si>
    <t>2026-02-05T10:45:00.000Z</t>
  </si>
  <si>
    <t>2026-02-05T11:00:00.000Z</t>
  </si>
  <si>
    <t>2026-02-05T11:15:00.000Z</t>
  </si>
  <si>
    <t>2026-02-05T11:30:00.000Z</t>
  </si>
  <si>
    <t>2026-02-05T11:45:00.000Z</t>
  </si>
  <si>
    <t>2026-02-05T12:00:00.000Z</t>
  </si>
  <si>
    <t>2026-02-05T12:15:00.000Z</t>
  </si>
  <si>
    <t>2026-02-05T12:30:00.000Z</t>
  </si>
  <si>
    <t>2026-02-05T12:45:00.000Z</t>
  </si>
  <si>
    <t>2026-02-05T13:00:00.000Z</t>
  </si>
  <si>
    <t>2026-02-05T13:15:00.000Z</t>
  </si>
  <si>
    <t>2026-02-05T13:30:00.000Z</t>
  </si>
  <si>
    <t>2026-02-05T13:45:00.000Z</t>
  </si>
  <si>
    <t>2026-02-05T14:00:00.000Z</t>
  </si>
  <si>
    <t>2026-02-05T14:15:00.000Z</t>
  </si>
  <si>
    <t>2026-02-05T14:30:00.000Z</t>
  </si>
  <si>
    <t>2026-02-05T14:45:00.000Z</t>
  </si>
  <si>
    <t>2026-02-05T15:00:00.000Z</t>
  </si>
  <si>
    <t>2026-02-05T15:15:00.000Z</t>
  </si>
  <si>
    <t>2026-02-05T15:30:00.000Z</t>
  </si>
  <si>
    <t>2026-02-05T15:45:00.000Z</t>
  </si>
  <si>
    <t>2026-02-05T16:00:00.000Z</t>
  </si>
  <si>
    <t>2026-02-05T16:15:00.000Z</t>
  </si>
  <si>
    <t>2026-02-05T16:30:00.000Z</t>
  </si>
  <si>
    <t>2026-02-05T16:45:00.000Z</t>
  </si>
  <si>
    <t>2026-02-05T17:00:00.000Z</t>
  </si>
  <si>
    <t>2026-02-05T17:15:00.000Z</t>
  </si>
  <si>
    <t>2026-02-05T17:30:00.000Z</t>
  </si>
  <si>
    <t>2026-02-05T17:45:00.000Z</t>
  </si>
  <si>
    <t>2026-02-05T18:00:00.000Z</t>
  </si>
  <si>
    <t>2026-02-05T18:15:00.000Z</t>
  </si>
  <si>
    <t>2026-02-05T18:30:00.000Z</t>
  </si>
  <si>
    <t>2026-02-05T18:45:00.000Z</t>
  </si>
  <si>
    <t>2026-02-05T19:00:00.000Z</t>
  </si>
  <si>
    <t>2026-02-05T19:15:00.000Z</t>
  </si>
  <si>
    <t>2026-02-05T19:30:00.000Z</t>
  </si>
  <si>
    <t>2026-02-05T19:45:00.000Z</t>
  </si>
  <si>
    <t>2026-02-05T20:00:00.000Z</t>
  </si>
  <si>
    <t>2026-02-05T20:15:00.000Z</t>
  </si>
  <si>
    <t>2026-02-05T20:30:00.000Z</t>
  </si>
  <si>
    <t>2026-02-05T20:45:00.000Z</t>
  </si>
  <si>
    <t>2026-02-05T21:00:00.000Z</t>
  </si>
  <si>
    <t>2026-02-05T21:15:00.000Z</t>
  </si>
  <si>
    <t>2026-02-05T21:30:00.000Z</t>
  </si>
  <si>
    <t>2026-02-05T21:45:00.000Z</t>
  </si>
  <si>
    <t>2026-02-05T22:00:00.000Z</t>
  </si>
  <si>
    <t>2026-02-05T22:15:00.000Z</t>
  </si>
  <si>
    <t>2026-02-05T22:30:00.000Z</t>
  </si>
  <si>
    <t>2026-02-05T22:45:00.000Z</t>
  </si>
  <si>
    <t>2026-02-05T23:00:00.000Z</t>
  </si>
  <si>
    <t>2026-02-05T23:15:00.000Z</t>
  </si>
  <si>
    <t>2026-02-05T23:30:00.000Z</t>
  </si>
  <si>
    <t>2026-02-05T23:45:00.000Z</t>
  </si>
  <si>
    <t>2026-02-06T00:00:00.000Z</t>
  </si>
  <si>
    <t>2026-02-06T00:15:00.000Z</t>
  </si>
  <si>
    <t>2026-02-06T00:30:00.000Z</t>
  </si>
  <si>
    <t>2026-02-06T00:45:00.000Z</t>
  </si>
  <si>
    <t>2026-02-06T01:00:00.000Z</t>
  </si>
  <si>
    <t>2026-02-06T01:15:00.000Z</t>
  </si>
  <si>
    <t>2026-02-06T01:30:00.000Z</t>
  </si>
  <si>
    <t>2026-02-06T01:45:00.000Z</t>
  </si>
  <si>
    <t>2026-02-06T02:00:00.000Z</t>
  </si>
  <si>
    <t>2026-02-06T02:15:00.000Z</t>
  </si>
  <si>
    <t>2026-02-06T02:30:00.000Z</t>
  </si>
  <si>
    <t>2026-02-06T02:45:00.000Z</t>
  </si>
  <si>
    <t>2026-02-06T03:00:00.000Z</t>
  </si>
  <si>
    <t>2026-02-06T03:15:00.000Z</t>
  </si>
  <si>
    <t>2026-02-06T03:30:00.000Z</t>
  </si>
  <si>
    <t>2026-02-06T03:45:00.000Z</t>
  </si>
  <si>
    <t>2026-02-06T04:00:00.000Z</t>
  </si>
  <si>
    <t>2026-02-06T04:15:00.000Z</t>
  </si>
  <si>
    <t>2026-02-06T04:30:00.000Z</t>
  </si>
  <si>
    <t>2026-02-06T04:45:00.000Z</t>
  </si>
  <si>
    <t>2026-02-06T05:00:00.000Z</t>
  </si>
  <si>
    <t>2026-02-06T05:15:00.000Z</t>
  </si>
  <si>
    <t>2026-02-06T05:30:00.000Z</t>
  </si>
  <si>
    <t>2026-02-06T05:45:00.000Z</t>
  </si>
  <si>
    <t>2026-02-06T06:00:00.000Z</t>
  </si>
  <si>
    <t>2026-02-06T06:15:00.000Z</t>
  </si>
  <si>
    <t>2026-02-06T06:30:00.000Z</t>
  </si>
  <si>
    <t>2026-02-06T06:45:00.000Z</t>
  </si>
  <si>
    <t>2026-02-06T07:00:00.000Z</t>
  </si>
  <si>
    <t>2026-02-06T07:15:00.000Z</t>
  </si>
  <si>
    <t>2026-02-06T07:30:00.000Z</t>
  </si>
  <si>
    <t>2026-02-06T07:45:00.000Z</t>
  </si>
  <si>
    <t>2026-02-06T08:00:00.000Z</t>
  </si>
  <si>
    <t>2026-02-06T08:15:00.000Z</t>
  </si>
  <si>
    <t>2026-02-06T08:30:00.000Z</t>
  </si>
  <si>
    <t>2026-02-06T08:45:00.000Z</t>
  </si>
  <si>
    <t>2026-02-06T09:00:00.000Z</t>
  </si>
  <si>
    <t>2026-02-06T09:15:00.000Z</t>
  </si>
  <si>
    <t>2026-02-06T09:30:00.000Z</t>
  </si>
  <si>
    <t>2026-02-06T09:45:00.000Z</t>
  </si>
  <si>
    <t>2026-02-06T10:00:00.000Z</t>
  </si>
  <si>
    <t>2026-02-06T10:15:00.000Z</t>
  </si>
  <si>
    <t>2026-02-06T10:30:00.000Z</t>
  </si>
  <si>
    <t>2026-02-06T10:45:00.000Z</t>
  </si>
  <si>
    <t>2026-02-06T11:00:00.000Z</t>
  </si>
  <si>
    <t>2026-02-06T11:15:00.000Z</t>
  </si>
  <si>
    <t>2026-02-06T11:30:00.000Z</t>
  </si>
  <si>
    <t>2026-02-06T11:45:00.000Z</t>
  </si>
  <si>
    <t>2026-02-06T12:00:00.000Z</t>
  </si>
  <si>
    <t>2026-02-06T12:15:00.000Z</t>
  </si>
  <si>
    <t>2026-02-06T12:30:00.000Z</t>
  </si>
  <si>
    <t>2026-02-06T12:45:00.000Z</t>
  </si>
  <si>
    <t>2026-02-06T13:00:00.000Z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</si>
  <si>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</si>
  <si>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</si>
  <si>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</si>
  <si>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</si>
  <si>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</si>
  <si>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</si>
  <si>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</si>
  <si>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</si>
  <si>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</si>
  <si>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Données NON validées</t>
  </si>
  <si>
    <t/>
  </si>
  <si>
    <t xml:space="preserve">Dates </t>
  </si>
  <si>
    <t xml:space="preserve">CINQAV - PM1 FIDAS CINQAV microg/m3 </t>
  </si>
  <si>
    <t xml:space="preserve">CINQAV - PM25 FIDAS 5AV microg/m3 </t>
  </si>
  <si>
    <t xml:space="preserve">CINQAV - PM10 FIDAS CINQAV microg/m3 </t>
  </si>
  <si>
    <t xml:space="preserve">CINQAV - CO2 Mars_Longchamp ppmv      </t>
  </si>
  <si>
    <t>26/01/2026 00:15</t>
  </si>
  <si>
    <t>4.2</t>
  </si>
  <si>
    <t>A</t>
  </si>
  <si>
    <t>5.5</t>
  </si>
  <si>
    <t>7.1</t>
  </si>
  <si>
    <t>443.84</t>
  </si>
  <si>
    <t>26/01/2026 00:30</t>
  </si>
  <si>
    <t>4.3</t>
  </si>
  <si>
    <t>5.6</t>
  </si>
  <si>
    <t>7.8</t>
  </si>
  <si>
    <t>442.64</t>
  </si>
  <si>
    <t>26/01/2026 00:45</t>
  </si>
  <si>
    <t>4.4</t>
  </si>
  <si>
    <t>5.7</t>
  </si>
  <si>
    <t>8.2</t>
  </si>
  <si>
    <t>443.76</t>
  </si>
  <si>
    <t>26/01/2026 01:00</t>
  </si>
  <si>
    <t>4.6</t>
  </si>
  <si>
    <t>5.8</t>
  </si>
  <si>
    <t>8.1</t>
  </si>
  <si>
    <t>443.45</t>
  </si>
  <si>
    <t>26/01/2026 01:15</t>
  </si>
  <si>
    <t>4.1</t>
  </si>
  <si>
    <t>5.2</t>
  </si>
  <si>
    <t>443.66</t>
  </si>
  <si>
    <t>26/01/2026 01:30</t>
  </si>
  <si>
    <t>3.7</t>
  </si>
  <si>
    <t>4.9</t>
  </si>
  <si>
    <t>6.5</t>
  </si>
  <si>
    <t>443.41</t>
  </si>
  <si>
    <t>26/01/2026 01:45</t>
  </si>
  <si>
    <t>4.8</t>
  </si>
  <si>
    <t>6.9</t>
  </si>
  <si>
    <t>442.46</t>
  </si>
  <si>
    <t>26/01/2026 02:00</t>
  </si>
  <si>
    <t>3.4</t>
  </si>
  <si>
    <t>4.5</t>
  </si>
  <si>
    <t>6.1</t>
  </si>
  <si>
    <t>442.30</t>
  </si>
  <si>
    <t>26/01/2026 02:15</t>
  </si>
  <si>
    <t>3.3</t>
  </si>
  <si>
    <t>442.86</t>
  </si>
  <si>
    <t>26/01/2026 02:30</t>
  </si>
  <si>
    <t>6.0</t>
  </si>
  <si>
    <t>444.49</t>
  </si>
  <si>
    <t>26/01/2026 02:45</t>
  </si>
  <si>
    <t>3.6</t>
  </si>
  <si>
    <t>446.02</t>
  </si>
  <si>
    <t>26/01/2026 03:00</t>
  </si>
  <si>
    <t>3.5</t>
  </si>
  <si>
    <t>446.41</t>
  </si>
  <si>
    <t>26/01/2026 03:15</t>
  </si>
  <si>
    <t>445.53</t>
  </si>
  <si>
    <t>26/01/2026 03:30</t>
  </si>
  <si>
    <t>2.8</t>
  </si>
  <si>
    <t>5.9</t>
  </si>
  <si>
    <t>439.86</t>
  </si>
  <si>
    <t>26/01/2026 03:45</t>
  </si>
  <si>
    <t>2.7</t>
  </si>
  <si>
    <t>441.26</t>
  </si>
  <si>
    <t>26/01/2026 04:00</t>
  </si>
  <si>
    <t>3.0</t>
  </si>
  <si>
    <t>3.9</t>
  </si>
  <si>
    <t>440.74</t>
  </si>
  <si>
    <t>26/01/2026 04:15</t>
  </si>
  <si>
    <t>439.20</t>
  </si>
  <si>
    <t>26/01/2026 04:30</t>
  </si>
  <si>
    <t>441.89</t>
  </si>
  <si>
    <t>26/01/2026 04:45</t>
  </si>
  <si>
    <t>2.9</t>
  </si>
  <si>
    <t>442.79</t>
  </si>
  <si>
    <t>26/01/2026 05:00</t>
  </si>
  <si>
    <t>3.8</t>
  </si>
  <si>
    <t>5.1</t>
  </si>
  <si>
    <t>446.31</t>
  </si>
  <si>
    <t>26/01/2026 05:15</t>
  </si>
  <si>
    <t>3.1</t>
  </si>
  <si>
    <t>5.0</t>
  </si>
  <si>
    <t>446.07</t>
  </si>
  <si>
    <t>26/01/2026 05:30</t>
  </si>
  <si>
    <t>444.83</t>
  </si>
  <si>
    <t>26/01/2026 05:45</t>
  </si>
  <si>
    <t>2.3</t>
  </si>
  <si>
    <t>444.02</t>
  </si>
  <si>
    <t>26/01/2026 06:00</t>
  </si>
  <si>
    <t>2.4</t>
  </si>
  <si>
    <t>444.40</t>
  </si>
  <si>
    <t>26/01/2026 06:15</t>
  </si>
  <si>
    <t>446.58</t>
  </si>
  <si>
    <t>26/01/2026 06:30</t>
  </si>
  <si>
    <t>449.85</t>
  </si>
  <si>
    <t>26/01/2026 06:45</t>
  </si>
  <si>
    <t>6.6</t>
  </si>
  <si>
    <t>456.49</t>
  </si>
  <si>
    <t>26/01/2026 07:00</t>
  </si>
  <si>
    <t>6.8</t>
  </si>
  <si>
    <t>10.0</t>
  </si>
  <si>
    <t>457.84</t>
  </si>
  <si>
    <t>26/01/2026 07:15</t>
  </si>
  <si>
    <t>7.9</t>
  </si>
  <si>
    <t>8.8</t>
  </si>
  <si>
    <t>10.6</t>
  </si>
  <si>
    <t>454.09</t>
  </si>
  <si>
    <t>26/01/2026 07:30</t>
  </si>
  <si>
    <t>8.6</t>
  </si>
  <si>
    <t>9.8</t>
  </si>
  <si>
    <t>451.92</t>
  </si>
  <si>
    <t>26/01/2026 07:45</t>
  </si>
  <si>
    <t>8.0</t>
  </si>
  <si>
    <t>10.5</t>
  </si>
  <si>
    <t>455.50</t>
  </si>
  <si>
    <t>26/01/2026 08:00</t>
  </si>
  <si>
    <t>8.5</t>
  </si>
  <si>
    <t>9.3</t>
  </si>
  <si>
    <t>11.1</t>
  </si>
  <si>
    <t>451.34</t>
  </si>
  <si>
    <t>26/01/2026 08:15</t>
  </si>
  <si>
    <t>9.1</t>
  </si>
  <si>
    <t>451.81</t>
  </si>
  <si>
    <t>26/01/2026 08:30</t>
  </si>
  <si>
    <t>10.7</t>
  </si>
  <si>
    <t>14.0</t>
  </si>
  <si>
    <t>450.66</t>
  </si>
  <si>
    <t>26/01/2026 08:45</t>
  </si>
  <si>
    <t>9.9</t>
  </si>
  <si>
    <t>12.7</t>
  </si>
  <si>
    <t>448.75</t>
  </si>
  <si>
    <t>26/01/2026 09:00</t>
  </si>
  <si>
    <t>9.6</t>
  </si>
  <si>
    <t>12.3</t>
  </si>
  <si>
    <t>446.85</t>
  </si>
  <si>
    <t>26/01/2026 09:15</t>
  </si>
  <si>
    <t>10.8</t>
  </si>
  <si>
    <t>13.1</t>
  </si>
  <si>
    <t>448.38</t>
  </si>
  <si>
    <t>26/01/2026 09:30</t>
  </si>
  <si>
    <t>11.6</t>
  </si>
  <si>
    <t>14.9</t>
  </si>
  <si>
    <t>447.32</t>
  </si>
  <si>
    <t>26/01/2026 09:45</t>
  </si>
  <si>
    <t>10.2</t>
  </si>
  <si>
    <t>11.3</t>
  </si>
  <si>
    <t>14.6</t>
  </si>
  <si>
    <t>446.22</t>
  </si>
  <si>
    <t>26/01/2026 10:00</t>
  </si>
  <si>
    <t>10.9</t>
  </si>
  <si>
    <t>14.8</t>
  </si>
  <si>
    <t>446.49</t>
  </si>
  <si>
    <t>26/01/2026 10:15</t>
  </si>
  <si>
    <t>9.7</t>
  </si>
  <si>
    <t>14.7</t>
  </si>
  <si>
    <t>446.84</t>
  </si>
  <si>
    <t>26/01/2026 10:30</t>
  </si>
  <si>
    <t>13.5</t>
  </si>
  <si>
    <t>443.33</t>
  </si>
  <si>
    <t>26/01/2026 10:45</t>
  </si>
  <si>
    <t>7.5</t>
  </si>
  <si>
    <t>12.1</t>
  </si>
  <si>
    <t>443.04</t>
  </si>
  <si>
    <t>26/01/2026 11:00</t>
  </si>
  <si>
    <t>8.4</t>
  </si>
  <si>
    <t>13.7</t>
  </si>
  <si>
    <t>441.93</t>
  </si>
  <si>
    <t>26/01/2026 11:15</t>
  </si>
  <si>
    <t>8.3</t>
  </si>
  <si>
    <t>442.33</t>
  </si>
  <si>
    <t>26/01/2026 11:30</t>
  </si>
  <si>
    <t>6.7</t>
  </si>
  <si>
    <t>11.8</t>
  </si>
  <si>
    <t>441.29</t>
  </si>
  <si>
    <t>26/01/2026 11:45</t>
  </si>
  <si>
    <t>7.4</t>
  </si>
  <si>
    <t>12.2</t>
  </si>
  <si>
    <t>440.62</t>
  </si>
  <si>
    <t>26/01/2026 12:00</t>
  </si>
  <si>
    <t>6.4</t>
  </si>
  <si>
    <t>440.17</t>
  </si>
  <si>
    <t>26/01/2026 12:15</t>
  </si>
  <si>
    <t>438.75</t>
  </si>
  <si>
    <t>26/01/2026 12:30</t>
  </si>
  <si>
    <t>8.7</t>
  </si>
  <si>
    <t>437.38</t>
  </si>
  <si>
    <t>26/01/2026 12:45</t>
  </si>
  <si>
    <t>436.69</t>
  </si>
  <si>
    <t>26/01/2026 13:00</t>
  </si>
  <si>
    <t>26/01/2026 13:15</t>
  </si>
  <si>
    <t>435.21</t>
  </si>
  <si>
    <t>26/01/2026 13:30</t>
  </si>
  <si>
    <t>2.1</t>
  </si>
  <si>
    <t>9.2</t>
  </si>
  <si>
    <t>436.24</t>
  </si>
  <si>
    <t>26/01/2026 13:45</t>
  </si>
  <si>
    <t>1.9</t>
  </si>
  <si>
    <t>3.2</t>
  </si>
  <si>
    <t>8.9</t>
  </si>
  <si>
    <t>434.76</t>
  </si>
  <si>
    <t>26/01/2026 14:00</t>
  </si>
  <si>
    <t>1.5</t>
  </si>
  <si>
    <t>2.5</t>
  </si>
  <si>
    <t>6.2</t>
  </si>
  <si>
    <t>433.67</t>
  </si>
  <si>
    <t>26/01/2026 14:15</t>
  </si>
  <si>
    <t>1.4</t>
  </si>
  <si>
    <t>2.2</t>
  </si>
  <si>
    <t>434.10</t>
  </si>
  <si>
    <t>26/01/2026 14:30</t>
  </si>
  <si>
    <t>433.62</t>
  </si>
  <si>
    <t>26/01/2026 14:45</t>
  </si>
  <si>
    <t>1.3</t>
  </si>
  <si>
    <t>5.3</t>
  </si>
  <si>
    <t>433.64</t>
  </si>
  <si>
    <t>26/01/2026 15:00</t>
  </si>
  <si>
    <t>7.2</t>
  </si>
  <si>
    <t>434.17</t>
  </si>
  <si>
    <t>26/01/2026 15:15</t>
  </si>
  <si>
    <t>434.38</t>
  </si>
  <si>
    <t>26/01/2026 15:30</t>
  </si>
  <si>
    <t>2.6</t>
  </si>
  <si>
    <t>7.7</t>
  </si>
  <si>
    <t>435.32</t>
  </si>
  <si>
    <t>26/01/2026 15:45</t>
  </si>
  <si>
    <t>1.7</t>
  </si>
  <si>
    <t>437.29</t>
  </si>
  <si>
    <t>26/01/2026 16:00</t>
  </si>
  <si>
    <t>435.13</t>
  </si>
  <si>
    <t>26/01/2026 16:15</t>
  </si>
  <si>
    <t>2.0</t>
  </si>
  <si>
    <t>436.53</t>
  </si>
  <si>
    <t>26/01/2026 16:30</t>
  </si>
  <si>
    <t>13.2</t>
  </si>
  <si>
    <t>439.05</t>
  </si>
  <si>
    <t>26/01/2026 16:45</t>
  </si>
  <si>
    <t>440.66</t>
  </si>
  <si>
    <t>26/01/2026 17:00</t>
  </si>
  <si>
    <t>441.77</t>
  </si>
  <si>
    <t>26/01/2026 17:15</t>
  </si>
  <si>
    <t>26/01/2026 17:30</t>
  </si>
  <si>
    <t>440.31</t>
  </si>
  <si>
    <t>26/01/2026 17:45</t>
  </si>
  <si>
    <t>442.85</t>
  </si>
  <si>
    <t>26/01/2026 18:00</t>
  </si>
  <si>
    <t>443.59</t>
  </si>
  <si>
    <t>26/01/2026 18:15</t>
  </si>
  <si>
    <t>4.0</t>
  </si>
  <si>
    <t>442.27</t>
  </si>
  <si>
    <t>26/01/2026 18:30</t>
  </si>
  <si>
    <t>448.51</t>
  </si>
  <si>
    <t>26/01/2026 18:45</t>
  </si>
  <si>
    <t>448.87</t>
  </si>
  <si>
    <t>26/01/2026 19:00</t>
  </si>
  <si>
    <t>9.5</t>
  </si>
  <si>
    <t>458.00</t>
  </si>
  <si>
    <t>26/01/2026 19:15</t>
  </si>
  <si>
    <t>6.3</t>
  </si>
  <si>
    <t>463.34</t>
  </si>
  <si>
    <t>26/01/2026 19:30</t>
  </si>
  <si>
    <t>12.0</t>
  </si>
  <si>
    <t>455.55</t>
  </si>
  <si>
    <t>26/01/2026 19:45</t>
  </si>
  <si>
    <t>454.52</t>
  </si>
  <si>
    <t>26/01/2026 20:00</t>
  </si>
  <si>
    <t>9.0</t>
  </si>
  <si>
    <t>15.6</t>
  </si>
  <si>
    <t>465.66</t>
  </si>
  <si>
    <t>26/01/2026 20:15</t>
  </si>
  <si>
    <t>19.8</t>
  </si>
  <si>
    <t>21.9</t>
  </si>
  <si>
    <t>29.3</t>
  </si>
  <si>
    <t>466.25</t>
  </si>
  <si>
    <t>26/01/2026 20:30</t>
  </si>
  <si>
    <t>25.6</t>
  </si>
  <si>
    <t>27.2</t>
  </si>
  <si>
    <t>31.1</t>
  </si>
  <si>
    <t>467.00</t>
  </si>
  <si>
    <t>26/01/2026 20:45</t>
  </si>
  <si>
    <t>29.0</t>
  </si>
  <si>
    <t>34.4</t>
  </si>
  <si>
    <t>463.10</t>
  </si>
  <si>
    <t>26/01/2026 21:00</t>
  </si>
  <si>
    <t>24.9</t>
  </si>
  <si>
    <t>26.6</t>
  </si>
  <si>
    <t>32.0</t>
  </si>
  <si>
    <t>463.80</t>
  </si>
  <si>
    <t>26/01/2026 21:15</t>
  </si>
  <si>
    <t>19.2</t>
  </si>
  <si>
    <t>20.6</t>
  </si>
  <si>
    <t>23.8</t>
  </si>
  <si>
    <t>456.27</t>
  </si>
  <si>
    <t>26/01/2026 21:30</t>
  </si>
  <si>
    <t>15.3</t>
  </si>
  <si>
    <t>16.5</t>
  </si>
  <si>
    <t>19.3</t>
  </si>
  <si>
    <t>460.45</t>
  </si>
  <si>
    <t>26/01/2026 21:45</t>
  </si>
  <si>
    <t>18.7</t>
  </si>
  <si>
    <t>20.1</t>
  </si>
  <si>
    <t>24.3</t>
  </si>
  <si>
    <t>464.82</t>
  </si>
  <si>
    <t>26/01/2026 22:00</t>
  </si>
  <si>
    <t>22.8</t>
  </si>
  <si>
    <t>27.7</t>
  </si>
  <si>
    <t>462.89</t>
  </si>
  <si>
    <t>26/01/2026 22:15</t>
  </si>
  <si>
    <t>23.4</t>
  </si>
  <si>
    <t>463.41</t>
  </si>
  <si>
    <t>26/01/2026 22:30</t>
  </si>
  <si>
    <t>21.6</t>
  </si>
  <si>
    <t>23.1</t>
  </si>
  <si>
    <t>25.7</t>
  </si>
  <si>
    <t>462.82</t>
  </si>
  <si>
    <t>26/01/2026 22:45</t>
  </si>
  <si>
    <t>20.9</t>
  </si>
  <si>
    <t>22.1</t>
  </si>
  <si>
    <t>24.5</t>
  </si>
  <si>
    <t>462.35</t>
  </si>
  <si>
    <t>26/01/2026 23:00</t>
  </si>
  <si>
    <t>20.5</t>
  </si>
  <si>
    <t>21.7</t>
  </si>
  <si>
    <t>458.80</t>
  </si>
  <si>
    <t>26/01/2026 23:15</t>
  </si>
  <si>
    <t>17.7</t>
  </si>
  <si>
    <t>18.9</t>
  </si>
  <si>
    <t>457.93</t>
  </si>
  <si>
    <t>26/01/2026 23:30</t>
  </si>
  <si>
    <t>18.4</t>
  </si>
  <si>
    <t>19.7</t>
  </si>
  <si>
    <t>457.39</t>
  </si>
  <si>
    <t>26/01/2026 23:45</t>
  </si>
  <si>
    <t>15.2</t>
  </si>
  <si>
    <t>16.2</t>
  </si>
  <si>
    <t>18.1</t>
  </si>
  <si>
    <t>448.08</t>
  </si>
  <si>
    <t>26/01/2026 24:00</t>
  </si>
  <si>
    <t>12.8</t>
  </si>
  <si>
    <t>449.67</t>
  </si>
  <si>
    <t>27/01/2026 00:15</t>
  </si>
  <si>
    <t>11.7</t>
  </si>
  <si>
    <t>13.8</t>
  </si>
  <si>
    <t>448.86</t>
  </si>
  <si>
    <t>27/01/2026 00:30</t>
  </si>
  <si>
    <t>449.30</t>
  </si>
  <si>
    <t>27/01/2026 00:45</t>
  </si>
  <si>
    <t>452.94</t>
  </si>
  <si>
    <t>27/01/2026 01:00</t>
  </si>
  <si>
    <t>13.0</t>
  </si>
  <si>
    <t>453.92</t>
  </si>
  <si>
    <t>27/01/2026 01:15</t>
  </si>
  <si>
    <t>11.0</t>
  </si>
  <si>
    <t>447.72</t>
  </si>
  <si>
    <t>27/01/2026 01:30</t>
  </si>
  <si>
    <t>445.97</t>
  </si>
  <si>
    <t>27/01/2026 01:45</t>
  </si>
  <si>
    <t>444.98</t>
  </si>
  <si>
    <t>27/01/2026 02:00</t>
  </si>
  <si>
    <t>444.39</t>
  </si>
  <si>
    <t>27/01/2026 02:15</t>
  </si>
  <si>
    <t>443.57</t>
  </si>
  <si>
    <t>27/01/2026 02:30</t>
  </si>
  <si>
    <t>444.60</t>
  </si>
  <si>
    <t>27/01/2026 02:45</t>
  </si>
  <si>
    <t>7.0</t>
  </si>
  <si>
    <t>449.94</t>
  </si>
  <si>
    <t>27/01/2026 03:00</t>
  </si>
  <si>
    <t>446.13</t>
  </si>
  <si>
    <t>27/01/2026 03:15</t>
  </si>
  <si>
    <t>440.61</t>
  </si>
  <si>
    <t>27/01/2026 03:30</t>
  </si>
  <si>
    <t>440.58</t>
  </si>
  <si>
    <t>27/01/2026 03:45</t>
  </si>
  <si>
    <t>4.7</t>
  </si>
  <si>
    <t>441.40</t>
  </si>
  <si>
    <t>27/01/2026 04:00</t>
  </si>
  <si>
    <t>439.47</t>
  </si>
  <si>
    <t>27/01/2026 04:15</t>
  </si>
  <si>
    <t>440.94</t>
  </si>
  <si>
    <t>27/01/2026 04:30</t>
  </si>
  <si>
    <t>441.80</t>
  </si>
  <si>
    <t>27/01/2026 04:45</t>
  </si>
  <si>
    <t>443.89</t>
  </si>
  <si>
    <t>27/01/2026 05:00</t>
  </si>
  <si>
    <t>442.22</t>
  </si>
  <si>
    <t>27/01/2026 05:15</t>
  </si>
  <si>
    <t>442.80</t>
  </si>
  <si>
    <t>27/01/2026 05:30</t>
  </si>
  <si>
    <t>27/01/2026 05:45</t>
  </si>
  <si>
    <t>444.15</t>
  </si>
  <si>
    <t>27/01/2026 06:00</t>
  </si>
  <si>
    <t>27/01/2026 06:15</t>
  </si>
  <si>
    <t>446.64</t>
  </si>
  <si>
    <t>27/01/2026 06:30</t>
  </si>
  <si>
    <t>447.07</t>
  </si>
  <si>
    <t>27/01/2026 06:45</t>
  </si>
  <si>
    <t>445.56</t>
  </si>
  <si>
    <t>27/01/2026 07:00</t>
  </si>
  <si>
    <t>27/01/2026 07:15</t>
  </si>
  <si>
    <t>447.76</t>
  </si>
  <si>
    <t>27/01/2026 07:30</t>
  </si>
  <si>
    <t>445.23</t>
  </si>
  <si>
    <t>27/01/2026 07:45</t>
  </si>
  <si>
    <t>443.52</t>
  </si>
  <si>
    <t>27/01/2026 08:00</t>
  </si>
  <si>
    <t>27/01/2026 08:15</t>
  </si>
  <si>
    <t>442.44</t>
  </si>
  <si>
    <t>27/01/2026 08:30</t>
  </si>
  <si>
    <t>439.94</t>
  </si>
  <si>
    <t>27/01/2026 08:45</t>
  </si>
  <si>
    <t>437.85</t>
  </si>
  <si>
    <t>27/01/2026 09:00</t>
  </si>
  <si>
    <t>1.1</t>
  </si>
  <si>
    <t>1.6</t>
  </si>
  <si>
    <t>436.81</t>
  </si>
  <si>
    <t>27/01/2026 09:15</t>
  </si>
  <si>
    <t>437.01</t>
  </si>
  <si>
    <t>27/01/2026 09:30</t>
  </si>
  <si>
    <t>436.18</t>
  </si>
  <si>
    <t>27/01/2026 09:45</t>
  </si>
  <si>
    <t>1.2</t>
  </si>
  <si>
    <t>437.13</t>
  </si>
  <si>
    <t>27/01/2026 10:00</t>
  </si>
  <si>
    <t>437.27</t>
  </si>
  <si>
    <t>27/01/2026 10:15</t>
  </si>
  <si>
    <t>1.8</t>
  </si>
  <si>
    <t>437.74</t>
  </si>
  <si>
    <t>27/01/2026 10:30</t>
  </si>
  <si>
    <t>436.70</t>
  </si>
  <si>
    <t>27/01/2026 10:45</t>
  </si>
  <si>
    <t>27/01/2026 11:00</t>
  </si>
  <si>
    <t>437.31</t>
  </si>
  <si>
    <t>27/01/2026 11:15</t>
  </si>
  <si>
    <t>437.93</t>
  </si>
  <si>
    <t>27/01/2026 11:30</t>
  </si>
  <si>
    <t>27/01/2026 11:45</t>
  </si>
  <si>
    <t>437.37</t>
  </si>
  <si>
    <t>27/01/2026 12:00</t>
  </si>
  <si>
    <t>431.01</t>
  </si>
  <si>
    <t>C</t>
  </si>
  <si>
    <t>27/01/2026 12:15</t>
  </si>
  <si>
    <t>5.4</t>
  </si>
  <si>
    <t>439.63</t>
  </si>
  <si>
    <t>27/01/2026 12:30</t>
  </si>
  <si>
    <t>437.26</t>
  </si>
  <si>
    <t>27/01/2026 12:45</t>
  </si>
  <si>
    <t>433.76</t>
  </si>
  <si>
    <t>27/01/2026 13:00</t>
  </si>
  <si>
    <t>16.8</t>
  </si>
  <si>
    <t>434.08</t>
  </si>
  <si>
    <t>27/01/2026 13:15</t>
  </si>
  <si>
    <t>16.7</t>
  </si>
  <si>
    <t>27/01/2026 13:30</t>
  </si>
  <si>
    <t>433.31</t>
  </si>
  <si>
    <t>27/01/2026 13:45</t>
  </si>
  <si>
    <t>10.1</t>
  </si>
  <si>
    <t>433.38</t>
  </si>
  <si>
    <t>27/01/2026 14:00</t>
  </si>
  <si>
    <t>17.6</t>
  </si>
  <si>
    <t>433.28</t>
  </si>
  <si>
    <t>27/01/2026 14:15</t>
  </si>
  <si>
    <t>18.8</t>
  </si>
  <si>
    <t>434.04</t>
  </si>
  <si>
    <t>27/01/2026 14:30</t>
  </si>
  <si>
    <t>11.2</t>
  </si>
  <si>
    <t>17.5</t>
  </si>
  <si>
    <t>434.80</t>
  </si>
  <si>
    <t>27/01/2026 14:45</t>
  </si>
  <si>
    <t>19.9</t>
  </si>
  <si>
    <t>434.34</t>
  </si>
  <si>
    <t>27/01/2026 15:00</t>
  </si>
  <si>
    <t>7.3</t>
  </si>
  <si>
    <t>14.2</t>
  </si>
  <si>
    <t>22.6</t>
  </si>
  <si>
    <t>434.50</t>
  </si>
  <si>
    <t>27/01/2026 15:15</t>
  </si>
  <si>
    <t>21.3</t>
  </si>
  <si>
    <t>434.24</t>
  </si>
  <si>
    <t>27/01/2026 15:30</t>
  </si>
  <si>
    <t>19.0</t>
  </si>
  <si>
    <t>433.97</t>
  </si>
  <si>
    <t>27/01/2026 15:45</t>
  </si>
  <si>
    <t>19.1</t>
  </si>
  <si>
    <t>434.27</t>
  </si>
  <si>
    <t>27/01/2026 16:00</t>
  </si>
  <si>
    <t>12.4</t>
  </si>
  <si>
    <t>435.10</t>
  </si>
  <si>
    <t>27/01/2026 16:15</t>
  </si>
  <si>
    <t>11.9</t>
  </si>
  <si>
    <t>17.4</t>
  </si>
  <si>
    <t>434.79</t>
  </si>
  <si>
    <t>27/01/2026 16:30</t>
  </si>
  <si>
    <t>17.3</t>
  </si>
  <si>
    <t>434.40</t>
  </si>
  <si>
    <t>27/01/2026 16:45</t>
  </si>
  <si>
    <t>18.5</t>
  </si>
  <si>
    <t>434.33</t>
  </si>
  <si>
    <t>27/01/2026 17:00</t>
  </si>
  <si>
    <t>434.61</t>
  </si>
  <si>
    <t>27/01/2026 17:15</t>
  </si>
  <si>
    <t>434.43</t>
  </si>
  <si>
    <t>27/01/2026 17:30</t>
  </si>
  <si>
    <t>434.77</t>
  </si>
  <si>
    <t>27/01/2026 17:45</t>
  </si>
  <si>
    <t>434.91</t>
  </si>
  <si>
    <t>27/01/2026 18:00</t>
  </si>
  <si>
    <t>435.68</t>
  </si>
  <si>
    <t>27/01/2026 18:15</t>
  </si>
  <si>
    <t>435.34</t>
  </si>
  <si>
    <t>27/01/2026 18:30</t>
  </si>
  <si>
    <t>10.3</t>
  </si>
  <si>
    <t>15.7</t>
  </si>
  <si>
    <t>435.86</t>
  </si>
  <si>
    <t>27/01/2026 18:45</t>
  </si>
  <si>
    <t>435.54</t>
  </si>
  <si>
    <t>27/01/2026 19:00</t>
  </si>
  <si>
    <t>9.4</t>
  </si>
  <si>
    <t>14.3</t>
  </si>
  <si>
    <t>435.16</t>
  </si>
  <si>
    <t>27/01/2026 19:15</t>
  </si>
  <si>
    <t>14.1</t>
  </si>
  <si>
    <t>434.73</t>
  </si>
  <si>
    <t>27/01/2026 19:30</t>
  </si>
  <si>
    <t>12.6</t>
  </si>
  <si>
    <t>434.56</t>
  </si>
  <si>
    <t>27/01/2026 19:45</t>
  </si>
  <si>
    <t>433.98</t>
  </si>
  <si>
    <t>27/01/2026 20:00</t>
  </si>
  <si>
    <t>433.50</t>
  </si>
  <si>
    <t>27/01/2026 20:15</t>
  </si>
  <si>
    <t>433.84</t>
  </si>
  <si>
    <t>27/01/2026 20:30</t>
  </si>
  <si>
    <t>7.6</t>
  </si>
  <si>
    <t>434.83</t>
  </si>
  <si>
    <t>27/01/2026 20:45</t>
  </si>
  <si>
    <t>434.29</t>
  </si>
  <si>
    <t>27/01/2026 21:00</t>
  </si>
  <si>
    <t>14.4</t>
  </si>
  <si>
    <t>433.81</t>
  </si>
  <si>
    <t>27/01/2026 21:15</t>
  </si>
  <si>
    <t>16.9</t>
  </si>
  <si>
    <t>436.33</t>
  </si>
  <si>
    <t>27/01/2026 21:30</t>
  </si>
  <si>
    <t>15.0</t>
  </si>
  <si>
    <t>27/01/2026 21:45</t>
  </si>
  <si>
    <t>27/01/2026 22:00</t>
  </si>
  <si>
    <t>438.89</t>
  </si>
  <si>
    <t>27/01/2026 22:15</t>
  </si>
  <si>
    <t>439.18</t>
  </si>
  <si>
    <t>27/01/2026 22:30</t>
  </si>
  <si>
    <t>443.02</t>
  </si>
  <si>
    <t>27/01/2026 22:45</t>
  </si>
  <si>
    <t>444.20</t>
  </si>
  <si>
    <t>27/01/2026 23:00</t>
  </si>
  <si>
    <t>442.07</t>
  </si>
  <si>
    <t>27/01/2026 23:15</t>
  </si>
  <si>
    <t>444.09</t>
  </si>
  <si>
    <t>27/01/2026 23:30</t>
  </si>
  <si>
    <t>441.66</t>
  </si>
  <si>
    <t>27/01/2026 23:45</t>
  </si>
  <si>
    <t>27/01/2026 24:00</t>
  </si>
  <si>
    <t>439.08</t>
  </si>
  <si>
    <t>28/01/2026 00:15</t>
  </si>
  <si>
    <t>439.53</t>
  </si>
  <si>
    <t>28/01/2026 00:30</t>
  </si>
  <si>
    <t>439.01</t>
  </si>
  <si>
    <t>28/01/2026 00:45</t>
  </si>
  <si>
    <t>437.72</t>
  </si>
  <si>
    <t>28/01/2026 01:00</t>
  </si>
  <si>
    <t>438.86</t>
  </si>
  <si>
    <t>28/01/2026 01:15</t>
  </si>
  <si>
    <t>439.96</t>
  </si>
  <si>
    <t>28/01/2026 01:30</t>
  </si>
  <si>
    <t>440.59</t>
  </si>
  <si>
    <t>28/01/2026 01:45</t>
  </si>
  <si>
    <t>441.02</t>
  </si>
  <si>
    <t>28/01/2026 02:00</t>
  </si>
  <si>
    <t>441.58</t>
  </si>
  <si>
    <t>28/01/2026 02:15</t>
  </si>
  <si>
    <t>443.07</t>
  </si>
  <si>
    <t>28/01/2026 02:30</t>
  </si>
  <si>
    <t>28/01/2026 02:45</t>
  </si>
  <si>
    <t>442.19</t>
  </si>
  <si>
    <t>28/01/2026 03:00</t>
  </si>
  <si>
    <t>438.03</t>
  </si>
  <si>
    <t>28/01/2026 03:15</t>
  </si>
  <si>
    <t>1.0</t>
  </si>
  <si>
    <t>437.48</t>
  </si>
  <si>
    <t>28/01/2026 03:30</t>
  </si>
  <si>
    <t>0.7</t>
  </si>
  <si>
    <t>435.42</t>
  </si>
  <si>
    <t>28/01/2026 03:45</t>
  </si>
  <si>
    <t>0.6</t>
  </si>
  <si>
    <t>0.9</t>
  </si>
  <si>
    <t>436.05</t>
  </si>
  <si>
    <t>28/01/2026 04:00</t>
  </si>
  <si>
    <t>435.63</t>
  </si>
  <si>
    <t>28/01/2026 04:15</t>
  </si>
  <si>
    <t>0.5</t>
  </si>
  <si>
    <t>28/01/2026 04:30</t>
  </si>
  <si>
    <t>0.4</t>
  </si>
  <si>
    <t>436.25</t>
  </si>
  <si>
    <t>28/01/2026 04:45</t>
  </si>
  <si>
    <t>435.61</t>
  </si>
  <si>
    <t>28/01/2026 05:00</t>
  </si>
  <si>
    <t>435.70</t>
  </si>
  <si>
    <t>28/01/2026 05:15</t>
  </si>
  <si>
    <t>436.74</t>
  </si>
  <si>
    <t>28/01/2026 05:30</t>
  </si>
  <si>
    <t>436.59</t>
  </si>
  <si>
    <t>28/01/2026 05:45</t>
  </si>
  <si>
    <t>436.20</t>
  </si>
  <si>
    <t>28/01/2026 06:00</t>
  </si>
  <si>
    <t>435.83</t>
  </si>
  <si>
    <t>28/01/2026 06:15</t>
  </si>
  <si>
    <t>28/01/2026 06:30</t>
  </si>
  <si>
    <t>436.54</t>
  </si>
  <si>
    <t>28/01/2026 06:45</t>
  </si>
  <si>
    <t>0.8</t>
  </si>
  <si>
    <t>438.38</t>
  </si>
  <si>
    <t>28/01/2026 07:00</t>
  </si>
  <si>
    <t>439.87</t>
  </si>
  <si>
    <t>28/01/2026 07:15</t>
  </si>
  <si>
    <t>439.33</t>
  </si>
  <si>
    <t>28/01/2026 07:30</t>
  </si>
  <si>
    <t>437.54</t>
  </si>
  <si>
    <t>28/01/2026 07:45</t>
  </si>
  <si>
    <t>438.77</t>
  </si>
  <si>
    <t>28/01/2026 08:00</t>
  </si>
  <si>
    <t>440.09</t>
  </si>
  <si>
    <t>28/01/2026 08:15</t>
  </si>
  <si>
    <t>28/01/2026 08:30</t>
  </si>
  <si>
    <t>28/01/2026 08:45</t>
  </si>
  <si>
    <t>437.97</t>
  </si>
  <si>
    <t>28/01/2026 09:00</t>
  </si>
  <si>
    <t>439.88</t>
  </si>
  <si>
    <t>28/01/2026 09:15</t>
  </si>
  <si>
    <t>440.50</t>
  </si>
  <si>
    <t>28/01/2026 09:30</t>
  </si>
  <si>
    <t>441.20</t>
  </si>
  <si>
    <t>28/01/2026 09:45</t>
  </si>
  <si>
    <t>442.57</t>
  </si>
  <si>
    <t>28/01/2026 10:00</t>
  </si>
  <si>
    <t>441.42</t>
  </si>
  <si>
    <t>28/01/2026 10:15</t>
  </si>
  <si>
    <t>439.82</t>
  </si>
  <si>
    <t>28/01/2026 10:30</t>
  </si>
  <si>
    <t>439.57</t>
  </si>
  <si>
    <t>28/01/2026 10:45</t>
  </si>
  <si>
    <t>439.27</t>
  </si>
  <si>
    <t>28/01/2026 11:00</t>
  </si>
  <si>
    <t>438.94</t>
  </si>
  <si>
    <t>28/01/2026 11:15</t>
  </si>
  <si>
    <t>437.55</t>
  </si>
  <si>
    <t>28/01/2026 11:30</t>
  </si>
  <si>
    <t>436.11</t>
  </si>
  <si>
    <t>28/01/2026 11:45</t>
  </si>
  <si>
    <t>435.52</t>
  </si>
  <si>
    <t>28/01/2026 12:00</t>
  </si>
  <si>
    <t>435.00</t>
  </si>
  <si>
    <t>28/01/2026 12:15</t>
  </si>
  <si>
    <t>436.03</t>
  </si>
  <si>
    <t>28/01/2026 12:30</t>
  </si>
  <si>
    <t>435.25</t>
  </si>
  <si>
    <t>28/01/2026 12:45</t>
  </si>
  <si>
    <t>434.58</t>
  </si>
  <si>
    <t>28/01/2026 13:00</t>
  </si>
  <si>
    <t>434.59</t>
  </si>
  <si>
    <t>28/01/2026 13:15</t>
  </si>
  <si>
    <t>434.28</t>
  </si>
  <si>
    <t>28/01/2026 13:30</t>
  </si>
  <si>
    <t>434.89</t>
  </si>
  <si>
    <t>28/01/2026 13:45</t>
  </si>
  <si>
    <t>28/01/2026 14:00</t>
  </si>
  <si>
    <t>434.82</t>
  </si>
  <si>
    <t>28/01/2026 14:15</t>
  </si>
  <si>
    <t>435.01</t>
  </si>
  <si>
    <t>28/01/2026 14:30</t>
  </si>
  <si>
    <t>28/01/2026 14:45</t>
  </si>
  <si>
    <t>434.62</t>
  </si>
  <si>
    <t>28/01/2026 15:00</t>
  </si>
  <si>
    <t>435.28</t>
  </si>
  <si>
    <t>28/01/2026 15:15</t>
  </si>
  <si>
    <t>435.62</t>
  </si>
  <si>
    <t>28/01/2026 15:30</t>
  </si>
  <si>
    <t>435.45</t>
  </si>
  <si>
    <t>28/01/2026 15:45</t>
  </si>
  <si>
    <t>435.37</t>
  </si>
  <si>
    <t>28/01/2026 16:00</t>
  </si>
  <si>
    <t>436.58</t>
  </si>
  <si>
    <t>28/01/2026 16:15</t>
  </si>
  <si>
    <t>436.46</t>
  </si>
  <si>
    <t>28/01/2026 16:30</t>
  </si>
  <si>
    <t>435.38</t>
  </si>
  <si>
    <t>28/01/2026 16:45</t>
  </si>
  <si>
    <t>437.11</t>
  </si>
  <si>
    <t>28/01/2026 17:00</t>
  </si>
  <si>
    <t>438.54</t>
  </si>
  <si>
    <t>28/01/2026 17:15</t>
  </si>
  <si>
    <t>440.26</t>
  </si>
  <si>
    <t>28/01/2026 17:30</t>
  </si>
  <si>
    <t>439.58</t>
  </si>
  <si>
    <t>28/01/2026 17:45</t>
  </si>
  <si>
    <t>440.68</t>
  </si>
  <si>
    <t>28/01/2026 18:00</t>
  </si>
  <si>
    <t>441.88</t>
  </si>
  <si>
    <t>28/01/2026 18:15</t>
  </si>
  <si>
    <t>440.76</t>
  </si>
  <si>
    <t>28/01/2026 18:30</t>
  </si>
  <si>
    <t>442.68</t>
  </si>
  <si>
    <t>28/01/2026 18:45</t>
  </si>
  <si>
    <t>442.78</t>
  </si>
  <si>
    <t>28/01/2026 19:00</t>
  </si>
  <si>
    <t>441.83</t>
  </si>
  <si>
    <t>28/01/2026 19:15</t>
  </si>
  <si>
    <t>28/01/2026 19:30</t>
  </si>
  <si>
    <t>439.46</t>
  </si>
  <si>
    <t>28/01/2026 19:45</t>
  </si>
  <si>
    <t>438.58</t>
  </si>
  <si>
    <t>28/01/2026 20:00</t>
  </si>
  <si>
    <t>439.25</t>
  </si>
  <si>
    <t>28/01/2026 20:15</t>
  </si>
  <si>
    <t>439.00</t>
  </si>
  <si>
    <t>28/01/2026 20:30</t>
  </si>
  <si>
    <t>438.97</t>
  </si>
  <si>
    <t>28/01/2026 20:45</t>
  </si>
  <si>
    <t>437.96</t>
  </si>
  <si>
    <t>28/01/2026 21:00</t>
  </si>
  <si>
    <t>437.86</t>
  </si>
  <si>
    <t>28/01/2026 21:15</t>
  </si>
  <si>
    <t>28/01/2026 21:30</t>
  </si>
  <si>
    <t>437.66</t>
  </si>
  <si>
    <t>28/01/2026 21:45</t>
  </si>
  <si>
    <t>438.44</t>
  </si>
  <si>
    <t>28/01/2026 22:00</t>
  </si>
  <si>
    <t>438.91</t>
  </si>
  <si>
    <t>28/01/2026 22:15</t>
  </si>
  <si>
    <t>438.50</t>
  </si>
  <si>
    <t>28/01/2026 22:30</t>
  </si>
  <si>
    <t>28/01/2026 22:45</t>
  </si>
  <si>
    <t>439.72</t>
  </si>
  <si>
    <t>28/01/2026 23:00</t>
  </si>
  <si>
    <t>28/01/2026 23:15</t>
  </si>
  <si>
    <t>436.77</t>
  </si>
  <si>
    <t>28/01/2026 23:30</t>
  </si>
  <si>
    <t>436.78</t>
  </si>
  <si>
    <t>28/01/2026 23:45</t>
  </si>
  <si>
    <t>436.99</t>
  </si>
  <si>
    <t>28/01/2026 24:00</t>
  </si>
  <si>
    <t>437.09</t>
  </si>
  <si>
    <t>29/01/2026 00:15</t>
  </si>
  <si>
    <t>436.55</t>
  </si>
  <si>
    <t>29/01/2026 00:30</t>
  </si>
  <si>
    <t>436.68</t>
  </si>
  <si>
    <t>29/01/2026 00:45</t>
  </si>
  <si>
    <t>437.63</t>
  </si>
  <si>
    <t>29/01/2026 01:00</t>
  </si>
  <si>
    <t>437.80</t>
  </si>
  <si>
    <t>29/01/2026 01:15</t>
  </si>
  <si>
    <t>437.95</t>
  </si>
  <si>
    <t>29/01/2026 01:30</t>
  </si>
  <si>
    <t>437.81</t>
  </si>
  <si>
    <t>29/01/2026 01:45</t>
  </si>
  <si>
    <t>438.17</t>
  </si>
  <si>
    <t>29/01/2026 02:00</t>
  </si>
  <si>
    <t>438.88</t>
  </si>
  <si>
    <t>29/01/2026 02:15</t>
  </si>
  <si>
    <t>438.98</t>
  </si>
  <si>
    <t>29/01/2026 02:30</t>
  </si>
  <si>
    <t>439.26</t>
  </si>
  <si>
    <t>29/01/2026 02:45</t>
  </si>
  <si>
    <t>440.19</t>
  </si>
  <si>
    <t>29/01/2026 03:00</t>
  </si>
  <si>
    <t>442.37</t>
  </si>
  <si>
    <t>29/01/2026 03:15</t>
  </si>
  <si>
    <t>442.13</t>
  </si>
  <si>
    <t>29/01/2026 03:30</t>
  </si>
  <si>
    <t>440.86</t>
  </si>
  <si>
    <t>29/01/2026 03:45</t>
  </si>
  <si>
    <t>440.48</t>
  </si>
  <si>
    <t>29/01/2026 04:00</t>
  </si>
  <si>
    <t>440.45</t>
  </si>
  <si>
    <t>29/01/2026 04:15</t>
  </si>
  <si>
    <t>29/01/2026 04:30</t>
  </si>
  <si>
    <t>29/01/2026 04:45</t>
  </si>
  <si>
    <t>442.36</t>
  </si>
  <si>
    <t>29/01/2026 05:00</t>
  </si>
  <si>
    <t>444.14</t>
  </si>
  <si>
    <t>29/01/2026 05:15</t>
  </si>
  <si>
    <t>446.66</t>
  </si>
  <si>
    <t>29/01/2026 05:30</t>
  </si>
  <si>
    <t>445.22</t>
  </si>
  <si>
    <t>29/01/2026 05:45</t>
  </si>
  <si>
    <t>443.64</t>
  </si>
  <si>
    <t>29/01/2026 06:00</t>
  </si>
  <si>
    <t>442.51</t>
  </si>
  <si>
    <t>29/01/2026 06:15</t>
  </si>
  <si>
    <t>443.71</t>
  </si>
  <si>
    <t>29/01/2026 06:30</t>
  </si>
  <si>
    <t>446.20</t>
  </si>
  <si>
    <t>29/01/2026 06:45</t>
  </si>
  <si>
    <t>29/01/2026 07:00</t>
  </si>
  <si>
    <t>446.87</t>
  </si>
  <si>
    <t>29/01/2026 07:15</t>
  </si>
  <si>
    <t>448.44</t>
  </si>
  <si>
    <t>29/01/2026 07:30</t>
  </si>
  <si>
    <t>450.60</t>
  </si>
  <si>
    <t>29/01/2026 07:45</t>
  </si>
  <si>
    <t>449.39</t>
  </si>
  <si>
    <t>29/01/2026 08:00</t>
  </si>
  <si>
    <t>445.12</t>
  </si>
  <si>
    <t>29/01/2026 08:15</t>
  </si>
  <si>
    <t>444.73</t>
  </si>
  <si>
    <t>29/01/2026 08:30</t>
  </si>
  <si>
    <t>445.44</t>
  </si>
  <si>
    <t>29/01/2026 08:45</t>
  </si>
  <si>
    <t>444.62</t>
  </si>
  <si>
    <t>29/01/2026 09:00</t>
  </si>
  <si>
    <t>443.67</t>
  </si>
  <si>
    <t>29/01/2026 09:15</t>
  </si>
  <si>
    <t>13.3</t>
  </si>
  <si>
    <t>443.50</t>
  </si>
  <si>
    <t>29/01/2026 09:30</t>
  </si>
  <si>
    <t>443.12</t>
  </si>
  <si>
    <t>29/01/2026 09:45</t>
  </si>
  <si>
    <t>12.9</t>
  </si>
  <si>
    <t>29/01/2026 10:00</t>
  </si>
  <si>
    <t>441.53</t>
  </si>
  <si>
    <t>29/01/2026 10:15</t>
  </si>
  <si>
    <t>439.36</t>
  </si>
  <si>
    <t>29/01/2026 10:30</t>
  </si>
  <si>
    <t>438.62</t>
  </si>
  <si>
    <t>29/01/2026 10:45</t>
  </si>
  <si>
    <t>29/01/2026 11:00</t>
  </si>
  <si>
    <t>436.22</t>
  </si>
  <si>
    <t>29/01/2026 11:15</t>
  </si>
  <si>
    <t>436.10</t>
  </si>
  <si>
    <t>29/01/2026 11:30</t>
  </si>
  <si>
    <t>29/01/2026 11:45</t>
  </si>
  <si>
    <t>29/01/2026 12:00</t>
  </si>
  <si>
    <t>435.53</t>
  </si>
  <si>
    <t>29/01/2026 12:15</t>
  </si>
  <si>
    <t>17.1</t>
  </si>
  <si>
    <t>435.04</t>
  </si>
  <si>
    <t>29/01/2026 12:30</t>
  </si>
  <si>
    <t>29/01/2026 12:45</t>
  </si>
  <si>
    <t>434.85</t>
  </si>
  <si>
    <t>29/01/2026 13:00</t>
  </si>
  <si>
    <t>10.4</t>
  </si>
  <si>
    <t>433.88</t>
  </si>
  <si>
    <t>29/01/2026 13:15</t>
  </si>
  <si>
    <t>431.11</t>
  </si>
  <si>
    <t>29/01/2026 13:30</t>
  </si>
  <si>
    <t>29/01/2026 13:45</t>
  </si>
  <si>
    <t>434.67</t>
  </si>
  <si>
    <t>29/01/2026 14:00</t>
  </si>
  <si>
    <t>434.54</t>
  </si>
  <si>
    <t>29/01/2026 14:15</t>
  </si>
  <si>
    <t>434.90</t>
  </si>
  <si>
    <t>29/01/2026 14:30</t>
  </si>
  <si>
    <t>434.55</t>
  </si>
  <si>
    <t>29/01/2026 14:45</t>
  </si>
  <si>
    <t>434.74</t>
  </si>
  <si>
    <t>29/01/2026 15:00</t>
  </si>
  <si>
    <t>435.66</t>
  </si>
  <si>
    <t>29/01/2026 15:15</t>
  </si>
  <si>
    <t>437.49</t>
  </si>
  <si>
    <t>29/01/2026 15:30</t>
  </si>
  <si>
    <t>437.61</t>
  </si>
  <si>
    <t>29/01/2026 15:45</t>
  </si>
  <si>
    <t>29/01/2026 16:00</t>
  </si>
  <si>
    <t>29/01/2026 16:15</t>
  </si>
  <si>
    <t>29/01/2026 16:30</t>
  </si>
  <si>
    <t>440.35</t>
  </si>
  <si>
    <t>29/01/2026 16:45</t>
  </si>
  <si>
    <t>440.69</t>
  </si>
  <si>
    <t>29/01/2026 17:00</t>
  </si>
  <si>
    <t>442.23</t>
  </si>
  <si>
    <t>29/01/2026 17:15</t>
  </si>
  <si>
    <t>29/01/2026 17:30</t>
  </si>
  <si>
    <t>446.68</t>
  </si>
  <si>
    <t>29/01/2026 17:45</t>
  </si>
  <si>
    <t>449.18</t>
  </si>
  <si>
    <t>29/01/2026 18:00</t>
  </si>
  <si>
    <t>449.35</t>
  </si>
  <si>
    <t>29/01/2026 18:15</t>
  </si>
  <si>
    <t>450.68</t>
  </si>
  <si>
    <t>29/01/2026 18:30</t>
  </si>
  <si>
    <t>456.20</t>
  </si>
  <si>
    <t>29/01/2026 18:45</t>
  </si>
  <si>
    <t>460.62</t>
  </si>
  <si>
    <t>29/01/2026 19:00</t>
  </si>
  <si>
    <t>16.0</t>
  </si>
  <si>
    <t>468.82</t>
  </si>
  <si>
    <t>29/01/2026 19:15</t>
  </si>
  <si>
    <t>474.26</t>
  </si>
  <si>
    <t>29/01/2026 19:30</t>
  </si>
  <si>
    <t>28.5</t>
  </si>
  <si>
    <t>480.30</t>
  </si>
  <si>
    <t>29/01/2026 19:45</t>
  </si>
  <si>
    <t>14.5</t>
  </si>
  <si>
    <t>17.0</t>
  </si>
  <si>
    <t>26.7</t>
  </si>
  <si>
    <t>465.99</t>
  </si>
  <si>
    <t>29/01/2026 20:00</t>
  </si>
  <si>
    <t>464.88</t>
  </si>
  <si>
    <t>29/01/2026 20:15</t>
  </si>
  <si>
    <t>455.41</t>
  </si>
  <si>
    <t>29/01/2026 20:30</t>
  </si>
  <si>
    <t>455.54</t>
  </si>
  <si>
    <t>29/01/2026 20:45</t>
  </si>
  <si>
    <t>467.23</t>
  </si>
  <si>
    <t>29/01/2026 21:00</t>
  </si>
  <si>
    <t>13.6</t>
  </si>
  <si>
    <t>20.2</t>
  </si>
  <si>
    <t>480.51</t>
  </si>
  <si>
    <t>29/01/2026 21:15</t>
  </si>
  <si>
    <t>23.5</t>
  </si>
  <si>
    <t>471.55</t>
  </si>
  <si>
    <t>29/01/2026 21:30</t>
  </si>
  <si>
    <t>17.9</t>
  </si>
  <si>
    <t>19.5</t>
  </si>
  <si>
    <t>23.0</t>
  </si>
  <si>
    <t>487.63</t>
  </si>
  <si>
    <t>29/01/2026 21:45</t>
  </si>
  <si>
    <t>24.0</t>
  </si>
  <si>
    <t>487.67</t>
  </si>
  <si>
    <t>29/01/2026 22:00</t>
  </si>
  <si>
    <t>25.2</t>
  </si>
  <si>
    <t>494.55</t>
  </si>
  <si>
    <t>29/01/2026 22:15</t>
  </si>
  <si>
    <t>498.94</t>
  </si>
  <si>
    <t>29/01/2026 22:30</t>
  </si>
  <si>
    <t>21.8</t>
  </si>
  <si>
    <t>23.7</t>
  </si>
  <si>
    <t>27.5</t>
  </si>
  <si>
    <t>496.15</t>
  </si>
  <si>
    <t>29/01/2026 22:45</t>
  </si>
  <si>
    <t>20.0</t>
  </si>
  <si>
    <t>24.4</t>
  </si>
  <si>
    <t>496.48</t>
  </si>
  <si>
    <t>29/01/2026 23:00</t>
  </si>
  <si>
    <t>20.3</t>
  </si>
  <si>
    <t>491.42</t>
  </si>
  <si>
    <t>29/01/2026 23:15</t>
  </si>
  <si>
    <t>21.1</t>
  </si>
  <si>
    <t>22.7</t>
  </si>
  <si>
    <t>25.1</t>
  </si>
  <si>
    <t>493.27</t>
  </si>
  <si>
    <t>29/01/2026 23:30</t>
  </si>
  <si>
    <t>24.1</t>
  </si>
  <si>
    <t>28.4</t>
  </si>
  <si>
    <t>483.01</t>
  </si>
  <si>
    <t>29/01/2026 23:45</t>
  </si>
  <si>
    <t>23.9</t>
  </si>
  <si>
    <t>25.3</t>
  </si>
  <si>
    <t>469.28</t>
  </si>
  <si>
    <t>29/01/2026 24:00</t>
  </si>
  <si>
    <t>22.2</t>
  </si>
  <si>
    <t>24.6</t>
  </si>
  <si>
    <t>467.33</t>
  </si>
  <si>
    <t>30/01/2026 00:15</t>
  </si>
  <si>
    <t>18.6</t>
  </si>
  <si>
    <t>19.6</t>
  </si>
  <si>
    <t>463.14</t>
  </si>
  <si>
    <t>30/01/2026 00:30</t>
  </si>
  <si>
    <t>457.92</t>
  </si>
  <si>
    <t>30/01/2026 00:45</t>
  </si>
  <si>
    <t>458.24</t>
  </si>
  <si>
    <t>30/01/2026 01:00</t>
  </si>
  <si>
    <t>461.10</t>
  </si>
  <si>
    <t>30/01/2026 01:15</t>
  </si>
  <si>
    <t>461.29</t>
  </si>
  <si>
    <t>30/01/2026 01:30</t>
  </si>
  <si>
    <t>463.54</t>
  </si>
  <si>
    <t>30/01/2026 01:45</t>
  </si>
  <si>
    <t>13.9</t>
  </si>
  <si>
    <t>16.1</t>
  </si>
  <si>
    <t>468.38</t>
  </si>
  <si>
    <t>30/01/2026 02:00</t>
  </si>
  <si>
    <t>470.96</t>
  </si>
  <si>
    <t>30/01/2026 02:15</t>
  </si>
  <si>
    <t>473.29</t>
  </si>
  <si>
    <t>30/01/2026 02:30</t>
  </si>
  <si>
    <t>473.25</t>
  </si>
  <si>
    <t>30/01/2026 02:45</t>
  </si>
  <si>
    <t>11.4</t>
  </si>
  <si>
    <t>476.40</t>
  </si>
  <si>
    <t>30/01/2026 03:00</t>
  </si>
  <si>
    <t>13.4</t>
  </si>
  <si>
    <t>476.12</t>
  </si>
  <si>
    <t>30/01/2026 03:15</t>
  </si>
  <si>
    <t>477.30</t>
  </si>
  <si>
    <t>30/01/2026 03:30</t>
  </si>
  <si>
    <t>476.85</t>
  </si>
  <si>
    <t>30/01/2026 03:45</t>
  </si>
  <si>
    <t>479.95</t>
  </si>
  <si>
    <t>30/01/2026 04:00</t>
  </si>
  <si>
    <t>468.50</t>
  </si>
  <si>
    <t>30/01/2026 04:15</t>
  </si>
  <si>
    <t>459.54</t>
  </si>
  <si>
    <t>30/01/2026 04:30</t>
  </si>
  <si>
    <t>455.36</t>
  </si>
  <si>
    <t>30/01/2026 04:45</t>
  </si>
  <si>
    <t>444.23</t>
  </si>
  <si>
    <t>30/01/2026 05:00</t>
  </si>
  <si>
    <t>30/01/2026 05:15</t>
  </si>
  <si>
    <t>441.25</t>
  </si>
  <si>
    <t>30/01/2026 05:30</t>
  </si>
  <si>
    <t>443.16</t>
  </si>
  <si>
    <t>30/01/2026 05:45</t>
  </si>
  <si>
    <t>447.34</t>
  </si>
  <si>
    <t>30/01/2026 06:00</t>
  </si>
  <si>
    <t>449.25</t>
  </si>
  <si>
    <t>30/01/2026 06:15</t>
  </si>
  <si>
    <t>452.71</t>
  </si>
  <si>
    <t>30/01/2026 06:30</t>
  </si>
  <si>
    <t>457.69</t>
  </si>
  <si>
    <t>30/01/2026 06:45</t>
  </si>
  <si>
    <t>457.07</t>
  </si>
  <si>
    <t>30/01/2026 07:00</t>
  </si>
  <si>
    <t>463.28</t>
  </si>
  <si>
    <t>30/01/2026 07:15</t>
  </si>
  <si>
    <t>460.18</t>
  </si>
  <si>
    <t>30/01/2026 07:30</t>
  </si>
  <si>
    <t>456.10</t>
  </si>
  <si>
    <t>30/01/2026 07:45</t>
  </si>
  <si>
    <t>453.03</t>
  </si>
  <si>
    <t>30/01/2026 08:00</t>
  </si>
  <si>
    <t>455.80</t>
  </si>
  <si>
    <t>30/01/2026 08:15</t>
  </si>
  <si>
    <t>458.39</t>
  </si>
  <si>
    <t>30/01/2026 08:30</t>
  </si>
  <si>
    <t>454.39</t>
  </si>
  <si>
    <t>30/01/2026 08:45</t>
  </si>
  <si>
    <t>447.58</t>
  </si>
  <si>
    <t>30/01/2026 09:00</t>
  </si>
  <si>
    <t>446.17</t>
  </si>
  <si>
    <t>30/01/2026 09:15</t>
  </si>
  <si>
    <t>441.71</t>
  </si>
  <si>
    <t>30/01/2026 09:30</t>
  </si>
  <si>
    <t>441.19</t>
  </si>
  <si>
    <t>30/01/2026 09:45</t>
  </si>
  <si>
    <t>440.96</t>
  </si>
  <si>
    <t>30/01/2026 10:00</t>
  </si>
  <si>
    <t>30/01/2026 10:15</t>
  </si>
  <si>
    <t>439.13</t>
  </si>
  <si>
    <t>30/01/2026 10:30</t>
  </si>
  <si>
    <t>30/01/2026 10:45</t>
  </si>
  <si>
    <t>438.63</t>
  </si>
  <si>
    <t>30/01/2026 11:00</t>
  </si>
  <si>
    <t>436.48</t>
  </si>
  <si>
    <t>30/01/2026 11:15</t>
  </si>
  <si>
    <t>435.26</t>
  </si>
  <si>
    <t>30/01/2026 11:30</t>
  </si>
  <si>
    <t>435.58</t>
  </si>
  <si>
    <t>30/01/2026 11:45</t>
  </si>
  <si>
    <t>435.94</t>
  </si>
  <si>
    <t>30/01/2026 12:00</t>
  </si>
  <si>
    <t>435.17</t>
  </si>
  <si>
    <t>30/01/2026 12:15</t>
  </si>
  <si>
    <t>435.19</t>
  </si>
  <si>
    <t>30/01/2026 12:30</t>
  </si>
  <si>
    <t>435.08</t>
  </si>
  <si>
    <t>30/01/2026 12:45</t>
  </si>
  <si>
    <t>435.95</t>
  </si>
  <si>
    <t>30/01/2026 13:00</t>
  </si>
  <si>
    <t>435.78</t>
  </si>
  <si>
    <t>30/01/2026 13:15</t>
  </si>
  <si>
    <t>436.88</t>
  </si>
  <si>
    <t>30/01/2026 13:30</t>
  </si>
  <si>
    <t>436.12</t>
  </si>
  <si>
    <t>30/01/2026 13:45</t>
  </si>
  <si>
    <t>436.42</t>
  </si>
  <si>
    <t>30/01/2026 14:00</t>
  </si>
  <si>
    <t>15.4</t>
  </si>
  <si>
    <t>30/01/2026 14:15</t>
  </si>
  <si>
    <t>436.47</t>
  </si>
  <si>
    <t>30/01/2026 14:30</t>
  </si>
  <si>
    <t>30/01/2026 14:45</t>
  </si>
  <si>
    <t>30/01/2026 15:00</t>
  </si>
  <si>
    <t>16.6</t>
  </si>
  <si>
    <t>440.41</t>
  </si>
  <si>
    <t>30/01/2026 15:15</t>
  </si>
  <si>
    <t>16.3</t>
  </si>
  <si>
    <t>30/01/2026 15:30</t>
  </si>
  <si>
    <t>438.14</t>
  </si>
  <si>
    <t>30/01/2026 15:45</t>
  </si>
  <si>
    <t>439.24</t>
  </si>
  <si>
    <t>30/01/2026 16:00</t>
  </si>
  <si>
    <t>15.1</t>
  </si>
  <si>
    <t>440.02</t>
  </si>
  <si>
    <t>30/01/2026 16:15</t>
  </si>
  <si>
    <t>440.79</t>
  </si>
  <si>
    <t>30/01/2026 16:30</t>
  </si>
  <si>
    <t>30/01/2026 16:45</t>
  </si>
  <si>
    <t>440.10</t>
  </si>
  <si>
    <t>30/01/2026 17:00</t>
  </si>
  <si>
    <t>30/01/2026 17:15</t>
  </si>
  <si>
    <t>15.8</t>
  </si>
  <si>
    <t>442.21</t>
  </si>
  <si>
    <t>30/01/2026 17:30</t>
  </si>
  <si>
    <t>441.32</t>
  </si>
  <si>
    <t>30/01/2026 17:45</t>
  </si>
  <si>
    <t>30/01/2026 18:00</t>
  </si>
  <si>
    <t>442.41</t>
  </si>
  <si>
    <t>30/01/2026 18:15</t>
  </si>
  <si>
    <t>446.12</t>
  </si>
  <si>
    <t>30/01/2026 18:30</t>
  </si>
  <si>
    <t>452.49</t>
  </si>
  <si>
    <t>30/01/2026 18:45</t>
  </si>
  <si>
    <t>466.82</t>
  </si>
  <si>
    <t>30/01/2026 19:00</t>
  </si>
  <si>
    <t>23.3</t>
  </si>
  <si>
    <t>475.67</t>
  </si>
  <si>
    <t>30/01/2026 19:15</t>
  </si>
  <si>
    <t>19.4</t>
  </si>
  <si>
    <t>27.9</t>
  </si>
  <si>
    <t>469.06</t>
  </si>
  <si>
    <t>30/01/2026 19:30</t>
  </si>
  <si>
    <t>20.8</t>
  </si>
  <si>
    <t>29.2</t>
  </si>
  <si>
    <t>468.54</t>
  </si>
  <si>
    <t>30/01/2026 19:45</t>
  </si>
  <si>
    <t>31.6</t>
  </si>
  <si>
    <t>470.98</t>
  </si>
  <si>
    <t>30/01/2026 20:00</t>
  </si>
  <si>
    <t>26.3</t>
  </si>
  <si>
    <t>33.4</t>
  </si>
  <si>
    <t>475.47</t>
  </si>
  <si>
    <t>30/01/2026 20:15</t>
  </si>
  <si>
    <t>29.6</t>
  </si>
  <si>
    <t>36.8</t>
  </si>
  <si>
    <t>480.44</t>
  </si>
  <si>
    <t>30/01/2026 20:30</t>
  </si>
  <si>
    <t>26.2</t>
  </si>
  <si>
    <t>29.9</t>
  </si>
  <si>
    <t>37.0</t>
  </si>
  <si>
    <t>481.76</t>
  </si>
  <si>
    <t>30/01/2026 20:45</t>
  </si>
  <si>
    <t>24.7</t>
  </si>
  <si>
    <t>480.31</t>
  </si>
  <si>
    <t>30/01/2026 21:00</t>
  </si>
  <si>
    <t>28.3</t>
  </si>
  <si>
    <t>36.1</t>
  </si>
  <si>
    <t>480.62</t>
  </si>
  <si>
    <t>30/01/2026 21:15</t>
  </si>
  <si>
    <t>32.7</t>
  </si>
  <si>
    <t>473.99</t>
  </si>
  <si>
    <t>30/01/2026 21:30</t>
  </si>
  <si>
    <t>21.4</t>
  </si>
  <si>
    <t>467.64</t>
  </si>
  <si>
    <t>30/01/2026 21:45</t>
  </si>
  <si>
    <t>465.25</t>
  </si>
  <si>
    <t>30/01/2026 22:00</t>
  </si>
  <si>
    <t>24.2</t>
  </si>
  <si>
    <t>465.85</t>
  </si>
  <si>
    <t>30/01/2026 22:15</t>
  </si>
  <si>
    <t>25.4</t>
  </si>
  <si>
    <t>463.98</t>
  </si>
  <si>
    <t>30/01/2026 22:30</t>
  </si>
  <si>
    <t>465.77</t>
  </si>
  <si>
    <t>30/01/2026 22:45</t>
  </si>
  <si>
    <t>465.70</t>
  </si>
  <si>
    <t>30/01/2026 23:00</t>
  </si>
  <si>
    <t>16.4</t>
  </si>
  <si>
    <t>463.69</t>
  </si>
  <si>
    <t>30/01/2026 23:15</t>
  </si>
  <si>
    <t>454.50</t>
  </si>
  <si>
    <t>30/01/2026 23:30</t>
  </si>
  <si>
    <t>450.23</t>
  </si>
  <si>
    <t>30/01/2026 23:45</t>
  </si>
  <si>
    <t>443.31</t>
  </si>
  <si>
    <t>30/01/2026 24:00</t>
  </si>
  <si>
    <t>445.21</t>
  </si>
  <si>
    <t>31/01/2026 00:15</t>
  </si>
  <si>
    <t>15.5</t>
  </si>
  <si>
    <t>450.13</t>
  </si>
  <si>
    <t>31/01/2026 00:30</t>
  </si>
  <si>
    <t>447.21</t>
  </si>
  <si>
    <t>31/01/2026 00:45</t>
  </si>
  <si>
    <t>447.84</t>
  </si>
  <si>
    <t>31/01/2026 01:00</t>
  </si>
  <si>
    <t>447.56</t>
  </si>
  <si>
    <t>31/01/2026 01:15</t>
  </si>
  <si>
    <t>449.38</t>
  </si>
  <si>
    <t>31/01/2026 01:30</t>
  </si>
  <si>
    <t>449.15</t>
  </si>
  <si>
    <t>31/01/2026 01:45</t>
  </si>
  <si>
    <t>447.79</t>
  </si>
  <si>
    <t>31/01/2026 02:00</t>
  </si>
  <si>
    <t>447.51</t>
  </si>
  <si>
    <t>31/01/2026 02:15</t>
  </si>
  <si>
    <t>31/01/2026 02:30</t>
  </si>
  <si>
    <t>444.96</t>
  </si>
  <si>
    <t>31/01/2026 02:45</t>
  </si>
  <si>
    <t>446.57</t>
  </si>
  <si>
    <t>31/01/2026 03:00</t>
  </si>
  <si>
    <t>31/01/2026 03:15</t>
  </si>
  <si>
    <t>442.59</t>
  </si>
  <si>
    <t>31/01/2026 03:30</t>
  </si>
  <si>
    <t>438.41</t>
  </si>
  <si>
    <t>31/01/2026 03:45</t>
  </si>
  <si>
    <t>31/01/2026 04:00</t>
  </si>
  <si>
    <t>442.06</t>
  </si>
  <si>
    <t>31/01/2026 04:15</t>
  </si>
  <si>
    <t>442.62</t>
  </si>
  <si>
    <t>31/01/2026 04:30</t>
  </si>
  <si>
    <t>443.49</t>
  </si>
  <si>
    <t>31/01/2026 04:45</t>
  </si>
  <si>
    <t>445.07</t>
  </si>
  <si>
    <t>31/01/2026 05:00</t>
  </si>
  <si>
    <t>445.54</t>
  </si>
  <si>
    <t>31/01/2026 05:15</t>
  </si>
  <si>
    <t>443.63</t>
  </si>
  <si>
    <t>31/01/2026 05:30</t>
  </si>
  <si>
    <t>443.53</t>
  </si>
  <si>
    <t>31/01/2026 05:45</t>
  </si>
  <si>
    <t>447.31</t>
  </si>
  <si>
    <t>31/01/2026 06:00</t>
  </si>
  <si>
    <t>445.55</t>
  </si>
  <si>
    <t>31/01/2026 06:15</t>
  </si>
  <si>
    <t>447.53</t>
  </si>
  <si>
    <t>31/01/2026 06:30</t>
  </si>
  <si>
    <t>450.76</t>
  </si>
  <si>
    <t>31/01/2026 06:45</t>
  </si>
  <si>
    <t>453.06</t>
  </si>
  <si>
    <t>31/01/2026 07:00</t>
  </si>
  <si>
    <t>31/01/2026 07:15</t>
  </si>
  <si>
    <t>31/01/2026 07:30</t>
  </si>
  <si>
    <t>455.68</t>
  </si>
  <si>
    <t>31/01/2026 07:45</t>
  </si>
  <si>
    <t>451.61</t>
  </si>
  <si>
    <t>31/01/2026 08:00</t>
  </si>
  <si>
    <t>449.79</t>
  </si>
  <si>
    <t>31/01/2026 08:15</t>
  </si>
  <si>
    <t>449.97</t>
  </si>
  <si>
    <t>31/01/2026 08:30</t>
  </si>
  <si>
    <t>452.44</t>
  </si>
  <si>
    <t>31/01/2026 08:45</t>
  </si>
  <si>
    <t>452.22</t>
  </si>
  <si>
    <t>31/01/2026 09:00</t>
  </si>
  <si>
    <t>447.55</t>
  </si>
  <si>
    <t>31/01/2026 09:15</t>
  </si>
  <si>
    <t>445.67</t>
  </si>
  <si>
    <t>31/01/2026 09:30</t>
  </si>
  <si>
    <t>442.81</t>
  </si>
  <si>
    <t>31/01/2026 09:45</t>
  </si>
  <si>
    <t>31/01/2026 10:00</t>
  </si>
  <si>
    <t>440.12</t>
  </si>
  <si>
    <t>31/01/2026 10:15</t>
  </si>
  <si>
    <t>439.50</t>
  </si>
  <si>
    <t>31/01/2026 10:30</t>
  </si>
  <si>
    <t>440.82</t>
  </si>
  <si>
    <t>31/01/2026 10:45</t>
  </si>
  <si>
    <t>444.68</t>
  </si>
  <si>
    <t>31/01/2026 11:00</t>
  </si>
  <si>
    <t>445.33</t>
  </si>
  <si>
    <t>31/01/2026 11:15</t>
  </si>
  <si>
    <t>446.52</t>
  </si>
  <si>
    <t>31/01/2026 11:30</t>
  </si>
  <si>
    <t>449.04</t>
  </si>
  <si>
    <t>31/01/2026 11:45</t>
  </si>
  <si>
    <t>446.90</t>
  </si>
  <si>
    <t>31/01/2026 12:00</t>
  </si>
  <si>
    <t>444.95</t>
  </si>
  <si>
    <t>31/01/2026 12:15</t>
  </si>
  <si>
    <t>445.58</t>
  </si>
  <si>
    <t>31/01/2026 12:30</t>
  </si>
  <si>
    <t>31/01/2026 12:45</t>
  </si>
  <si>
    <t>443.25</t>
  </si>
  <si>
    <t>31/01/2026 13:00</t>
  </si>
  <si>
    <t>441.43</t>
  </si>
  <si>
    <t>31/01/2026 13:15</t>
  </si>
  <si>
    <t>31/01/2026 13:30</t>
  </si>
  <si>
    <t>31/01/2026 13:45</t>
  </si>
  <si>
    <t>441.78</t>
  </si>
  <si>
    <t>31/01/2026 14:00</t>
  </si>
  <si>
    <t>31/01/2026 14:15</t>
  </si>
  <si>
    <t>439.83</t>
  </si>
  <si>
    <t>31/01/2026 14:30</t>
  </si>
  <si>
    <t>431.12</t>
  </si>
  <si>
    <t>31/01/2026 14:45</t>
  </si>
  <si>
    <t>31/01/2026 15:00</t>
  </si>
  <si>
    <t>441.34</t>
  </si>
  <si>
    <t>31/01/2026 15:15</t>
  </si>
  <si>
    <t>442.42</t>
  </si>
  <si>
    <t>31/01/2026 15:30</t>
  </si>
  <si>
    <t>445.20</t>
  </si>
  <si>
    <t>31/01/2026 15:45</t>
  </si>
  <si>
    <t>444.56</t>
  </si>
  <si>
    <t>31/01/2026 16:00</t>
  </si>
  <si>
    <t>443.18</t>
  </si>
  <si>
    <t>31/01/2026 16:15</t>
  </si>
  <si>
    <t>441.33</t>
  </si>
  <si>
    <t>31/01/2026 16:30</t>
  </si>
  <si>
    <t>443.61</t>
  </si>
  <si>
    <t>31/01/2026 16:45</t>
  </si>
  <si>
    <t>441.72</t>
  </si>
  <si>
    <t>31/01/2026 17:00</t>
  </si>
  <si>
    <t>31/01/2026 17:15</t>
  </si>
  <si>
    <t>447.19</t>
  </si>
  <si>
    <t>31/01/2026 17:30</t>
  </si>
  <si>
    <t>449.42</t>
  </si>
  <si>
    <t>31/01/2026 17:45</t>
  </si>
  <si>
    <t>451.78</t>
  </si>
  <si>
    <t>31/01/2026 18:00</t>
  </si>
  <si>
    <t>31/01/2026 18:15</t>
  </si>
  <si>
    <t>453.23</t>
  </si>
  <si>
    <t>31/01/2026 18:30</t>
  </si>
  <si>
    <t>462.90</t>
  </si>
  <si>
    <t>31/01/2026 18:45</t>
  </si>
  <si>
    <t>18.0</t>
  </si>
  <si>
    <t>479.05</t>
  </si>
  <si>
    <t>31/01/2026 19:00</t>
  </si>
  <si>
    <t>481.27</t>
  </si>
  <si>
    <t>31/01/2026 19:15</t>
  </si>
  <si>
    <t>28.0</t>
  </si>
  <si>
    <t>485.71</t>
  </si>
  <si>
    <t>31/01/2026 19:30</t>
  </si>
  <si>
    <t>27.8</t>
  </si>
  <si>
    <t>29.8</t>
  </si>
  <si>
    <t>34.1</t>
  </si>
  <si>
    <t>502.13</t>
  </si>
  <si>
    <t>31/01/2026 19:45</t>
  </si>
  <si>
    <t>40.0</t>
  </si>
  <si>
    <t>500.62</t>
  </si>
  <si>
    <t>31/01/2026 20:00</t>
  </si>
  <si>
    <t>26.1</t>
  </si>
  <si>
    <t>30.6</t>
  </si>
  <si>
    <t>482.93</t>
  </si>
  <si>
    <t>31/01/2026 20:15</t>
  </si>
  <si>
    <t>22.3</t>
  </si>
  <si>
    <t>470.89</t>
  </si>
  <si>
    <t>31/01/2026 20:30</t>
  </si>
  <si>
    <t>17.2</t>
  </si>
  <si>
    <t>22.4</t>
  </si>
  <si>
    <t>476.79</t>
  </si>
  <si>
    <t>31/01/2026 20:45</t>
  </si>
  <si>
    <t>469.25</t>
  </si>
  <si>
    <t>31/01/2026 21:00</t>
  </si>
  <si>
    <t>463.81</t>
  </si>
  <si>
    <t>31/01/2026 21:15</t>
  </si>
  <si>
    <t>18.3</t>
  </si>
  <si>
    <t>455.97</t>
  </si>
  <si>
    <t>31/01/2026 21:30</t>
  </si>
  <si>
    <t>454.46</t>
  </si>
  <si>
    <t>31/01/2026 21:45</t>
  </si>
  <si>
    <t>452.96</t>
  </si>
  <si>
    <t>31/01/2026 22:00</t>
  </si>
  <si>
    <t>448.71</t>
  </si>
  <si>
    <t>31/01/2026 22:15</t>
  </si>
  <si>
    <t>443.62</t>
  </si>
  <si>
    <t>31/01/2026 22:30</t>
  </si>
  <si>
    <t>445.68</t>
  </si>
  <si>
    <t>31/01/2026 22:45</t>
  </si>
  <si>
    <t>445.26</t>
  </si>
  <si>
    <t>31/01/2026 23:00</t>
  </si>
  <si>
    <t>442.71</t>
  </si>
  <si>
    <t>31/01/2026 23:15</t>
  </si>
  <si>
    <t>31/01/2026 23:30</t>
  </si>
  <si>
    <t>442.50</t>
  </si>
  <si>
    <t>31/01/2026 23:45</t>
  </si>
  <si>
    <t>442.20</t>
  </si>
  <si>
    <t>31/01/2026 24:00</t>
  </si>
  <si>
    <t>441.31</t>
  </si>
  <si>
    <t>01/02/2026 00:15</t>
  </si>
  <si>
    <t>01/02/2026 00:30</t>
  </si>
  <si>
    <t>442.48</t>
  </si>
  <si>
    <t>01/02/2026 00:45</t>
  </si>
  <si>
    <t>442.74</t>
  </si>
  <si>
    <t>01/02/2026 01:00</t>
  </si>
  <si>
    <t>444.43</t>
  </si>
  <si>
    <t>01/02/2026 01:15</t>
  </si>
  <si>
    <t>443.34</t>
  </si>
  <si>
    <t>01/02/2026 01:30</t>
  </si>
  <si>
    <t>443.11</t>
  </si>
  <si>
    <t>01/02/2026 01:45</t>
  </si>
  <si>
    <t>449.26</t>
  </si>
  <si>
    <t>01/02/2026 02:00</t>
  </si>
  <si>
    <t>444.90</t>
  </si>
  <si>
    <t>01/02/2026 02:15</t>
  </si>
  <si>
    <t>445.89</t>
  </si>
  <si>
    <t>01/02/2026 02:30</t>
  </si>
  <si>
    <t>444.82</t>
  </si>
  <si>
    <t>01/02/2026 02:45</t>
  </si>
  <si>
    <t>447.59</t>
  </si>
  <si>
    <t>01/02/2026 03:00</t>
  </si>
  <si>
    <t>01/02/2026 03:15</t>
  </si>
  <si>
    <t>444.74</t>
  </si>
  <si>
    <t>01/02/2026 03:30</t>
  </si>
  <si>
    <t>01/02/2026 03:45</t>
  </si>
  <si>
    <t>01/02/2026 04:00</t>
  </si>
  <si>
    <t>01/02/2026 04:15</t>
  </si>
  <si>
    <t>440.91</t>
  </si>
  <si>
    <t>01/02/2026 04:30</t>
  </si>
  <si>
    <t>439.99</t>
  </si>
  <si>
    <t>01/02/2026 04:45</t>
  </si>
  <si>
    <t>01/02/2026 05:00</t>
  </si>
  <si>
    <t>01/02/2026 05:15</t>
  </si>
  <si>
    <t>442.00</t>
  </si>
  <si>
    <t>01/02/2026 05:30</t>
  </si>
  <si>
    <t>441.57</t>
  </si>
  <si>
    <t>01/02/2026 05:45</t>
  </si>
  <si>
    <t>01/02/2026 06:00</t>
  </si>
  <si>
    <t>01/02/2026 06:15</t>
  </si>
  <si>
    <t>446.43</t>
  </si>
  <si>
    <t>01/02/2026 06:30</t>
  </si>
  <si>
    <t>447.87</t>
  </si>
  <si>
    <t>01/02/2026 06:45</t>
  </si>
  <si>
    <t>445.49</t>
  </si>
  <si>
    <t>01/02/2026 07:00</t>
  </si>
  <si>
    <t>444.06</t>
  </si>
  <si>
    <t>01/02/2026 07:15</t>
  </si>
  <si>
    <t>445.69</t>
  </si>
  <si>
    <t>01/02/2026 07:30</t>
  </si>
  <si>
    <t>445.75</t>
  </si>
  <si>
    <t>01/02/2026 07:45</t>
  </si>
  <si>
    <t>445.50</t>
  </si>
  <si>
    <t>01/02/2026 08:00</t>
  </si>
  <si>
    <t>446.36</t>
  </si>
  <si>
    <t>01/02/2026 08:15</t>
  </si>
  <si>
    <t>01/02/2026 08:30</t>
  </si>
  <si>
    <t>449.95</t>
  </si>
  <si>
    <t>01/02/2026 08:45</t>
  </si>
  <si>
    <t>446.08</t>
  </si>
  <si>
    <t>01/02/2026 09:00</t>
  </si>
  <si>
    <t>01/02/2026 09:15</t>
  </si>
  <si>
    <t>444.30</t>
  </si>
  <si>
    <t>01/02/2026 09:30</t>
  </si>
  <si>
    <t>442.52</t>
  </si>
  <si>
    <t>01/02/2026 09:45</t>
  </si>
  <si>
    <t>442.08</t>
  </si>
  <si>
    <t>01/02/2026 10:00</t>
  </si>
  <si>
    <t>441.46</t>
  </si>
  <si>
    <t>01/02/2026 10:15</t>
  </si>
  <si>
    <t>01/02/2026 10:30</t>
  </si>
  <si>
    <t>443.13</t>
  </si>
  <si>
    <t>01/02/2026 10:45</t>
  </si>
  <si>
    <t>442.35</t>
  </si>
  <si>
    <t>01/02/2026 11:00</t>
  </si>
  <si>
    <t>01/02/2026 11:15</t>
  </si>
  <si>
    <t>01/02/2026 11:30</t>
  </si>
  <si>
    <t>438.81</t>
  </si>
  <si>
    <t>01/02/2026 11:45</t>
  </si>
  <si>
    <t>436.82</t>
  </si>
  <si>
    <t>01/02/2026 12:00</t>
  </si>
  <si>
    <t>01/02/2026 12:15</t>
  </si>
  <si>
    <t>01/02/2026 12:30</t>
  </si>
  <si>
    <t>434.94</t>
  </si>
  <si>
    <t>01/02/2026 12:45</t>
  </si>
  <si>
    <t>01/02/2026 13:00</t>
  </si>
  <si>
    <t>01/02/2026 13:15</t>
  </si>
  <si>
    <t>434.23</t>
  </si>
  <si>
    <t>01/02/2026 13:30</t>
  </si>
  <si>
    <t>434.21</t>
  </si>
  <si>
    <t>01/02/2026 13:45</t>
  </si>
  <si>
    <t>434.20</t>
  </si>
  <si>
    <t>01/02/2026 14:00</t>
  </si>
  <si>
    <t>433.82</t>
  </si>
  <si>
    <t>01/02/2026 14:15</t>
  </si>
  <si>
    <t>434.18</t>
  </si>
  <si>
    <t>01/02/2026 14:30</t>
  </si>
  <si>
    <t>434.66</t>
  </si>
  <si>
    <t>01/02/2026 14:45</t>
  </si>
  <si>
    <t>01/02/2026 15:00</t>
  </si>
  <si>
    <t>435.75</t>
  </si>
  <si>
    <t>01/02/2026 15:15</t>
  </si>
  <si>
    <t>435.65</t>
  </si>
  <si>
    <t>01/02/2026 15:30</t>
  </si>
  <si>
    <t>436.28</t>
  </si>
  <si>
    <t>01/02/2026 15:45</t>
  </si>
  <si>
    <t>01/02/2026 16:00</t>
  </si>
  <si>
    <t>436.23</t>
  </si>
  <si>
    <t>01/02/2026 16:15</t>
  </si>
  <si>
    <t>01/02/2026 16:30</t>
  </si>
  <si>
    <t>440.21</t>
  </si>
  <si>
    <t>01/02/2026 16:45</t>
  </si>
  <si>
    <t>442.12</t>
  </si>
  <si>
    <t>01/02/2026 17:00</t>
  </si>
  <si>
    <t>01/02/2026 17:15</t>
  </si>
  <si>
    <t>01/02/2026 17:30</t>
  </si>
  <si>
    <t>01/02/2026 17:45</t>
  </si>
  <si>
    <t>451.82</t>
  </si>
  <si>
    <t>01/02/2026 18:00</t>
  </si>
  <si>
    <t>453.98</t>
  </si>
  <si>
    <t>01/02/2026 18:15</t>
  </si>
  <si>
    <t>451.70</t>
  </si>
  <si>
    <t>01/02/2026 18:30</t>
  </si>
  <si>
    <t>444.48</t>
  </si>
  <si>
    <t>01/02/2026 18:45</t>
  </si>
  <si>
    <t>01/02/2026 19:00</t>
  </si>
  <si>
    <t>01/02/2026 19:15</t>
  </si>
  <si>
    <t>449.37</t>
  </si>
  <si>
    <t>01/02/2026 19:30</t>
  </si>
  <si>
    <t>15.9</t>
  </si>
  <si>
    <t>467.35</t>
  </si>
  <si>
    <t>01/02/2026 19:45</t>
  </si>
  <si>
    <t>21.2</t>
  </si>
  <si>
    <t>22.9</t>
  </si>
  <si>
    <t>27.3</t>
  </si>
  <si>
    <t>475.92</t>
  </si>
  <si>
    <t>01/02/2026 20:00</t>
  </si>
  <si>
    <t>26.9</t>
  </si>
  <si>
    <t>31.2</t>
  </si>
  <si>
    <t>470.24</t>
  </si>
  <si>
    <t>01/02/2026 20:15</t>
  </si>
  <si>
    <t>21.5</t>
  </si>
  <si>
    <t>465.31</t>
  </si>
  <si>
    <t>01/02/2026 20:30</t>
  </si>
  <si>
    <t>472.07</t>
  </si>
  <si>
    <t>01/02/2026 20:45</t>
  </si>
  <si>
    <t>476.26</t>
  </si>
  <si>
    <t>01/02/2026 21:00</t>
  </si>
  <si>
    <t>26.8</t>
  </si>
  <si>
    <t>28.7</t>
  </si>
  <si>
    <t>478.55</t>
  </si>
  <si>
    <t>01/02/2026 21:15</t>
  </si>
  <si>
    <t>29.5</t>
  </si>
  <si>
    <t>33.1</t>
  </si>
  <si>
    <t>478.68</t>
  </si>
  <si>
    <t>01/02/2026 21:30</t>
  </si>
  <si>
    <t>29.4</t>
  </si>
  <si>
    <t>31.3</t>
  </si>
  <si>
    <t>34.9</t>
  </si>
  <si>
    <t>483.56</t>
  </si>
  <si>
    <t>01/02/2026 21:45</t>
  </si>
  <si>
    <t>30.5</t>
  </si>
  <si>
    <t>35.1</t>
  </si>
  <si>
    <t>483.22</t>
  </si>
  <si>
    <t>01/02/2026 22:00</t>
  </si>
  <si>
    <t>31.7</t>
  </si>
  <si>
    <t>35.6</t>
  </si>
  <si>
    <t>480.83</t>
  </si>
  <si>
    <t>01/02/2026 22:15</t>
  </si>
  <si>
    <t>31.0</t>
  </si>
  <si>
    <t>32.9</t>
  </si>
  <si>
    <t>482.01</t>
  </si>
  <si>
    <t>01/02/2026 22:30</t>
  </si>
  <si>
    <t>30.9</t>
  </si>
  <si>
    <t>33.8</t>
  </si>
  <si>
    <t>483.09</t>
  </si>
  <si>
    <t>01/02/2026 22:45</t>
  </si>
  <si>
    <t>31.4</t>
  </si>
  <si>
    <t>34.2</t>
  </si>
  <si>
    <t>484.62</t>
  </si>
  <si>
    <t>01/02/2026 23:00</t>
  </si>
  <si>
    <t>33.0</t>
  </si>
  <si>
    <t>477.94</t>
  </si>
  <si>
    <t>01/02/2026 23:15</t>
  </si>
  <si>
    <t>28.8</t>
  </si>
  <si>
    <t>478.49</t>
  </si>
  <si>
    <t>01/02/2026 23:30</t>
  </si>
  <si>
    <t>39.3</t>
  </si>
  <si>
    <t>43.1</t>
  </si>
  <si>
    <t>49.1</t>
  </si>
  <si>
    <t>480.13</t>
  </si>
  <si>
    <t>01/02/2026 23:45</t>
  </si>
  <si>
    <t>35.2</t>
  </si>
  <si>
    <t>38.9</t>
  </si>
  <si>
    <t>42.8</t>
  </si>
  <si>
    <t>480.27</t>
  </si>
  <si>
    <t>01/02/2026 24:00</t>
  </si>
  <si>
    <t>28.1</t>
  </si>
  <si>
    <t>478.94</t>
  </si>
  <si>
    <t>02/02/2026 00:15</t>
  </si>
  <si>
    <t>30.3</t>
  </si>
  <si>
    <t>34.0</t>
  </si>
  <si>
    <t>39.0</t>
  </si>
  <si>
    <t>471.85</t>
  </si>
  <si>
    <t>02/02/2026 00:30</t>
  </si>
  <si>
    <t>30.1</t>
  </si>
  <si>
    <t>468.19</t>
  </si>
  <si>
    <t>02/02/2026 00:45</t>
  </si>
  <si>
    <t>467.34</t>
  </si>
  <si>
    <t>02/02/2026 01:00</t>
  </si>
  <si>
    <t>464.23</t>
  </si>
  <si>
    <t>02/02/2026 01:15</t>
  </si>
  <si>
    <t>466.14</t>
  </si>
  <si>
    <t>02/02/2026 01:30</t>
  </si>
  <si>
    <t>464.61</t>
  </si>
  <si>
    <t>02/02/2026 01:45</t>
  </si>
  <si>
    <t>465.15</t>
  </si>
  <si>
    <t>02/02/2026 02:00</t>
  </si>
  <si>
    <t>465.08</t>
  </si>
  <si>
    <t>02/02/2026 02:15</t>
  </si>
  <si>
    <t>11.5</t>
  </si>
  <si>
    <t>459.27</t>
  </si>
  <si>
    <t>02/02/2026 02:30</t>
  </si>
  <si>
    <t>454.94</t>
  </si>
  <si>
    <t>02/02/2026 02:45</t>
  </si>
  <si>
    <t>460.59</t>
  </si>
  <si>
    <t>02/02/2026 03:00</t>
  </si>
  <si>
    <t>02/02/2026 03:15</t>
  </si>
  <si>
    <t>464.35</t>
  </si>
  <si>
    <t>02/02/2026 03:30</t>
  </si>
  <si>
    <t>467.21</t>
  </si>
  <si>
    <t>02/02/2026 03:45</t>
  </si>
  <si>
    <t>460.01</t>
  </si>
  <si>
    <t>02/02/2026 04:00</t>
  </si>
  <si>
    <t>454.84</t>
  </si>
  <si>
    <t>02/02/2026 04:15</t>
  </si>
  <si>
    <t>450.98</t>
  </si>
  <si>
    <t>02/02/2026 04:30</t>
  </si>
  <si>
    <t>446.05</t>
  </si>
  <si>
    <t>02/02/2026 04:45</t>
  </si>
  <si>
    <t>443.24</t>
  </si>
  <si>
    <t>02/02/2026 05:00</t>
  </si>
  <si>
    <t>440.81</t>
  </si>
  <si>
    <t>02/02/2026 05:15</t>
  </si>
  <si>
    <t>02/02/2026 05:30</t>
  </si>
  <si>
    <t>444.69</t>
  </si>
  <si>
    <t>02/02/2026 05:45</t>
  </si>
  <si>
    <t>449.72</t>
  </si>
  <si>
    <t>02/02/2026 06:00</t>
  </si>
  <si>
    <t>449.24</t>
  </si>
  <si>
    <t>02/02/2026 06:15</t>
  </si>
  <si>
    <t>02/02/2026 06:30</t>
  </si>
  <si>
    <t>451.40</t>
  </si>
  <si>
    <t>02/02/2026 06:45</t>
  </si>
  <si>
    <t>452.78</t>
  </si>
  <si>
    <t>02/02/2026 07:00</t>
  </si>
  <si>
    <t>455.66</t>
  </si>
  <si>
    <t>02/02/2026 07:15</t>
  </si>
  <si>
    <t>455.38</t>
  </si>
  <si>
    <t>02/02/2026 07:30</t>
  </si>
  <si>
    <t>452.48</t>
  </si>
  <si>
    <t>02/02/2026 07:45</t>
  </si>
  <si>
    <t>448.99</t>
  </si>
  <si>
    <t>02/02/2026 08:00</t>
  </si>
  <si>
    <t>444.42</t>
  </si>
  <si>
    <t>02/02/2026 08:15</t>
  </si>
  <si>
    <t>446.60</t>
  </si>
  <si>
    <t>02/02/2026 08:30</t>
  </si>
  <si>
    <t>448.42</t>
  </si>
  <si>
    <t>02/02/2026 08:45</t>
  </si>
  <si>
    <t>445.40</t>
  </si>
  <si>
    <t>02/02/2026 09:00</t>
  </si>
  <si>
    <t>441.14</t>
  </si>
  <si>
    <t>02/02/2026 09:15</t>
  </si>
  <si>
    <t>12.5</t>
  </si>
  <si>
    <t>437.04</t>
  </si>
  <si>
    <t>02/02/2026 09:30</t>
  </si>
  <si>
    <t>436.38</t>
  </si>
  <si>
    <t>02/02/2026 09:45</t>
  </si>
  <si>
    <t>02/02/2026 10:00</t>
  </si>
  <si>
    <t>436.04</t>
  </si>
  <si>
    <t>02/02/2026 10:15</t>
  </si>
  <si>
    <t>02/02/2026 10:30</t>
  </si>
  <si>
    <t>02/02/2026 10:45</t>
  </si>
  <si>
    <t>435.87</t>
  </si>
  <si>
    <t>02/02/2026 11:00</t>
  </si>
  <si>
    <t>435.23</t>
  </si>
  <si>
    <t>02/02/2026 11:15</t>
  </si>
  <si>
    <t>435.89</t>
  </si>
  <si>
    <t>02/02/2026 11:30</t>
  </si>
  <si>
    <t>435.84</t>
  </si>
  <si>
    <t>02/02/2026 11:45</t>
  </si>
  <si>
    <t>435.88</t>
  </si>
  <si>
    <t>02/02/2026 12:00</t>
  </si>
  <si>
    <t>435.50</t>
  </si>
  <si>
    <t>02/02/2026 12:15</t>
  </si>
  <si>
    <t>435.43</t>
  </si>
  <si>
    <t>02/02/2026 12:30</t>
  </si>
  <si>
    <t>435.80</t>
  </si>
  <si>
    <t>02/02/2026 12:45</t>
  </si>
  <si>
    <t>434.88</t>
  </si>
  <si>
    <t>02/02/2026 13:00</t>
  </si>
  <si>
    <t>02/02/2026 13:15</t>
  </si>
  <si>
    <t>434.93</t>
  </si>
  <si>
    <t>02/02/2026 13:30</t>
  </si>
  <si>
    <t>02/02/2026 13:45</t>
  </si>
  <si>
    <t>434.69</t>
  </si>
  <si>
    <t>02/02/2026 14:00</t>
  </si>
  <si>
    <t>433.46</t>
  </si>
  <si>
    <t>02/02/2026 14:15</t>
  </si>
  <si>
    <t>433.42</t>
  </si>
  <si>
    <t>02/02/2026 14:30</t>
  </si>
  <si>
    <t>433.79</t>
  </si>
  <si>
    <t>02/02/2026 14:45</t>
  </si>
  <si>
    <t>434.07</t>
  </si>
  <si>
    <t>02/02/2026 15:00</t>
  </si>
  <si>
    <t>02/02/2026 15:15</t>
  </si>
  <si>
    <t>433.78</t>
  </si>
  <si>
    <t>02/02/2026 15:30</t>
  </si>
  <si>
    <t>02/02/2026 15:45</t>
  </si>
  <si>
    <t>02/02/2026 16:00</t>
  </si>
  <si>
    <t>434.63</t>
  </si>
  <si>
    <t>02/02/2026 16:15</t>
  </si>
  <si>
    <t>02/02/2026 16:30</t>
  </si>
  <si>
    <t>433.95</t>
  </si>
  <si>
    <t>02/02/2026 16:45</t>
  </si>
  <si>
    <t>02/02/2026 17:00</t>
  </si>
  <si>
    <t>436.14</t>
  </si>
  <si>
    <t>02/02/2026 17:15</t>
  </si>
  <si>
    <t>436.89</t>
  </si>
  <si>
    <t>02/02/2026 17:30</t>
  </si>
  <si>
    <t>435.11</t>
  </si>
  <si>
    <t>02/02/2026 17:45</t>
  </si>
  <si>
    <t>02/02/2026 18:00</t>
  </si>
  <si>
    <t>434.52</t>
  </si>
  <si>
    <t>02/02/2026 18:15</t>
  </si>
  <si>
    <t>02/02/2026 18:30</t>
  </si>
  <si>
    <t>434.02</t>
  </si>
  <si>
    <t>02/02/2026 18:45</t>
  </si>
  <si>
    <t>02/02/2026 19:00</t>
  </si>
  <si>
    <t>433.74</t>
  </si>
  <si>
    <t>02/02/2026 19:15</t>
  </si>
  <si>
    <t>432.63</t>
  </si>
  <si>
    <t>02/02/2026 19:30</t>
  </si>
  <si>
    <t>432.18</t>
  </si>
  <si>
    <t>02/02/2026 19:45</t>
  </si>
  <si>
    <t>432.31</t>
  </si>
  <si>
    <t>02/02/2026 20:00</t>
  </si>
  <si>
    <t>432.68</t>
  </si>
  <si>
    <t>02/02/2026 20:15</t>
  </si>
  <si>
    <t>432.84</t>
  </si>
  <si>
    <t>02/02/2026 20:30</t>
  </si>
  <si>
    <t>432.72</t>
  </si>
  <si>
    <t>02/02/2026 20:45</t>
  </si>
  <si>
    <t>433.17</t>
  </si>
  <si>
    <t>02/02/2026 21:00</t>
  </si>
  <si>
    <t>432.82</t>
  </si>
  <si>
    <t>02/02/2026 21:15</t>
  </si>
  <si>
    <t>432.99</t>
  </si>
  <si>
    <t>02/02/2026 21:30</t>
  </si>
  <si>
    <t>433.22</t>
  </si>
  <si>
    <t>02/02/2026 21:45</t>
  </si>
  <si>
    <t>433.07</t>
  </si>
  <si>
    <t>02/02/2026 22:00</t>
  </si>
  <si>
    <t>433.01</t>
  </si>
  <si>
    <t>02/02/2026 22:15</t>
  </si>
  <si>
    <t>432.74</t>
  </si>
  <si>
    <t>02/02/2026 22:30</t>
  </si>
  <si>
    <t>432.64</t>
  </si>
  <si>
    <t>02/02/2026 22:45</t>
  </si>
  <si>
    <t>432.67</t>
  </si>
  <si>
    <t>02/02/2026 23:00</t>
  </si>
  <si>
    <t>432.44</t>
  </si>
  <si>
    <t>02/02/2026 23:15</t>
  </si>
  <si>
    <t>432.19</t>
  </si>
  <si>
    <t>02/02/2026 23:30</t>
  </si>
  <si>
    <t>432.33</t>
  </si>
  <si>
    <t>02/02/2026 23:45</t>
  </si>
  <si>
    <t>02/02/2026 24:00</t>
  </si>
  <si>
    <t>432.65</t>
  </si>
  <si>
    <t>03/02/2026 00:15</t>
  </si>
  <si>
    <t>432.71</t>
  </si>
  <si>
    <t>03/02/2026 00:30</t>
  </si>
  <si>
    <t>432.58</t>
  </si>
  <si>
    <t>03/02/2026 00:45</t>
  </si>
  <si>
    <t>432.09</t>
  </si>
  <si>
    <t>03/02/2026 01:00</t>
  </si>
  <si>
    <t>431.91</t>
  </si>
  <si>
    <t>03/02/2026 01:15</t>
  </si>
  <si>
    <t>03/02/2026 01:30</t>
  </si>
  <si>
    <t>431.88</t>
  </si>
  <si>
    <t>03/02/2026 01:45</t>
  </si>
  <si>
    <t>432.11</t>
  </si>
  <si>
    <t>03/02/2026 02:00</t>
  </si>
  <si>
    <t>432.46</t>
  </si>
  <si>
    <t>03/02/2026 02:15</t>
  </si>
  <si>
    <t>03/02/2026 02:30</t>
  </si>
  <si>
    <t>03/02/2026 02:45</t>
  </si>
  <si>
    <t>03/02/2026 03:00</t>
  </si>
  <si>
    <t>434.30</t>
  </si>
  <si>
    <t>03/02/2026 03:15</t>
  </si>
  <si>
    <t>03/02/2026 03:30</t>
  </si>
  <si>
    <t>03/02/2026 03:45</t>
  </si>
  <si>
    <t>03/02/2026 04:00</t>
  </si>
  <si>
    <t>03/02/2026 04:15</t>
  </si>
  <si>
    <t>441.96</t>
  </si>
  <si>
    <t>03/02/2026 04:30</t>
  </si>
  <si>
    <t>442.34</t>
  </si>
  <si>
    <t>03/02/2026 04:45</t>
  </si>
  <si>
    <t>443.32</t>
  </si>
  <si>
    <t>03/02/2026 05:00</t>
  </si>
  <si>
    <t>03/02/2026 05:15</t>
  </si>
  <si>
    <t>445.30</t>
  </si>
  <si>
    <t>03/02/2026 05:30</t>
  </si>
  <si>
    <t>445.05</t>
  </si>
  <si>
    <t>03/02/2026 05:45</t>
  </si>
  <si>
    <t>452.63</t>
  </si>
  <si>
    <t>03/02/2026 06:00</t>
  </si>
  <si>
    <t>454.73</t>
  </si>
  <si>
    <t>03/02/2026 06:15</t>
  </si>
  <si>
    <t>458.64</t>
  </si>
  <si>
    <t>03/02/2026 06:30</t>
  </si>
  <si>
    <t>464.68</t>
  </si>
  <si>
    <t>03/02/2026 06:45</t>
  </si>
  <si>
    <t>468.25</t>
  </si>
  <si>
    <t>03/02/2026 07:00</t>
  </si>
  <si>
    <t>470.72</t>
  </si>
  <si>
    <t>03/02/2026 07:15</t>
  </si>
  <si>
    <t>476.20</t>
  </si>
  <si>
    <t>03/02/2026 07:30</t>
  </si>
  <si>
    <t>473.86</t>
  </si>
  <si>
    <t>03/02/2026 07:45</t>
  </si>
  <si>
    <t>480.66</t>
  </si>
  <si>
    <t>03/02/2026 08:00</t>
  </si>
  <si>
    <t>480.82</t>
  </si>
  <si>
    <t>03/02/2026 08:15</t>
  </si>
  <si>
    <t>462.61</t>
  </si>
  <si>
    <t>03/02/2026 08:30</t>
  </si>
  <si>
    <t>447.35</t>
  </si>
  <si>
    <t>03/02/2026 08:45</t>
  </si>
  <si>
    <t>03/02/2026 09:00</t>
  </si>
  <si>
    <t>441.15</t>
  </si>
  <si>
    <t>03/02/2026 09:15</t>
  </si>
  <si>
    <t>444.70</t>
  </si>
  <si>
    <t>03/02/2026 09:30</t>
  </si>
  <si>
    <t>440.15</t>
  </si>
  <si>
    <t>03/02/2026 09:45</t>
  </si>
  <si>
    <t>440.44</t>
  </si>
  <si>
    <t>03/02/2026 10:00</t>
  </si>
  <si>
    <t>439.62</t>
  </si>
  <si>
    <t>03/02/2026 10:15</t>
  </si>
  <si>
    <t>441.13</t>
  </si>
  <si>
    <t>03/02/2026 10:30</t>
  </si>
  <si>
    <t>439.54</t>
  </si>
  <si>
    <t>03/02/2026 10:45</t>
  </si>
  <si>
    <t>438.93</t>
  </si>
  <si>
    <t>03/02/2026 11:00</t>
  </si>
  <si>
    <t>434.60</t>
  </si>
  <si>
    <t>03/02/2026 11:15</t>
  </si>
  <si>
    <t>435.48</t>
  </si>
  <si>
    <t>03/02/2026 11:30</t>
  </si>
  <si>
    <t>435.03</t>
  </si>
  <si>
    <t>03/02/2026 11:45</t>
  </si>
  <si>
    <t>03/02/2026 12:00</t>
  </si>
  <si>
    <t>434.92</t>
  </si>
  <si>
    <t>03/02/2026 12:15</t>
  </si>
  <si>
    <t>434.71</t>
  </si>
  <si>
    <t>03/02/2026 12:30</t>
  </si>
  <si>
    <t>03/02/2026 12:45</t>
  </si>
  <si>
    <t>433.83</t>
  </si>
  <si>
    <t>03/02/2026 13:00</t>
  </si>
  <si>
    <t>03/02/2026 13:15</t>
  </si>
  <si>
    <t>03/02/2026 13:30</t>
  </si>
  <si>
    <t>03/02/2026 13:45</t>
  </si>
  <si>
    <t>434.53</t>
  </si>
  <si>
    <t>03/02/2026 14:00</t>
  </si>
  <si>
    <t>434.19</t>
  </si>
  <si>
    <t>03/02/2026 14:15</t>
  </si>
  <si>
    <t>03/02/2026 14:30</t>
  </si>
  <si>
    <t>434.70</t>
  </si>
  <si>
    <t>03/02/2026 14:45</t>
  </si>
  <si>
    <t>435.72</t>
  </si>
  <si>
    <t>03/02/2026 15:00</t>
  </si>
  <si>
    <t>436.06</t>
  </si>
  <si>
    <t>03/02/2026 15:15</t>
  </si>
  <si>
    <t>03/02/2026 15:30</t>
  </si>
  <si>
    <t>435.29</t>
  </si>
  <si>
    <t>03/02/2026 15:45</t>
  </si>
  <si>
    <t>03/02/2026 16:00</t>
  </si>
  <si>
    <t>435.24</t>
  </si>
  <si>
    <t>03/02/2026 16:15</t>
  </si>
  <si>
    <t>03/02/2026 16:30</t>
  </si>
  <si>
    <t>03/02/2026 16:45</t>
  </si>
  <si>
    <t>436.34</t>
  </si>
  <si>
    <t>03/02/2026 17:00</t>
  </si>
  <si>
    <t>438.72</t>
  </si>
  <si>
    <t>03/02/2026 17:15</t>
  </si>
  <si>
    <t>437.69</t>
  </si>
  <si>
    <t>03/02/2026 17:30</t>
  </si>
  <si>
    <t>03/02/2026 17:45</t>
  </si>
  <si>
    <t>03/02/2026 18:00</t>
  </si>
  <si>
    <t>438.90</t>
  </si>
  <si>
    <t>03/02/2026 18:15</t>
  </si>
  <si>
    <t>439.75</t>
  </si>
  <si>
    <t>03/02/2026 18:30</t>
  </si>
  <si>
    <t>438.80</t>
  </si>
  <si>
    <t>03/02/2026 18:45</t>
  </si>
  <si>
    <t>439.68</t>
  </si>
  <si>
    <t>03/02/2026 19:00</t>
  </si>
  <si>
    <t>439.60</t>
  </si>
  <si>
    <t>03/02/2026 19:15</t>
  </si>
  <si>
    <t>03/02/2026 19:30</t>
  </si>
  <si>
    <t>03/02/2026 19:45</t>
  </si>
  <si>
    <t>441.73</t>
  </si>
  <si>
    <t>03/02/2026 20:00</t>
  </si>
  <si>
    <t>442.24</t>
  </si>
  <si>
    <t>03/02/2026 20:15</t>
  </si>
  <si>
    <t>438.60</t>
  </si>
  <si>
    <t>03/02/2026 20:30</t>
  </si>
  <si>
    <t>03/02/2026 20:45</t>
  </si>
  <si>
    <t>03/02/2026 21:00</t>
  </si>
  <si>
    <t>436.37</t>
  </si>
  <si>
    <t>03/02/2026 21:15</t>
  </si>
  <si>
    <t>436.13</t>
  </si>
  <si>
    <t>03/02/2026 21:30</t>
  </si>
  <si>
    <t>03/02/2026 21:45</t>
  </si>
  <si>
    <t>03/02/2026 22:00</t>
  </si>
  <si>
    <t>03/02/2026 22:15</t>
  </si>
  <si>
    <t>03/02/2026 22:30</t>
  </si>
  <si>
    <t>03/02/2026 22:45</t>
  </si>
  <si>
    <t>03/02/2026 23:00</t>
  </si>
  <si>
    <t>437.00</t>
  </si>
  <si>
    <t>03/02/2026 23:15</t>
  </si>
  <si>
    <t>03/02/2026 23:30</t>
  </si>
  <si>
    <t>03/02/2026 23:45</t>
  </si>
  <si>
    <t>436.72</t>
  </si>
  <si>
    <t>03/02/2026 24:00</t>
  </si>
  <si>
    <t>435.85</t>
  </si>
  <si>
    <t>04/02/2026 00:15</t>
  </si>
  <si>
    <t>04/02/2026 00:30</t>
  </si>
  <si>
    <t>436.85</t>
  </si>
  <si>
    <t>04/02/2026 00:45</t>
  </si>
  <si>
    <t>436.09</t>
  </si>
  <si>
    <t>04/02/2026 01:00</t>
  </si>
  <si>
    <t>04/02/2026 01:15</t>
  </si>
  <si>
    <t>438.68</t>
  </si>
  <si>
    <t>04/02/2026 01:30</t>
  </si>
  <si>
    <t>04/02/2026 01:45</t>
  </si>
  <si>
    <t>437.22</t>
  </si>
  <si>
    <t>04/02/2026 02:00</t>
  </si>
  <si>
    <t>437.30</t>
  </si>
  <si>
    <t>04/02/2026 02:15</t>
  </si>
  <si>
    <t>438.29</t>
  </si>
  <si>
    <t>04/02/2026 02:30</t>
  </si>
  <si>
    <t>440.05</t>
  </si>
  <si>
    <t>04/02/2026 02:45</t>
  </si>
  <si>
    <t>04/02/2026 03:00</t>
  </si>
  <si>
    <t>438.82</t>
  </si>
  <si>
    <t>04/02/2026 03:15</t>
  </si>
  <si>
    <t>438.99</t>
  </si>
  <si>
    <t>04/02/2026 03:30</t>
  </si>
  <si>
    <t>438.64</t>
  </si>
  <si>
    <t>04/02/2026 03:45</t>
  </si>
  <si>
    <t>04/02/2026 04:00</t>
  </si>
  <si>
    <t>442.32</t>
  </si>
  <si>
    <t>04/02/2026 04:15</t>
  </si>
  <si>
    <t>04/02/2026 04:30</t>
  </si>
  <si>
    <t>04/02/2026 04:45</t>
  </si>
  <si>
    <t>441.17</t>
  </si>
  <si>
    <t>04/02/2026 05:00</t>
  </si>
  <si>
    <t>04/02/2026 05:15</t>
  </si>
  <si>
    <t>04/02/2026 05:30</t>
  </si>
  <si>
    <t>444.66</t>
  </si>
  <si>
    <t>04/02/2026 05:45</t>
  </si>
  <si>
    <t>444.64</t>
  </si>
  <si>
    <t>04/02/2026 06:00</t>
  </si>
  <si>
    <t>04/02/2026 06:15</t>
  </si>
  <si>
    <t>443.46</t>
  </si>
  <si>
    <t>04/02/2026 06:30</t>
  </si>
  <si>
    <t>04/02/2026 06:45</t>
  </si>
  <si>
    <t>443.20</t>
  </si>
  <si>
    <t>04/02/2026 07:00</t>
  </si>
  <si>
    <t>444.45</t>
  </si>
  <si>
    <t>04/02/2026 07:15</t>
  </si>
  <si>
    <t>445.84</t>
  </si>
  <si>
    <t>04/02/2026 07:30</t>
  </si>
  <si>
    <t>447.09</t>
  </si>
  <si>
    <t>04/02/2026 07:45</t>
  </si>
  <si>
    <t>04/02/2026 08:00</t>
  </si>
  <si>
    <t>04/02/2026 08:15</t>
  </si>
  <si>
    <t>442.40</t>
  </si>
  <si>
    <t>04/02/2026 08:30</t>
  </si>
  <si>
    <t>441.55</t>
  </si>
  <si>
    <t>04/02/2026 08:45</t>
  </si>
  <si>
    <t>04/02/2026 09:00</t>
  </si>
  <si>
    <t>441.67</t>
  </si>
  <si>
    <t>04/02/2026 09:15</t>
  </si>
  <si>
    <t>441.39</t>
  </si>
  <si>
    <t>04/02/2026 09:30</t>
  </si>
  <si>
    <t>439.44</t>
  </si>
  <si>
    <t>04/02/2026 09:45</t>
  </si>
  <si>
    <t>439.28</t>
  </si>
  <si>
    <t>04/02/2026 10:00</t>
  </si>
  <si>
    <t>438.16</t>
  </si>
  <si>
    <t>04/02/2026 10:15</t>
  </si>
  <si>
    <t>436.50</t>
  </si>
  <si>
    <t>04/02/2026 10:30</t>
  </si>
  <si>
    <t>435.93</t>
  </si>
  <si>
    <t>04/02/2026 10:45</t>
  </si>
  <si>
    <t>435.55</t>
  </si>
  <si>
    <t>04/02/2026 11:00</t>
  </si>
  <si>
    <t>436.67</t>
  </si>
  <si>
    <t>04/02/2026 11:15</t>
  </si>
  <si>
    <t>04/02/2026 11:30</t>
  </si>
  <si>
    <t>436.29</t>
  </si>
  <si>
    <t>04/02/2026 11:45</t>
  </si>
  <si>
    <t>437.70</t>
  </si>
  <si>
    <t>04/02/2026 12:00</t>
  </si>
  <si>
    <t>437.87</t>
  </si>
  <si>
    <t>04/02/2026 12:15</t>
  </si>
  <si>
    <t>438.26</t>
  </si>
  <si>
    <t>04/02/2026 12:30</t>
  </si>
  <si>
    <t>436.71</t>
  </si>
  <si>
    <t>04/02/2026 12:45</t>
  </si>
  <si>
    <t>436.62</t>
  </si>
  <si>
    <t>04/02/2026 13:00</t>
  </si>
  <si>
    <t>04/02/2026 13:15</t>
  </si>
  <si>
    <t>436.51</t>
  </si>
  <si>
    <t>04/02/2026 13:30</t>
  </si>
  <si>
    <t>437.03</t>
  </si>
  <si>
    <t>04/02/2026 13:45</t>
  </si>
  <si>
    <t>438.59</t>
  </si>
  <si>
    <t>04/02/2026 14:00</t>
  </si>
  <si>
    <t>04/02/2026 14:15</t>
  </si>
  <si>
    <t>439.61</t>
  </si>
  <si>
    <t>04/02/2026 14:30</t>
  </si>
  <si>
    <t>440.40</t>
  </si>
  <si>
    <t>04/02/2026 14:45</t>
  </si>
  <si>
    <t>439.29</t>
  </si>
  <si>
    <t>04/02/2026 15:00</t>
  </si>
  <si>
    <t>04/02/2026 15:15</t>
  </si>
  <si>
    <t>438.33</t>
  </si>
  <si>
    <t>04/02/2026 15:30</t>
  </si>
  <si>
    <t>04/02/2026 15:45</t>
  </si>
  <si>
    <t>440.51</t>
  </si>
  <si>
    <t>04/02/2026 16:00</t>
  </si>
  <si>
    <t>439.64</t>
  </si>
  <si>
    <t>04/02/2026 16:15</t>
  </si>
  <si>
    <t>04/02/2026 16:30</t>
  </si>
  <si>
    <t>442.60</t>
  </si>
  <si>
    <t>04/02/2026 16:45</t>
  </si>
  <si>
    <t>04/02/2026 17:00</t>
  </si>
  <si>
    <t>431.02</t>
  </si>
  <si>
    <t>04/02/2026 17:15</t>
  </si>
  <si>
    <t>445.18</t>
  </si>
  <si>
    <t>04/02/2026 17:30</t>
  </si>
  <si>
    <t>445.43</t>
  </si>
  <si>
    <t>04/02/2026 17:45</t>
  </si>
  <si>
    <t>04/02/2026 18:00</t>
  </si>
  <si>
    <t>443.29</t>
  </si>
  <si>
    <t>04/02/2026 18:15</t>
  </si>
  <si>
    <t>446.03</t>
  </si>
  <si>
    <t>04/02/2026 18:30</t>
  </si>
  <si>
    <t>04/02/2026 18:45</t>
  </si>
  <si>
    <t>447.39</t>
  </si>
  <si>
    <t>04/02/2026 19:00</t>
  </si>
  <si>
    <t>04/02/2026 19:15</t>
  </si>
  <si>
    <t>448.60</t>
  </si>
  <si>
    <t>04/02/2026 19:30</t>
  </si>
  <si>
    <t>447.81</t>
  </si>
  <si>
    <t>04/02/2026 19:45</t>
  </si>
  <si>
    <t>445.76</t>
  </si>
  <si>
    <t>04/02/2026 20:00</t>
  </si>
  <si>
    <t>443.23</t>
  </si>
  <si>
    <t>04/02/2026 20:15</t>
  </si>
  <si>
    <t>444.38</t>
  </si>
  <si>
    <t>04/02/2026 20:30</t>
  </si>
  <si>
    <t>443.26</t>
  </si>
  <si>
    <t>04/02/2026 20:45</t>
  </si>
  <si>
    <t>441.22</t>
  </si>
  <si>
    <t>04/02/2026 21:00</t>
  </si>
  <si>
    <t>440.53</t>
  </si>
  <si>
    <t>04/02/2026 21:15</t>
  </si>
  <si>
    <t>440.23</t>
  </si>
  <si>
    <t>04/02/2026 21:30</t>
  </si>
  <si>
    <t>441.08</t>
  </si>
  <si>
    <t>04/02/2026 21:45</t>
  </si>
  <si>
    <t>04/02/2026 22:00</t>
  </si>
  <si>
    <t>04/02/2026 22:15</t>
  </si>
  <si>
    <t>448.31</t>
  </si>
  <si>
    <t>04/02/2026 22:30</t>
  </si>
  <si>
    <t>450.81</t>
  </si>
  <si>
    <t>04/02/2026 22:45</t>
  </si>
  <si>
    <t>452.92</t>
  </si>
  <si>
    <t>04/02/2026 23:00</t>
  </si>
  <si>
    <t>450.05</t>
  </si>
  <si>
    <t>04/02/2026 23:15</t>
  </si>
  <si>
    <t>449.89</t>
  </si>
  <si>
    <t>04/02/2026 23:30</t>
  </si>
  <si>
    <t>448.59</t>
  </si>
  <si>
    <t>04/02/2026 23:45</t>
  </si>
  <si>
    <t>04/02/2026 24:00</t>
  </si>
  <si>
    <t>450.58</t>
  </si>
  <si>
    <t>05/02/2026 00:15</t>
  </si>
  <si>
    <t>05/02/2026 00:30</t>
  </si>
  <si>
    <t>452.72</t>
  </si>
  <si>
    <t>05/02/2026 00:45</t>
  </si>
  <si>
    <t>447.65</t>
  </si>
  <si>
    <t>05/02/2026 01:00</t>
  </si>
  <si>
    <t>449.62</t>
  </si>
  <si>
    <t>05/02/2026 01:15</t>
  </si>
  <si>
    <t>450.45</t>
  </si>
  <si>
    <t>05/02/2026 01:30</t>
  </si>
  <si>
    <t>05/02/2026 01:45</t>
  </si>
  <si>
    <t>450.62</t>
  </si>
  <si>
    <t>05/02/2026 02:00</t>
  </si>
  <si>
    <t>452.87</t>
  </si>
  <si>
    <t>05/02/2026 02:15</t>
  </si>
  <si>
    <t>455.15</t>
  </si>
  <si>
    <t>05/02/2026 02:30</t>
  </si>
  <si>
    <t>455.47</t>
  </si>
  <si>
    <t>05/02/2026 02:45</t>
  </si>
  <si>
    <t>457.34</t>
  </si>
  <si>
    <t>05/02/2026 03:00</t>
  </si>
  <si>
    <t>457.58</t>
  </si>
  <si>
    <t>05/02/2026 03:15</t>
  </si>
  <si>
    <t>456.79</t>
  </si>
  <si>
    <t>05/02/2026 03:30</t>
  </si>
  <si>
    <t>458.15</t>
  </si>
  <si>
    <t>05/02/2026 03:45</t>
  </si>
  <si>
    <t>457.77</t>
  </si>
  <si>
    <t>05/02/2026 04:00</t>
  </si>
  <si>
    <t>455.57</t>
  </si>
  <si>
    <t>05/02/2026 04:15</t>
  </si>
  <si>
    <t>453.81</t>
  </si>
  <si>
    <t>05/02/2026 04:30</t>
  </si>
  <si>
    <t>455.79</t>
  </si>
  <si>
    <t>05/02/2026 04:45</t>
  </si>
  <si>
    <t>456.82</t>
  </si>
  <si>
    <t>05/02/2026 05:00</t>
  </si>
  <si>
    <t>453.34</t>
  </si>
  <si>
    <t>05/02/2026 05:15</t>
  </si>
  <si>
    <t>452.74</t>
  </si>
  <si>
    <t>05/02/2026 05:30</t>
  </si>
  <si>
    <t>457.27</t>
  </si>
  <si>
    <t>05/02/2026 05:45</t>
  </si>
  <si>
    <t>461.49</t>
  </si>
  <si>
    <t>05/02/2026 06:00</t>
  </si>
  <si>
    <t>462.43</t>
  </si>
  <si>
    <t>05/02/2026 06:15</t>
  </si>
  <si>
    <t>467.41</t>
  </si>
  <si>
    <t>05/02/2026 06:30</t>
  </si>
  <si>
    <t>474.22</t>
  </si>
  <si>
    <t>05/02/2026 06:45</t>
  </si>
  <si>
    <t>468.15</t>
  </si>
  <si>
    <t>05/02/2026 07:00</t>
  </si>
  <si>
    <t>475.94</t>
  </si>
  <si>
    <t>05/02/2026 07:15</t>
  </si>
  <si>
    <t>481.63</t>
  </si>
  <si>
    <t>05/02/2026 07:30</t>
  </si>
  <si>
    <t>473.47</t>
  </si>
  <si>
    <t>05/02/2026 07:45</t>
  </si>
  <si>
    <t>471.88</t>
  </si>
  <si>
    <t>05/02/2026 08:00</t>
  </si>
  <si>
    <t>472.21</t>
  </si>
  <si>
    <t>05/02/2026 08:15</t>
  </si>
  <si>
    <t>464.45</t>
  </si>
  <si>
    <t>05/02/2026 08:30</t>
  </si>
  <si>
    <t>462.52</t>
  </si>
  <si>
    <t>05/02/2026 08:45</t>
  </si>
  <si>
    <t>460.30</t>
  </si>
  <si>
    <t>05/02/2026 09:00</t>
  </si>
  <si>
    <t>458.09</t>
  </si>
  <si>
    <t>05/02/2026 09:15</t>
  </si>
  <si>
    <t>451.71</t>
  </si>
  <si>
    <t>05/02/2026 09:30</t>
  </si>
  <si>
    <t>445.91</t>
  </si>
  <si>
    <t>05/02/2026 09:45</t>
  </si>
  <si>
    <t>446.00</t>
  </si>
  <si>
    <t>05/02/2026 10:00</t>
  </si>
  <si>
    <t>05/02/2026 10:15</t>
  </si>
  <si>
    <t>439.39</t>
  </si>
  <si>
    <t>05/02/2026 10:30</t>
  </si>
  <si>
    <t>05/02/2026 10:45</t>
  </si>
  <si>
    <t>05/02/2026 11:00</t>
  </si>
  <si>
    <t>05/02/2026 11:15</t>
  </si>
  <si>
    <t>436.40</t>
  </si>
  <si>
    <t>05/02/2026 11:30</t>
  </si>
  <si>
    <t>438.09</t>
  </si>
  <si>
    <t>05/02/2026 11:45</t>
  </si>
  <si>
    <t>05/02/2026 12:00</t>
  </si>
  <si>
    <t>05/02/2026 12:15</t>
  </si>
  <si>
    <t>05/02/2026 12:30</t>
  </si>
  <si>
    <t>05/02/2026 12:45</t>
  </si>
  <si>
    <t>434.84</t>
  </si>
  <si>
    <t>05/02/2026 13:00</t>
  </si>
  <si>
    <t>434.96</t>
  </si>
  <si>
    <t>05/02/2026 13:15</t>
  </si>
  <si>
    <t>05/02/2026 13:30</t>
  </si>
  <si>
    <t>05/02/2026 13:45</t>
  </si>
  <si>
    <t>436.83</t>
  </si>
  <si>
    <t>05/02/2026 14:00</t>
  </si>
  <si>
    <t>05/02/2026 14:15</t>
  </si>
  <si>
    <t>436.97</t>
  </si>
  <si>
    <t>05/02/2026 14:30</t>
  </si>
  <si>
    <t>05/02/2026 14:45</t>
  </si>
  <si>
    <t>05/02/2026 15:00</t>
  </si>
  <si>
    <t>439.59</t>
  </si>
  <si>
    <t>05/02/2026 15:15</t>
  </si>
  <si>
    <t>05/02/2026 15:30</t>
  </si>
  <si>
    <t>437.82</t>
  </si>
  <si>
    <t>05/02/2026 15:45</t>
  </si>
  <si>
    <t>441.04</t>
  </si>
  <si>
    <t>05/02/2026 16:00</t>
  </si>
  <si>
    <t>05/02/2026 16:15</t>
  </si>
  <si>
    <t>05/02/2026 16:30</t>
  </si>
  <si>
    <t>05/02/2026 16:45</t>
  </si>
  <si>
    <t>05/02/2026 17:00</t>
  </si>
  <si>
    <t>05/02/2026 17:15</t>
  </si>
  <si>
    <t>434.41</t>
  </si>
  <si>
    <t>05/02/2026 17:30</t>
  </si>
  <si>
    <t>05/02/2026 17:45</t>
  </si>
  <si>
    <t>434.09</t>
  </si>
  <si>
    <t>05/02/2026 18:00</t>
  </si>
  <si>
    <t>434.22</t>
  </si>
  <si>
    <t>05/02/2026 18:15</t>
  </si>
  <si>
    <t>434.51</t>
  </si>
  <si>
    <t>05/02/2026 18:30</t>
  </si>
  <si>
    <t>437.36</t>
  </si>
  <si>
    <t>05/02/2026 18:45</t>
  </si>
  <si>
    <t>435.91</t>
  </si>
  <si>
    <t>05/02/2026 19:00</t>
  </si>
  <si>
    <t>433.48</t>
  </si>
  <si>
    <t>05/02/2026 19:15</t>
  </si>
  <si>
    <t>432.86</t>
  </si>
  <si>
    <t>05/02/2026 19:30</t>
  </si>
  <si>
    <t>05/02/2026 19:45</t>
  </si>
  <si>
    <t>22.0</t>
  </si>
  <si>
    <t>435.22</t>
  </si>
  <si>
    <t>05/02/2026 20:00</t>
  </si>
  <si>
    <t>05/02/2026 20:15</t>
  </si>
  <si>
    <t>05/02/2026 20:30</t>
  </si>
  <si>
    <t>439.95</t>
  </si>
  <si>
    <t>05/02/2026 20:45</t>
  </si>
  <si>
    <t>441.05</t>
  </si>
  <si>
    <t>05/02/2026 21:00</t>
  </si>
  <si>
    <t>445.28</t>
  </si>
  <si>
    <t>05/02/2026 21:15</t>
  </si>
  <si>
    <t>441.97</t>
  </si>
  <si>
    <t>05/02/2026 21:30</t>
  </si>
  <si>
    <t>443.93</t>
  </si>
  <si>
    <t>05/02/2026 21:45</t>
  </si>
  <si>
    <t>446.26</t>
  </si>
  <si>
    <t>05/02/2026 22:00</t>
  </si>
  <si>
    <t>447.06</t>
  </si>
  <si>
    <t>05/02/2026 22:15</t>
  </si>
  <si>
    <t>447.88</t>
  </si>
  <si>
    <t>05/02/2026 22:30</t>
  </si>
  <si>
    <t>449.52</t>
  </si>
  <si>
    <t>05/02/2026 22:45</t>
  </si>
  <si>
    <t>450.91</t>
  </si>
  <si>
    <t>05/02/2026 23:00</t>
  </si>
  <si>
    <t>449.19</t>
  </si>
  <si>
    <t>05/02/2026 23:15</t>
  </si>
  <si>
    <t>05/02/2026 23:30</t>
  </si>
  <si>
    <t>05/02/2026 23:45</t>
  </si>
  <si>
    <t>446.04</t>
  </si>
  <si>
    <t>05/02/2026 24:00</t>
  </si>
  <si>
    <t>445.34</t>
  </si>
  <si>
    <t>06/02/2026 00:15</t>
  </si>
  <si>
    <t>06/02/2026 00:30</t>
  </si>
  <si>
    <t>448.98</t>
  </si>
  <si>
    <t>06/02/2026 00:45</t>
  </si>
  <si>
    <t>450.35</t>
  </si>
  <si>
    <t>06/02/2026 01:00</t>
  </si>
  <si>
    <t>06/02/2026 01:15</t>
  </si>
  <si>
    <t>456.43</t>
  </si>
  <si>
    <t>06/02/2026 01:30</t>
  </si>
  <si>
    <t>06/02/2026 01:45</t>
  </si>
  <si>
    <t>445.82</t>
  </si>
  <si>
    <t>06/02/2026 02:00</t>
  </si>
  <si>
    <t>458.66</t>
  </si>
  <si>
    <t>06/02/2026 02:15</t>
  </si>
  <si>
    <t>465.40</t>
  </si>
  <si>
    <t>06/02/2026 02:30</t>
  </si>
  <si>
    <t>469.78</t>
  </si>
  <si>
    <t>06/02/2026 02:45</t>
  </si>
  <si>
    <t>475.24</t>
  </si>
  <si>
    <t>06/02/2026 03:00</t>
  </si>
  <si>
    <t>465.63</t>
  </si>
  <si>
    <t>06/02/2026 03:15</t>
  </si>
  <si>
    <t>06/02/2026 03:30</t>
  </si>
  <si>
    <t>451.08</t>
  </si>
  <si>
    <t>06/02/2026 03:45</t>
  </si>
  <si>
    <t>453.55</t>
  </si>
  <si>
    <t>06/02/2026 04:00</t>
  </si>
  <si>
    <t>453.73</t>
  </si>
  <si>
    <t>06/02/2026 04:15</t>
  </si>
  <si>
    <t>06/02/2026 04:30</t>
  </si>
  <si>
    <t>451.05</t>
  </si>
  <si>
    <t>06/02/2026 04:45</t>
  </si>
  <si>
    <t>06/02/2026 05:00</t>
  </si>
  <si>
    <t>460.07</t>
  </si>
  <si>
    <t>06/02/2026 05:15</t>
  </si>
  <si>
    <t>06/02/2026 05:30</t>
  </si>
  <si>
    <t>460.23</t>
  </si>
  <si>
    <t>06/02/2026 05:45</t>
  </si>
  <si>
    <t>462.69</t>
  </si>
  <si>
    <t>06/02/2026 06:00</t>
  </si>
  <si>
    <t>464.09</t>
  </si>
  <si>
    <t>06/02/2026 06:15</t>
  </si>
  <si>
    <t>472.17</t>
  </si>
  <si>
    <t>06/02/2026 06:30</t>
  </si>
  <si>
    <t>465.91</t>
  </si>
  <si>
    <t>06/02/2026 06:45</t>
  </si>
  <si>
    <t>464.77</t>
  </si>
  <si>
    <t>06/02/2026 07:00</t>
  </si>
  <si>
    <t>465.86</t>
  </si>
  <si>
    <t>06/02/2026 07:15</t>
  </si>
  <si>
    <t>468.60</t>
  </si>
  <si>
    <t>06/02/2026 07:30</t>
  </si>
  <si>
    <t>481.88</t>
  </si>
  <si>
    <t>06/02/2026 07:45</t>
  </si>
  <si>
    <t>519.96</t>
  </si>
  <si>
    <t>06/02/2026 08:00</t>
  </si>
  <si>
    <t>500.43</t>
  </si>
  <si>
    <t>06/02/2026 08:15</t>
  </si>
  <si>
    <t>494.40</t>
  </si>
  <si>
    <t>06/02/2026 08:30</t>
  </si>
  <si>
    <t>473.45</t>
  </si>
  <si>
    <t>06/02/2026 08:45</t>
  </si>
  <si>
    <t>456.65</t>
  </si>
  <si>
    <t>06/02/2026 09:00</t>
  </si>
  <si>
    <t>457.24</t>
  </si>
  <si>
    <t>06/02/2026 09:15</t>
  </si>
  <si>
    <t>449.71</t>
  </si>
  <si>
    <t>06/02/2026 09:30</t>
  </si>
  <si>
    <t>445.01</t>
  </si>
  <si>
    <t>06/02/2026 09:45</t>
  </si>
  <si>
    <t>445.08</t>
  </si>
  <si>
    <t>06/02/2026 10:00</t>
  </si>
  <si>
    <t>444.28</t>
  </si>
  <si>
    <t>06/02/2026 10:15</t>
  </si>
  <si>
    <t>444.46</t>
  </si>
  <si>
    <t>06/02/2026 10:30</t>
  </si>
  <si>
    <t>06/02/2026 10:45</t>
  </si>
  <si>
    <t>06/02/2026 11:00</t>
  </si>
  <si>
    <t>445.31</t>
  </si>
  <si>
    <t>06/02/2026 11:15</t>
  </si>
  <si>
    <t>06/02/2026 11:30</t>
  </si>
  <si>
    <t>443.44</t>
  </si>
  <si>
    <t>06/02/2026 11:45</t>
  </si>
  <si>
    <t>442.26</t>
  </si>
  <si>
    <t>06/02/2026 12:00</t>
  </si>
  <si>
    <t>06/02/2026 12:15</t>
  </si>
  <si>
    <t>443.14</t>
  </si>
  <si>
    <t>06/02/2026 12:30</t>
  </si>
  <si>
    <t>06/02/2026 12:45</t>
  </si>
  <si>
    <t>441.49</t>
  </si>
  <si>
    <t>06/02/2026 13:00</t>
  </si>
  <si>
    <t>441.56</t>
  </si>
  <si>
    <t>06/02/2026 13:15</t>
  </si>
  <si>
    <t>06/02/2026 13:30</t>
  </si>
  <si>
    <t>436.39</t>
  </si>
  <si>
    <t>06/02/2026 13:45</t>
  </si>
  <si>
    <t>06/02/2026 14:00</t>
  </si>
  <si>
    <t>436.43</t>
  </si>
  <si>
    <t>06/02/2026 14:15</t>
  </si>
  <si>
    <t>06/02/2026 14:30</t>
  </si>
  <si>
    <t>06/02/2026 14:45</t>
  </si>
  <si>
    <t>06/02/2026 15:00</t>
  </si>
  <si>
    <t>435.36</t>
  </si>
  <si>
    <t>06/02/2026 15:15</t>
  </si>
  <si>
    <t>435.74</t>
  </si>
  <si>
    <t>06/02/2026 15:30</t>
  </si>
  <si>
    <t>06/02/2026 15:45</t>
  </si>
  <si>
    <t>06/02/2026 16:00</t>
  </si>
  <si>
    <t>438.51</t>
  </si>
  <si>
    <t>06/02/2026 16:15</t>
  </si>
  <si>
    <t>437.10</t>
  </si>
  <si>
    <t>06/02/2026 16:30</t>
  </si>
  <si>
    <t>06/02/2026 16:45</t>
  </si>
  <si>
    <t>441.00</t>
  </si>
  <si>
    <t>06/02/2026 17:00</t>
  </si>
  <si>
    <t>06/02/2026 17:15</t>
  </si>
  <si>
    <t>441.36</t>
  </si>
  <si>
    <t>06/02/2026 17:30</t>
  </si>
  <si>
    <t>441.65</t>
  </si>
  <si>
    <t>06/02/2026 17:45</t>
  </si>
  <si>
    <t>439.65</t>
  </si>
  <si>
    <t>06/02/2026 18:00</t>
  </si>
  <si>
    <t>441.03</t>
  </si>
  <si>
    <t>06/02/2026 18:15</t>
  </si>
  <si>
    <t>431.03</t>
  </si>
  <si>
    <t>06/02/2026 18:30</t>
  </si>
  <si>
    <t>444.36</t>
  </si>
  <si>
    <t>06/02/2026 18:45</t>
  </si>
  <si>
    <t>447.28</t>
  </si>
  <si>
    <t>06/02/2026 19:00</t>
  </si>
  <si>
    <t>449.66</t>
  </si>
  <si>
    <t>06/02/2026 19:15</t>
  </si>
  <si>
    <t>06/02/2026 19:30</t>
  </si>
  <si>
    <t>25.9</t>
  </si>
  <si>
    <t>481.46</t>
  </si>
  <si>
    <t>06/02/2026 19:45</t>
  </si>
  <si>
    <t>36.7</t>
  </si>
  <si>
    <t>487.74</t>
  </si>
  <si>
    <t>06/02/2026 20:00</t>
  </si>
  <si>
    <t>37.2</t>
  </si>
  <si>
    <t>490.78</t>
  </si>
  <si>
    <t>06/02/2026 20:15</t>
  </si>
  <si>
    <t>25.0</t>
  </si>
  <si>
    <t>28.2</t>
  </si>
  <si>
    <t>37.1</t>
  </si>
  <si>
    <t>491.37</t>
  </si>
  <si>
    <t>06/02/2026 20:30</t>
  </si>
  <si>
    <t>24.8</t>
  </si>
  <si>
    <t>36.5</t>
  </si>
  <si>
    <t>492.23</t>
  </si>
  <si>
    <t>06/02/2026 20:45</t>
  </si>
  <si>
    <t>26.4</t>
  </si>
  <si>
    <t>33.7</t>
  </si>
  <si>
    <t>495.90</t>
  </si>
  <si>
    <t>06/02/2026 21:00</t>
  </si>
  <si>
    <t>484.87</t>
  </si>
  <si>
    <t>06/02/2026 21:15</t>
  </si>
  <si>
    <t>26.0</t>
  </si>
  <si>
    <t>473.17</t>
  </si>
  <si>
    <t>06/02/2026 21:30</t>
  </si>
  <si>
    <t>474.05</t>
  </si>
  <si>
    <t>06/02/2026 21:45</t>
  </si>
  <si>
    <t>25.8</t>
  </si>
  <si>
    <t>488.35</t>
  </si>
  <si>
    <t>06/02/2026 22:00</t>
  </si>
  <si>
    <t>35.5</t>
  </si>
  <si>
    <t>483.39</t>
  </si>
  <si>
    <t>06/02/2026 22:15</t>
  </si>
  <si>
    <t>25.5</t>
  </si>
  <si>
    <t>477.77</t>
  </si>
  <si>
    <t>06/02/2026 22:30</t>
  </si>
  <si>
    <t>477.05</t>
  </si>
  <si>
    <t>06/02/2026 22:45</t>
  </si>
  <si>
    <t>468.22</t>
  </si>
  <si>
    <t>06/02/2026 23:00</t>
  </si>
  <si>
    <t>465.00</t>
  </si>
  <si>
    <t>06/02/2026 23:15</t>
  </si>
  <si>
    <t>469.02</t>
  </si>
  <si>
    <t>06/02/2026 23:30</t>
  </si>
  <si>
    <t>468.16</t>
  </si>
  <si>
    <t>06/02/2026 23:45</t>
  </si>
  <si>
    <t>469.35</t>
  </si>
  <si>
    <t>06/02/2026 24:00</t>
  </si>
  <si>
    <t>468.90</t>
  </si>
  <si>
    <t>07/02/2026 00:15</t>
  </si>
  <si>
    <t>470.20</t>
  </si>
  <si>
    <t>07/02/2026 00:30</t>
  </si>
  <si>
    <t>470.90</t>
  </si>
  <si>
    <t>07/02/2026 00:45</t>
  </si>
  <si>
    <t>18.2</t>
  </si>
  <si>
    <t>468.04</t>
  </si>
  <si>
    <t>07/02/2026 01:00</t>
  </si>
  <si>
    <t>459.29</t>
  </si>
  <si>
    <t>07/02/2026 01:15</t>
  </si>
  <si>
    <t>464.86</t>
  </si>
  <si>
    <t>07/02/2026 01:30</t>
  </si>
  <si>
    <t>461.84</t>
  </si>
  <si>
    <t>07/02/2026 01:45</t>
  </si>
  <si>
    <t>461.87</t>
  </si>
  <si>
    <t>07/02/2026 02:00</t>
  </si>
  <si>
    <t>468.31</t>
  </si>
  <si>
    <t>07/02/2026 02:15</t>
  </si>
  <si>
    <t>465.32</t>
  </si>
  <si>
    <t>07/02/2026 02:30</t>
  </si>
  <si>
    <t>462.91</t>
  </si>
  <si>
    <t>07/02/2026 02:45</t>
  </si>
  <si>
    <t>07/02/2026 03:00</t>
  </si>
  <si>
    <t>460.16</t>
  </si>
  <si>
    <t>07/02/2026 03:15</t>
  </si>
  <si>
    <t>458.55</t>
  </si>
  <si>
    <t>07/02/2026 03:30</t>
  </si>
  <si>
    <t>455.81</t>
  </si>
  <si>
    <t>07/02/2026 03:45</t>
  </si>
  <si>
    <t>454.69</t>
  </si>
  <si>
    <t>07/02/2026 04:00</t>
  </si>
  <si>
    <t>457.85</t>
  </si>
  <si>
    <t>07/02/2026 04:15</t>
  </si>
  <si>
    <t>07/02/2026 04:30</t>
  </si>
  <si>
    <t>452.00</t>
  </si>
  <si>
    <t>07/02/2026 04:45</t>
  </si>
  <si>
    <t>448.55</t>
  </si>
  <si>
    <t>07/02/2026 05:00</t>
  </si>
  <si>
    <t>07/02/2026 05:15</t>
  </si>
  <si>
    <t>446.51</t>
  </si>
  <si>
    <t>07/02/2026 05:30</t>
  </si>
  <si>
    <t>447.45</t>
  </si>
  <si>
    <t>07/02/2026 05:45</t>
  </si>
  <si>
    <t>446.96</t>
  </si>
  <si>
    <t>07/02/2026 06:00</t>
  </si>
  <si>
    <t>451.67</t>
  </si>
  <si>
    <t>07/02/2026 06:15</t>
  </si>
  <si>
    <t>453.17</t>
  </si>
  <si>
    <t>07/02/2026 06:30</t>
  </si>
  <si>
    <t>454.41</t>
  </si>
  <si>
    <t>07/02/2026 06:45</t>
  </si>
  <si>
    <t>453.47</t>
  </si>
  <si>
    <t>07/02/2026 07:00</t>
  </si>
  <si>
    <t>453.51</t>
  </si>
  <si>
    <t>07/02/2026 07:15</t>
  </si>
  <si>
    <t>455.99</t>
  </si>
  <si>
    <t>07/02/2026 07:30</t>
  </si>
  <si>
    <t>07/02/2026 07:45</t>
  </si>
  <si>
    <t>464.98</t>
  </si>
  <si>
    <t>07/02/2026 08:00</t>
  </si>
  <si>
    <t>467.30</t>
  </si>
  <si>
    <t>07/02/2026 08:15</t>
  </si>
  <si>
    <t>463.64</t>
  </si>
  <si>
    <t>07/02/2026 08:30</t>
  </si>
  <si>
    <t>464.13</t>
  </si>
  <si>
    <t>07/02/2026 08:45</t>
  </si>
  <si>
    <t>07/02/2026 09:00</t>
  </si>
  <si>
    <t>458.49</t>
  </si>
  <si>
    <t>07/02/2026 09:15</t>
  </si>
  <si>
    <t>17.8</t>
  </si>
  <si>
    <t>464.94</t>
  </si>
  <si>
    <t>07/02/2026 09:30</t>
  </si>
  <si>
    <t>460.61</t>
  </si>
  <si>
    <t>07/02/2026 09:45</t>
  </si>
  <si>
    <t>456.13</t>
  </si>
  <si>
    <t>07/02/2026 10:00</t>
  </si>
  <si>
    <t>453.00</t>
  </si>
  <si>
    <t>07/02/2026 10:15</t>
  </si>
  <si>
    <t>447.46</t>
  </si>
  <si>
    <t>07/02/2026 10:30</t>
  </si>
  <si>
    <t>444.84</t>
  </si>
  <si>
    <t>07/02/2026 10:45</t>
  </si>
  <si>
    <t>443.38</t>
  </si>
  <si>
    <t>07/02/2026 11:00</t>
  </si>
  <si>
    <t>07/02/2026 11:15</t>
  </si>
  <si>
    <t>447.63</t>
  </si>
  <si>
    <t>07/02/2026 11:30</t>
  </si>
  <si>
    <t>446.32</t>
  </si>
  <si>
    <t>07/02/2026 11:45</t>
  </si>
  <si>
    <t>446.94</t>
  </si>
  <si>
    <t>07/02/2026 12:00</t>
  </si>
  <si>
    <t>448.48</t>
  </si>
  <si>
    <t>07/02/2026 12:15</t>
  </si>
  <si>
    <t>450.21</t>
  </si>
  <si>
    <t>07/02/2026 12:30</t>
  </si>
  <si>
    <t>450.20</t>
  </si>
  <si>
    <t>07/02/2026 12:45</t>
  </si>
  <si>
    <t>07/02/2026 13:00</t>
  </si>
  <si>
    <t>448.64</t>
  </si>
  <si>
    <t>07/02/2026 13:15</t>
  </si>
  <si>
    <t>07/02/2026 13:30</t>
  </si>
  <si>
    <t>447.86</t>
  </si>
  <si>
    <t>07/02/2026 13:45</t>
  </si>
  <si>
    <t>07/02/2026 14:00</t>
  </si>
  <si>
    <t>442.96</t>
  </si>
  <si>
    <t>07/02/2026 14:15</t>
  </si>
  <si>
    <t>07/02/2026 14:30</t>
  </si>
  <si>
    <t>444.00</t>
  </si>
  <si>
    <t>07/02/2026 14:45</t>
  </si>
  <si>
    <t>07/02/2026 15:00</t>
  </si>
  <si>
    <t>07/02/2026 15:15</t>
  </si>
  <si>
    <t>07/02/2026 15:30</t>
  </si>
  <si>
    <t>443.94</t>
  </si>
  <si>
    <t>07/02/2026 15:45</t>
  </si>
  <si>
    <t>07/02/2026 16:00</t>
  </si>
  <si>
    <t>07/02/2026 16:15</t>
  </si>
  <si>
    <t>446.09</t>
  </si>
  <si>
    <t>07/02/2026 16:30</t>
  </si>
  <si>
    <t>07/02/2026 16:45</t>
  </si>
  <si>
    <t>07/02/2026 17:00</t>
  </si>
  <si>
    <t>07/02/2026 17:15</t>
  </si>
  <si>
    <t>449.78</t>
  </si>
  <si>
    <t>07/02/2026 17:30</t>
  </si>
  <si>
    <t>446.95</t>
  </si>
  <si>
    <t>07/02/2026 17:45</t>
  </si>
  <si>
    <t>450.78</t>
  </si>
  <si>
    <t>07/02/2026 18:00</t>
  </si>
  <si>
    <t>454.87</t>
  </si>
  <si>
    <t>07/02/2026 18:15</t>
  </si>
  <si>
    <t>457.33</t>
  </si>
  <si>
    <t>07/02/2026 18:30</t>
  </si>
  <si>
    <t>462.29</t>
  </si>
  <si>
    <t>07/02/2026 18:45</t>
  </si>
  <si>
    <t>07/02/2026 19:00</t>
  </si>
  <si>
    <t>470.64</t>
  </si>
  <si>
    <t>07/02/2026 19:15</t>
  </si>
  <si>
    <t>483.94</t>
  </si>
  <si>
    <t>07/02/2026 19:30</t>
  </si>
  <si>
    <t>495.70</t>
  </si>
  <si>
    <t>07/02/2026 19:45</t>
  </si>
  <si>
    <t>503.34</t>
  </si>
  <si>
    <t>07/02/2026 20:00</t>
  </si>
  <si>
    <t>33.6</t>
  </si>
  <si>
    <t>509.66</t>
  </si>
  <si>
    <t>07/02/2026 20:15</t>
  </si>
  <si>
    <t>37.7</t>
  </si>
  <si>
    <t>42.2</t>
  </si>
  <si>
    <t>07/02/2026 20:30</t>
  </si>
  <si>
    <t>35.9</t>
  </si>
  <si>
    <t>37.9</t>
  </si>
  <si>
    <t>41.6</t>
  </si>
  <si>
    <t>496.03</t>
  </si>
  <si>
    <t>07/02/2026 20:45</t>
  </si>
  <si>
    <t>39.7</t>
  </si>
  <si>
    <t>486.97</t>
  </si>
  <si>
    <t>07/02/2026 21:00</t>
  </si>
  <si>
    <t>29.7</t>
  </si>
  <si>
    <t>33.3</t>
  </si>
  <si>
    <t>475.35</t>
  </si>
  <si>
    <t>07/02/2026 21:15</t>
  </si>
  <si>
    <t>474.65</t>
  </si>
  <si>
    <t>07/02/2026 21:30</t>
  </si>
  <si>
    <t>26.5</t>
  </si>
  <si>
    <t>474.25</t>
  </si>
  <si>
    <t>07/02/2026 21:45</t>
  </si>
  <si>
    <t>471.48</t>
  </si>
  <si>
    <t>07/02/2026 22:00</t>
  </si>
  <si>
    <t>467.75</t>
  </si>
  <si>
    <t>07/02/2026 22:15</t>
  </si>
  <si>
    <t>471.24</t>
  </si>
  <si>
    <t>07/02/2026 22:30</t>
  </si>
  <si>
    <t>472.16</t>
  </si>
  <si>
    <t>07/02/2026 22:45</t>
  </si>
  <si>
    <t>469.50</t>
  </si>
  <si>
    <t>07/02/2026 23:00</t>
  </si>
  <si>
    <t>469.48</t>
  </si>
  <si>
    <t>07/02/2026 23:15</t>
  </si>
  <si>
    <t>20.4</t>
  </si>
  <si>
    <t>466.58</t>
  </si>
  <si>
    <t>07/02/2026 23:30</t>
  </si>
  <si>
    <t>464.93</t>
  </si>
  <si>
    <t>07/02/2026 23:45</t>
  </si>
  <si>
    <t>465.06</t>
  </si>
  <si>
    <t>07/02/2026 24:00</t>
  </si>
  <si>
    <t>464.76</t>
  </si>
  <si>
    <t>08/02/2026 00:15</t>
  </si>
  <si>
    <t>463.05</t>
  </si>
  <si>
    <t>08/02/2026 00:30</t>
  </si>
  <si>
    <t>452.91</t>
  </si>
  <si>
    <t>08/02/2026 00:45</t>
  </si>
  <si>
    <t>448.81</t>
  </si>
  <si>
    <t>08/02/2026 01:00</t>
  </si>
  <si>
    <t>08/02/2026 01:15</t>
  </si>
  <si>
    <t>08/02/2026 01:30</t>
  </si>
  <si>
    <t>447.16</t>
  </si>
  <si>
    <t>08/02/2026 01:45</t>
  </si>
  <si>
    <t>448.45</t>
  </si>
  <si>
    <t>08/02/2026 02:00</t>
  </si>
  <si>
    <t>445.86</t>
  </si>
  <si>
    <t>08/02/2026 02:15</t>
  </si>
  <si>
    <t>08/02/2026 02:30</t>
  </si>
  <si>
    <t>441.81</t>
  </si>
  <si>
    <t>08/02/2026 02:45</t>
  </si>
  <si>
    <t>08/02/2026 03:00</t>
  </si>
  <si>
    <t>445.06</t>
  </si>
  <si>
    <t>08/02/2026 03:15</t>
  </si>
  <si>
    <t>445.15</t>
  </si>
  <si>
    <t>08/02/2026 03:30</t>
  </si>
  <si>
    <t>08/02/2026 03:45</t>
  </si>
  <si>
    <t>08/02/2026 04:00</t>
  </si>
  <si>
    <t>440.92</t>
  </si>
  <si>
    <t>08/02/2026 04:15</t>
  </si>
  <si>
    <t>441.63</t>
  </si>
  <si>
    <t>08/02/2026 04:30</t>
  </si>
  <si>
    <t>441.99</t>
  </si>
  <si>
    <t>08/02/2026 04:45</t>
  </si>
  <si>
    <t>440.93</t>
  </si>
  <si>
    <t>08/02/2026 05:00</t>
  </si>
  <si>
    <t>440.87</t>
  </si>
  <si>
    <t>08/02/2026 05:15</t>
  </si>
  <si>
    <t>08/02/2026 05:30</t>
  </si>
  <si>
    <t>08/02/2026 05:45</t>
  </si>
  <si>
    <t>08/02/2026 06:00</t>
  </si>
  <si>
    <t>445.63</t>
  </si>
  <si>
    <t>08/02/2026 06:15</t>
  </si>
  <si>
    <t>08/02/2026 06:30</t>
  </si>
  <si>
    <t>08/02/2026 06:45</t>
  </si>
  <si>
    <t>440.78</t>
  </si>
  <si>
    <t>08/02/2026 07:00</t>
  </si>
  <si>
    <t>439.31</t>
  </si>
  <si>
    <t>08/02/2026 07:15</t>
  </si>
  <si>
    <t>08/02/2026 07:30</t>
  </si>
  <si>
    <t>437.83</t>
  </si>
  <si>
    <t>08/02/2026 07:45</t>
  </si>
  <si>
    <t>438.12</t>
  </si>
  <si>
    <t>08/02/2026 08:00</t>
  </si>
  <si>
    <t>438.55</t>
  </si>
  <si>
    <t>08/02/2026 08:15</t>
  </si>
  <si>
    <t>08/02/2026 08:30</t>
  </si>
  <si>
    <t>438.40</t>
  </si>
  <si>
    <t>08/02/2026 08:45</t>
  </si>
  <si>
    <t>438.79</t>
  </si>
  <si>
    <t>08/02/2026 09:00</t>
  </si>
  <si>
    <t>438.21</t>
  </si>
  <si>
    <t>08/02/2026 09:15</t>
  </si>
  <si>
    <t>438.43</t>
  </si>
  <si>
    <t>08/02/2026 09:30</t>
  </si>
  <si>
    <t>08/02/2026 09:45</t>
  </si>
  <si>
    <t>443.37</t>
  </si>
  <si>
    <t>08/02/2026 10:00</t>
  </si>
  <si>
    <t>08/02/2026 10:15</t>
  </si>
  <si>
    <t>439.42</t>
  </si>
  <si>
    <t>08/02/2026 10:30</t>
  </si>
  <si>
    <t>438.42</t>
  </si>
  <si>
    <t>08/02/2026 10:45</t>
  </si>
  <si>
    <t>434.16</t>
  </si>
  <si>
    <t>08/02/2026 11:00</t>
  </si>
  <si>
    <t>435.02</t>
  </si>
  <si>
    <t>08/02/2026 11:15</t>
  </si>
  <si>
    <t>08/02/2026 11:30</t>
  </si>
  <si>
    <t>08/02/2026 11:45</t>
  </si>
  <si>
    <t>08/02/2026 12:00</t>
  </si>
  <si>
    <t>435.90</t>
  </si>
  <si>
    <t>08/02/2026 12:15</t>
  </si>
  <si>
    <t>08/02/2026 12:30</t>
  </si>
  <si>
    <t>436.49</t>
  </si>
  <si>
    <t>08/02/2026 12:45</t>
  </si>
  <si>
    <t>08/02/2026 13:00</t>
  </si>
  <si>
    <t>08/02/2026 13:15</t>
  </si>
  <si>
    <t>08/02/2026 13:30</t>
  </si>
  <si>
    <t>08/02/2026 13:45</t>
  </si>
  <si>
    <t>08/02/2026 14:00</t>
  </si>
  <si>
    <t>08/02/2026 14:15</t>
  </si>
  <si>
    <t>442.83</t>
  </si>
  <si>
    <t>08/02/2026 14:30</t>
  </si>
  <si>
    <t>08/02/2026 14:45</t>
  </si>
  <si>
    <t>439.67</t>
  </si>
  <si>
    <t>08/02/2026 15:00</t>
  </si>
  <si>
    <t>438.22</t>
  </si>
  <si>
    <t>08/02/2026 15:15</t>
  </si>
  <si>
    <t>08/02/2026 15:30</t>
  </si>
  <si>
    <t>08/02/2026 15:45</t>
  </si>
  <si>
    <t>451.55</t>
  </si>
  <si>
    <t>08/02/2026 16:00</t>
  </si>
  <si>
    <t>08/02/2026 16:15</t>
  </si>
  <si>
    <t>443.00</t>
  </si>
  <si>
    <t>08/02/2026 16:30</t>
  </si>
  <si>
    <t>08/02/2026 16:45</t>
  </si>
  <si>
    <t>451.28</t>
  </si>
  <si>
    <t>08/02/2026 17:00</t>
  </si>
  <si>
    <t>454.45</t>
  </si>
  <si>
    <t>08/02/2026 17:15</t>
  </si>
  <si>
    <t>451.49</t>
  </si>
  <si>
    <t>08/02/2026 17:30</t>
  </si>
  <si>
    <t>453.62</t>
  </si>
  <si>
    <t>08/02/2026 17:45</t>
  </si>
  <si>
    <t>458.69</t>
  </si>
  <si>
    <t>08/02/2026 18:00</t>
  </si>
  <si>
    <t>455.78</t>
  </si>
  <si>
    <t>08/02/2026 18:15</t>
  </si>
  <si>
    <t>452.82</t>
  </si>
  <si>
    <t>08/02/2026 18:30</t>
  </si>
  <si>
    <t>450.86</t>
  </si>
  <si>
    <t>08/02/2026 18:45</t>
  </si>
  <si>
    <t>08/02/2026 19:00</t>
  </si>
  <si>
    <t>08/02/2026 19:15</t>
  </si>
  <si>
    <t>447.68</t>
  </si>
  <si>
    <t>08/02/2026 19:30</t>
  </si>
  <si>
    <t>431.05</t>
  </si>
  <si>
    <t>08/02/2026 19:45</t>
  </si>
  <si>
    <t>08/02/2026 20:00</t>
  </si>
  <si>
    <t>449.69</t>
  </si>
  <si>
    <t>08/02/2026 20:15</t>
  </si>
  <si>
    <t>451.46</t>
  </si>
  <si>
    <t>08/02/2026 20:30</t>
  </si>
  <si>
    <t>448.53</t>
  </si>
  <si>
    <t>08/02/2026 20:45</t>
  </si>
  <si>
    <t>447.05</t>
  </si>
  <si>
    <t>08/02/2026 21:00</t>
  </si>
  <si>
    <t>447.90</t>
  </si>
  <si>
    <t>08/02/2026 21:15</t>
  </si>
  <si>
    <t>445.92</t>
  </si>
  <si>
    <t>08/02/2026 21:30</t>
  </si>
  <si>
    <t>445.04</t>
  </si>
  <si>
    <t>08/02/2026 21:45</t>
  </si>
  <si>
    <t>444.08</t>
  </si>
  <si>
    <t>08/02/2026 22:00</t>
  </si>
  <si>
    <t>445.48</t>
  </si>
  <si>
    <t>08/02/2026 22:15</t>
  </si>
  <si>
    <t>08/02/2026 22:30</t>
  </si>
  <si>
    <t>08/02/2026 22:45</t>
  </si>
  <si>
    <t>442.72</t>
  </si>
  <si>
    <t>08/02/2026 23:00</t>
  </si>
  <si>
    <t>443.55</t>
  </si>
  <si>
    <t>08/02/2026 23:15</t>
  </si>
  <si>
    <t>08/02/2026 23:30</t>
  </si>
  <si>
    <t>08/02/2026 23:45</t>
  </si>
  <si>
    <t>439.70</t>
  </si>
  <si>
    <t>08/02/2026 24:00</t>
  </si>
  <si>
    <t>440.47</t>
  </si>
  <si>
    <t>09/02/2026 00:15</t>
  </si>
  <si>
    <t>438.78</t>
  </si>
  <si>
    <t>09/02/2026 00:30</t>
  </si>
  <si>
    <t>09/02/2026 00:45</t>
  </si>
  <si>
    <t>442.09</t>
  </si>
  <si>
    <t>09/02/2026 01:00</t>
  </si>
  <si>
    <t>09/02/2026 01:15</t>
  </si>
  <si>
    <t>443.21</t>
  </si>
  <si>
    <t>09/02/2026 01:30</t>
  </si>
  <si>
    <t>09/02/2026 01:45</t>
  </si>
  <si>
    <t>09/02/2026 02:00</t>
  </si>
  <si>
    <t>444.44</t>
  </si>
  <si>
    <t>09/02/2026 02:15</t>
  </si>
  <si>
    <t>09/02/2026 02:30</t>
  </si>
  <si>
    <t>455.26</t>
  </si>
  <si>
    <t>09/02/2026 02:45</t>
  </si>
  <si>
    <t>456.00</t>
  </si>
  <si>
    <t>09/02/2026 03:00</t>
  </si>
  <si>
    <t>452.56</t>
  </si>
  <si>
    <t>09/02/2026 03:15</t>
  </si>
  <si>
    <t>458.79</t>
  </si>
  <si>
    <t>09/02/2026 03:30</t>
  </si>
  <si>
    <t>468.46</t>
  </si>
  <si>
    <t>09/02/2026 03:45</t>
  </si>
  <si>
    <t>467.05</t>
  </si>
  <si>
    <t>09/02/2026 04:00</t>
  </si>
  <si>
    <t>09/02/2026 04:15</t>
  </si>
  <si>
    <t>469.46</t>
  </si>
  <si>
    <t>09/02/2026 04:30</t>
  </si>
  <si>
    <t>483.10</t>
  </si>
  <si>
    <t>09/02/2026 04:45</t>
  </si>
  <si>
    <t>482.58</t>
  </si>
  <si>
    <t>09/02/2026 05:00</t>
  </si>
  <si>
    <t>481.66</t>
  </si>
  <si>
    <t>09/02/2026 05:15</t>
  </si>
  <si>
    <t>475.04</t>
  </si>
  <si>
    <t>09/02/2026 05:30</t>
  </si>
  <si>
    <t>481.69</t>
  </si>
  <si>
    <t>09/02/2026 05:45</t>
  </si>
  <si>
    <t>488.95</t>
  </si>
  <si>
    <t>09/02/2026 06:00</t>
  </si>
  <si>
    <t>488.07</t>
  </si>
  <si>
    <t>09/02/2026 06:15</t>
  </si>
  <si>
    <t>488.12</t>
  </si>
  <si>
    <t>09/02/2026 06:30</t>
  </si>
  <si>
    <t>481.74</t>
  </si>
  <si>
    <t>09/02/2026 06:45</t>
  </si>
  <si>
    <t>484.40</t>
  </si>
  <si>
    <t>09/02/2026 07:00</t>
  </si>
  <si>
    <t>488.52</t>
  </si>
  <si>
    <t>09/02/2026 07:15</t>
  </si>
  <si>
    <t>09/02/2026 07:30</t>
  </si>
  <si>
    <t>490.31</t>
  </si>
  <si>
    <t>09/02/2026 07:45</t>
  </si>
  <si>
    <t>469.23</t>
  </si>
  <si>
    <t>09/02/2026 08:00</t>
  </si>
  <si>
    <t>477.60</t>
  </si>
  <si>
    <t>09/02/2026 08:15</t>
  </si>
  <si>
    <t>473.30</t>
  </si>
  <si>
    <t>09/02/2026 08:30</t>
  </si>
  <si>
    <t>471.51</t>
  </si>
  <si>
    <t>09/02/2026 08:45</t>
  </si>
  <si>
    <t>474.45</t>
  </si>
  <si>
    <t>09/02/2026 09:00</t>
  </si>
  <si>
    <t>464.72</t>
  </si>
  <si>
    <t>09/02/2026 09:15</t>
  </si>
  <si>
    <t>09/02/2026 09:30</t>
  </si>
  <si>
    <t>09/02/2026 09:45</t>
  </si>
  <si>
    <t>450.31</t>
  </si>
  <si>
    <t>09/02/2026 10:00</t>
  </si>
  <si>
    <t>09/02/2026 10:15</t>
  </si>
  <si>
    <t>447.50</t>
  </si>
  <si>
    <t>09/02/2026 10:30</t>
  </si>
  <si>
    <t>454.12</t>
  </si>
  <si>
    <t>09/02/2026 10:45</t>
  </si>
  <si>
    <t>453.99</t>
  </si>
  <si>
    <t>09/02/2026 11:00</t>
  </si>
  <si>
    <t>459.07</t>
  </si>
  <si>
    <t>09/02/2026 11:15</t>
  </si>
  <si>
    <t>467.12</t>
  </si>
  <si>
    <t>09/02/2026 11:30</t>
  </si>
  <si>
    <t>452.27</t>
  </si>
  <si>
    <t>09/02/2026 11:45</t>
  </si>
  <si>
    <t>448.39</t>
  </si>
  <si>
    <t>09/02/2026 12:00</t>
  </si>
  <si>
    <t>449.46</t>
  </si>
  <si>
    <t>09/02/2026 12:15</t>
  </si>
  <si>
    <t>446.89</t>
  </si>
  <si>
    <t>09/02/2026 12:30</t>
  </si>
  <si>
    <t>09/02/2026 12:45</t>
  </si>
  <si>
    <t>439.93</t>
  </si>
  <si>
    <t>09/02/2026 13:00</t>
  </si>
  <si>
    <t>439.98</t>
  </si>
  <si>
    <t>09/02/2026 13:15</t>
  </si>
  <si>
    <t>09/02/2026 13:30</t>
  </si>
  <si>
    <t>444.78</t>
  </si>
  <si>
    <t>09/02/2026 13:45</t>
  </si>
  <si>
    <t>442.77</t>
  </si>
  <si>
    <t>09/02/2026 14:00</t>
  </si>
  <si>
    <t>09/02/2026 14:15</t>
  </si>
  <si>
    <t>441.45</t>
  </si>
  <si>
    <t>09/02/2026 14:30</t>
  </si>
  <si>
    <t>440.60</t>
  </si>
  <si>
    <t>09/02/2026 14:45</t>
  </si>
  <si>
    <t>09/02/2026 15:00</t>
  </si>
  <si>
    <t>438.18</t>
  </si>
  <si>
    <t>09/02/2026 15:15</t>
  </si>
  <si>
    <t>440.37</t>
  </si>
  <si>
    <t>09/02/2026 15:30</t>
  </si>
  <si>
    <t>438.71</t>
  </si>
  <si>
    <t>09/02/2026 15:45</t>
  </si>
  <si>
    <t>439.77</t>
  </si>
  <si>
    <t>09/02/2026 16:00</t>
  </si>
  <si>
    <t>09/02/2026 16:15</t>
  </si>
  <si>
    <t>09/02/2026 16:30</t>
  </si>
  <si>
    <t>N</t>
  </si>
  <si>
    <t>09/02/2026 16:45</t>
  </si>
  <si>
    <t>09/02/2026 17:00</t>
  </si>
  <si>
    <t>09/02/2026 17:15</t>
  </si>
  <si>
    <t>09/02/2026 17:30</t>
  </si>
  <si>
    <t>09/02/2026 17:45</t>
  </si>
  <si>
    <t>09/02/2026 18:00</t>
  </si>
  <si>
    <t>09/02/2026 18:15</t>
  </si>
  <si>
    <t>09/02/2026 18:30</t>
  </si>
  <si>
    <t>09/02/2026 18:45</t>
  </si>
  <si>
    <t>09/02/2026 19:00</t>
  </si>
  <si>
    <t>09/02/2026 19:15</t>
  </si>
  <si>
    <t>09/02/2026 19:30</t>
  </si>
  <si>
    <t>09/02/2026 19:45</t>
  </si>
  <si>
    <t>09/02/2026 20:00</t>
  </si>
  <si>
    <t>09/02/2026 20:15</t>
  </si>
  <si>
    <t>09/02/2026 20:30</t>
  </si>
  <si>
    <t>09/02/2026 20:45</t>
  </si>
  <si>
    <t>09/02/2026 21:00</t>
  </si>
  <si>
    <t>09/02/2026 21:15</t>
  </si>
  <si>
    <t>09/02/2026 21:30</t>
  </si>
  <si>
    <t>09/02/2026 21:45</t>
  </si>
  <si>
    <t>09/02/2026 22:00</t>
  </si>
  <si>
    <t>09/02/2026 22:15</t>
  </si>
  <si>
    <t>09/02/2026 22:30</t>
  </si>
  <si>
    <t>09/02/2026 22:45</t>
  </si>
  <si>
    <t>09/02/2026 23:00</t>
  </si>
  <si>
    <t>09/02/2026 23:15</t>
  </si>
  <si>
    <t>09/02/2026 23:30</t>
  </si>
  <si>
    <t>09/02/2026 23:45</t>
  </si>
  <si>
    <t>09/02/2026 24:00</t>
  </si>
  <si>
    <t xml:space="preserve">CINQAV - PM10 </t>
  </si>
  <si>
    <t>Corrigé</t>
  </si>
  <si>
    <t>Justesse</t>
  </si>
  <si>
    <t>Linéarité</t>
  </si>
  <si>
    <t>MAPE</t>
  </si>
  <si>
    <t>RSS</t>
  </si>
  <si>
    <t>U(ci)</t>
  </si>
  <si>
    <t>U(ci)%</t>
  </si>
  <si>
    <t>Saisie min</t>
  </si>
  <si>
    <t>Formule pente</t>
  </si>
  <si>
    <t>Formule droitereg</t>
  </si>
  <si>
    <t>Polluant</t>
  </si>
  <si>
    <t>a</t>
  </si>
  <si>
    <t>b</t>
  </si>
  <si>
    <t>PM2.5</t>
  </si>
  <si>
    <t>PM10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</si>
</sst>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088D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2" fontId="0" fillId="0" borderId="0" xfId="0" applyNumberFormat="1"/>
    <xf numFmtId="2" fontId="16" fillId="0" borderId="0" xfId="0" applyNumberFormat="1" applyFont="1"/>
    <xf numFmtId="0" fontId="16" fillId="33" borderId="10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2" fontId="0" fillId="0" borderId="13" xfId="0" applyNumberFormat="1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2" fontId="0" fillId="0" borderId="16" xfId="0" applyNumberFormat="1" applyBorder="1" applyAlignment="1">
      <alignment horizontal="right" vertical="center"/>
    </xf>
    <xf numFmtId="0" fontId="16" fillId="0" borderId="1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64" fontId="0" fillId="0" borderId="0" xfId="0" applyNumberFormat="1"/>
    <xf numFmtId="0" fontId="16" fillId="33" borderId="19" xfId="0" applyFont="1" applyFill="1" applyBorder="1" applyAlignment="1">
      <alignment horizontal="center" vertical="center"/>
    </xf>
    <xf numFmtId="0" fontId="16" fillId="33" borderId="20" xfId="0" applyFont="1" applyFill="1" applyBorder="1" applyAlignment="1">
      <alignment horizontal="center" vertical="center"/>
    </xf>
    <xf numFmtId="0" fontId="16" fillId="33" borderId="21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08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PM2.5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Comparaison!$A$1:$A$1347</c:f>
              <c:strCache>
                <c:ptCount val="1347"/>
                <c:pt idx="0">
                  <c:v>Dates </c:v>
                </c:pt>
                <c:pt idx="1">
                  <c:v>26/01/2026 16:00</c:v>
                </c:pt>
                <c:pt idx="2">
                  <c:v>26/01/2026 16:15</c:v>
                </c:pt>
                <c:pt idx="3">
                  <c:v>26/01/2026 16:30</c:v>
                </c:pt>
                <c:pt idx="4">
                  <c:v>26/01/2026 16:45</c:v>
                </c:pt>
                <c:pt idx="5">
                  <c:v>26/01/2026 17:00</c:v>
                </c:pt>
                <c:pt idx="6">
                  <c:v>26/01/2026 17:15</c:v>
                </c:pt>
                <c:pt idx="7">
                  <c:v>26/01/2026 17:30</c:v>
                </c:pt>
                <c:pt idx="8">
                  <c:v>26/01/2026 17:45</c:v>
                </c:pt>
                <c:pt idx="9">
                  <c:v>26/01/2026 18:00</c:v>
                </c:pt>
                <c:pt idx="10">
                  <c:v>26/01/2026 18:15</c:v>
                </c:pt>
                <c:pt idx="11">
                  <c:v>26/01/2026 18:30</c:v>
                </c:pt>
                <c:pt idx="12">
                  <c:v>26/01/2026 18:45</c:v>
                </c:pt>
                <c:pt idx="13">
                  <c:v>26/01/2026 19:00</c:v>
                </c:pt>
                <c:pt idx="14">
                  <c:v>26/01/2026 19:15</c:v>
                </c:pt>
                <c:pt idx="15">
                  <c:v>26/01/2026 19:30</c:v>
                </c:pt>
                <c:pt idx="16">
                  <c:v>26/01/2026 19:45</c:v>
                </c:pt>
                <c:pt idx="17">
                  <c:v>26/01/2026 20:00</c:v>
                </c:pt>
                <c:pt idx="18">
                  <c:v>26/01/2026 20:15</c:v>
                </c:pt>
                <c:pt idx="19">
                  <c:v>26/01/2026 20:30</c:v>
                </c:pt>
                <c:pt idx="20">
                  <c:v>26/01/2026 20:45</c:v>
                </c:pt>
                <c:pt idx="21">
                  <c:v>26/01/2026 21:00</c:v>
                </c:pt>
                <c:pt idx="22">
                  <c:v>26/01/2026 21:15</c:v>
                </c:pt>
                <c:pt idx="23">
                  <c:v>26/01/2026 21:30</c:v>
                </c:pt>
                <c:pt idx="24">
                  <c:v>26/01/2026 21:45</c:v>
                </c:pt>
                <c:pt idx="25">
                  <c:v>26/01/2026 22:00</c:v>
                </c:pt>
                <c:pt idx="26">
                  <c:v>26/01/2026 22:15</c:v>
                </c:pt>
                <c:pt idx="27">
                  <c:v>26/01/2026 22:30</c:v>
                </c:pt>
                <c:pt idx="28">
                  <c:v>26/01/2026 22:45</c:v>
                </c:pt>
                <c:pt idx="29">
                  <c:v>26/01/2026 23:00</c:v>
                </c:pt>
                <c:pt idx="30">
                  <c:v>26/01/2026 23:15</c:v>
                </c:pt>
                <c:pt idx="31">
                  <c:v>26/01/2026 23:30</c:v>
                </c:pt>
                <c:pt idx="32">
                  <c:v>26/01/2026 23:45</c:v>
                </c:pt>
                <c:pt idx="33">
                  <c:v>26/01/2026 24:00</c:v>
                </c:pt>
                <c:pt idx="34">
                  <c:v>27/01/2026 00:15</c:v>
                </c:pt>
                <c:pt idx="35">
                  <c:v>27/01/2026 00:30</c:v>
                </c:pt>
                <c:pt idx="36">
                  <c:v>27/01/2026 00:45</c:v>
                </c:pt>
                <c:pt idx="37">
                  <c:v>27/01/2026 01:00</c:v>
                </c:pt>
                <c:pt idx="38">
                  <c:v>27/01/2026 01:15</c:v>
                </c:pt>
                <c:pt idx="39">
                  <c:v>27/01/2026 01:30</c:v>
                </c:pt>
                <c:pt idx="40">
                  <c:v>27/01/2026 01:45</c:v>
                </c:pt>
                <c:pt idx="41">
                  <c:v>27/01/2026 02:00</c:v>
                </c:pt>
                <c:pt idx="42">
                  <c:v>27/01/2026 02:15</c:v>
                </c:pt>
                <c:pt idx="43">
                  <c:v>27/01/2026 02:30</c:v>
                </c:pt>
                <c:pt idx="44">
                  <c:v>27/01/2026 02:45</c:v>
                </c:pt>
                <c:pt idx="45">
                  <c:v>27/01/2026 03:00</c:v>
                </c:pt>
                <c:pt idx="46">
                  <c:v>27/01/2026 03:15</c:v>
                </c:pt>
                <c:pt idx="47">
                  <c:v>27/01/2026 03:30</c:v>
                </c:pt>
                <c:pt idx="48">
                  <c:v>27/01/2026 03:45</c:v>
                </c:pt>
                <c:pt idx="49">
                  <c:v>27/01/2026 04:00</c:v>
                </c:pt>
                <c:pt idx="50">
                  <c:v>27/01/2026 04:15</c:v>
                </c:pt>
                <c:pt idx="51">
                  <c:v>27/01/2026 04:30</c:v>
                </c:pt>
                <c:pt idx="52">
                  <c:v>27/01/2026 04:45</c:v>
                </c:pt>
                <c:pt idx="53">
                  <c:v>27/01/2026 05:00</c:v>
                </c:pt>
                <c:pt idx="54">
                  <c:v>27/01/2026 05:15</c:v>
                </c:pt>
                <c:pt idx="55">
                  <c:v>27/01/2026 05:30</c:v>
                </c:pt>
                <c:pt idx="56">
                  <c:v>27/01/2026 05:45</c:v>
                </c:pt>
                <c:pt idx="57">
                  <c:v>27/01/2026 06:00</c:v>
                </c:pt>
                <c:pt idx="58">
                  <c:v>27/01/2026 06:15</c:v>
                </c:pt>
                <c:pt idx="59">
                  <c:v>27/01/2026 06:30</c:v>
                </c:pt>
                <c:pt idx="60">
                  <c:v>27/01/2026 06:45</c:v>
                </c:pt>
                <c:pt idx="61">
                  <c:v>27/01/2026 07:00</c:v>
                </c:pt>
                <c:pt idx="62">
                  <c:v>27/01/2026 07:15</c:v>
                </c:pt>
                <c:pt idx="63">
                  <c:v>27/01/2026 07:30</c:v>
                </c:pt>
                <c:pt idx="64">
                  <c:v>27/01/2026 07:45</c:v>
                </c:pt>
                <c:pt idx="65">
                  <c:v>27/01/2026 08:00</c:v>
                </c:pt>
                <c:pt idx="66">
                  <c:v>27/01/2026 08:15</c:v>
                </c:pt>
                <c:pt idx="67">
                  <c:v>27/01/2026 08:30</c:v>
                </c:pt>
                <c:pt idx="68">
                  <c:v>27/01/2026 08:45</c:v>
                </c:pt>
                <c:pt idx="69">
                  <c:v>27/01/2026 09:00</c:v>
                </c:pt>
                <c:pt idx="70">
                  <c:v>27/01/2026 09:15</c:v>
                </c:pt>
                <c:pt idx="71">
                  <c:v>27/01/2026 09:30</c:v>
                </c:pt>
                <c:pt idx="72">
                  <c:v>27/01/2026 09:45</c:v>
                </c:pt>
                <c:pt idx="73">
                  <c:v>27/01/2026 10:00</c:v>
                </c:pt>
                <c:pt idx="74">
                  <c:v>27/01/2026 10:15</c:v>
                </c:pt>
                <c:pt idx="75">
                  <c:v>27/01/2026 10:30</c:v>
                </c:pt>
                <c:pt idx="76">
                  <c:v>27/01/2026 10:45</c:v>
                </c:pt>
                <c:pt idx="77">
                  <c:v>27/01/2026 11:00</c:v>
                </c:pt>
                <c:pt idx="78">
                  <c:v>27/01/2026 11:15</c:v>
                </c:pt>
                <c:pt idx="79">
                  <c:v>27/01/2026 11:30</c:v>
                </c:pt>
                <c:pt idx="80">
                  <c:v>27/01/2026 11:45</c:v>
                </c:pt>
                <c:pt idx="81">
                  <c:v>27/01/2026 12:00</c:v>
                </c:pt>
                <c:pt idx="82">
                  <c:v>27/01/2026 12:15</c:v>
                </c:pt>
                <c:pt idx="83">
                  <c:v>27/01/2026 12:30</c:v>
                </c:pt>
                <c:pt idx="84">
                  <c:v>27/01/2026 12:45</c:v>
                </c:pt>
                <c:pt idx="85">
                  <c:v>27/01/2026 13:00</c:v>
                </c:pt>
                <c:pt idx="86">
                  <c:v>27/01/2026 13:15</c:v>
                </c:pt>
                <c:pt idx="87">
                  <c:v>27/01/2026 13:30</c:v>
                </c:pt>
                <c:pt idx="88">
                  <c:v>27/01/2026 13:45</c:v>
                </c:pt>
                <c:pt idx="89">
                  <c:v>27/01/2026 14:00</c:v>
                </c:pt>
                <c:pt idx="90">
                  <c:v>27/01/2026 14:15</c:v>
                </c:pt>
                <c:pt idx="91">
                  <c:v>27/01/2026 14:30</c:v>
                </c:pt>
                <c:pt idx="92">
                  <c:v>27/01/2026 14:45</c:v>
                </c:pt>
                <c:pt idx="93">
                  <c:v>27/01/2026 15:00</c:v>
                </c:pt>
                <c:pt idx="94">
                  <c:v>27/01/2026 15:15</c:v>
                </c:pt>
                <c:pt idx="95">
                  <c:v>27/01/2026 15:30</c:v>
                </c:pt>
                <c:pt idx="96">
                  <c:v>27/01/2026 15:45</c:v>
                </c:pt>
                <c:pt idx="97">
                  <c:v>27/01/2026 16:00</c:v>
                </c:pt>
                <c:pt idx="98">
                  <c:v>27/01/2026 16:15</c:v>
                </c:pt>
                <c:pt idx="99">
                  <c:v>27/01/2026 16:30</c:v>
                </c:pt>
                <c:pt idx="100">
                  <c:v>27/01/2026 16:45</c:v>
                </c:pt>
                <c:pt idx="101">
                  <c:v>27/01/2026 17:00</c:v>
                </c:pt>
                <c:pt idx="102">
                  <c:v>27/01/2026 17:15</c:v>
                </c:pt>
                <c:pt idx="103">
                  <c:v>27/01/2026 17:30</c:v>
                </c:pt>
                <c:pt idx="104">
                  <c:v>27/01/2026 17:45</c:v>
                </c:pt>
                <c:pt idx="105">
                  <c:v>27/01/2026 18:00</c:v>
                </c:pt>
                <c:pt idx="106">
                  <c:v>27/01/2026 18:15</c:v>
                </c:pt>
                <c:pt idx="107">
                  <c:v>27/01/2026 18:30</c:v>
                </c:pt>
                <c:pt idx="108">
                  <c:v>27/01/2026 18:45</c:v>
                </c:pt>
                <c:pt idx="109">
                  <c:v>27/01/2026 19:00</c:v>
                </c:pt>
                <c:pt idx="110">
                  <c:v>27/01/2026 19:15</c:v>
                </c:pt>
                <c:pt idx="111">
                  <c:v>27/01/2026 19:30</c:v>
                </c:pt>
                <c:pt idx="112">
                  <c:v>27/01/2026 19:45</c:v>
                </c:pt>
                <c:pt idx="113">
                  <c:v>27/01/2026 20:00</c:v>
                </c:pt>
                <c:pt idx="114">
                  <c:v>27/01/2026 20:15</c:v>
                </c:pt>
                <c:pt idx="115">
                  <c:v>27/01/2026 20:30</c:v>
                </c:pt>
                <c:pt idx="116">
                  <c:v>27/01/2026 20:45</c:v>
                </c:pt>
                <c:pt idx="117">
                  <c:v>27/01/2026 21:00</c:v>
                </c:pt>
                <c:pt idx="118">
                  <c:v>27/01/2026 21:15</c:v>
                </c:pt>
                <c:pt idx="119">
                  <c:v>27/01/2026 21:30</c:v>
                </c:pt>
                <c:pt idx="120">
                  <c:v>27/01/2026 21:45</c:v>
                </c:pt>
                <c:pt idx="121">
                  <c:v>27/01/2026 22:00</c:v>
                </c:pt>
                <c:pt idx="122">
                  <c:v>27/01/2026 22:15</c:v>
                </c:pt>
                <c:pt idx="123">
                  <c:v>27/01/2026 22:30</c:v>
                </c:pt>
                <c:pt idx="124">
                  <c:v>27/01/2026 22:45</c:v>
                </c:pt>
                <c:pt idx="125">
                  <c:v>27/01/2026 23:00</c:v>
                </c:pt>
                <c:pt idx="126">
                  <c:v>27/01/2026 23:15</c:v>
                </c:pt>
                <c:pt idx="127">
                  <c:v>27/01/2026 23:30</c:v>
                </c:pt>
                <c:pt idx="128">
                  <c:v>27/01/2026 23:45</c:v>
                </c:pt>
                <c:pt idx="129">
                  <c:v>27/01/2026 24:00</c:v>
                </c:pt>
                <c:pt idx="130">
                  <c:v>28/01/2026 00:15</c:v>
                </c:pt>
                <c:pt idx="131">
                  <c:v>28/01/2026 00:30</c:v>
                </c:pt>
                <c:pt idx="132">
                  <c:v>28/01/2026 00:45</c:v>
                </c:pt>
                <c:pt idx="133">
                  <c:v>28/01/2026 01:00</c:v>
                </c:pt>
                <c:pt idx="134">
                  <c:v>28/01/2026 01:15</c:v>
                </c:pt>
                <c:pt idx="135">
                  <c:v>28/01/2026 01:30</c:v>
                </c:pt>
                <c:pt idx="136">
                  <c:v>28/01/2026 01:45</c:v>
                </c:pt>
                <c:pt idx="137">
                  <c:v>28/01/2026 02:00</c:v>
                </c:pt>
                <c:pt idx="138">
                  <c:v>28/01/2026 02:15</c:v>
                </c:pt>
                <c:pt idx="139">
                  <c:v>28/01/2026 02:30</c:v>
                </c:pt>
                <c:pt idx="140">
                  <c:v>28/01/2026 02:45</c:v>
                </c:pt>
                <c:pt idx="141">
                  <c:v>28/01/2026 03:00</c:v>
                </c:pt>
                <c:pt idx="142">
                  <c:v>28/01/2026 03:15</c:v>
                </c:pt>
                <c:pt idx="143">
                  <c:v>28/01/2026 03:30</c:v>
                </c:pt>
                <c:pt idx="144">
                  <c:v>28/01/2026 03:45</c:v>
                </c:pt>
                <c:pt idx="145">
                  <c:v>28/01/2026 04:00</c:v>
                </c:pt>
                <c:pt idx="146">
                  <c:v>28/01/2026 04:15</c:v>
                </c:pt>
                <c:pt idx="147">
                  <c:v>28/01/2026 04:30</c:v>
                </c:pt>
                <c:pt idx="148">
                  <c:v>28/01/2026 04:45</c:v>
                </c:pt>
                <c:pt idx="149">
                  <c:v>28/01/2026 05:00</c:v>
                </c:pt>
                <c:pt idx="150">
                  <c:v>28/01/2026 05:15</c:v>
                </c:pt>
                <c:pt idx="151">
                  <c:v>28/01/2026 05:30</c:v>
                </c:pt>
                <c:pt idx="152">
                  <c:v>28/01/2026 05:45</c:v>
                </c:pt>
                <c:pt idx="153">
                  <c:v>28/01/2026 06:00</c:v>
                </c:pt>
                <c:pt idx="154">
                  <c:v>28/01/2026 06:15</c:v>
                </c:pt>
                <c:pt idx="155">
                  <c:v>28/01/2026 06:30</c:v>
                </c:pt>
                <c:pt idx="156">
                  <c:v>28/01/2026 06:45</c:v>
                </c:pt>
                <c:pt idx="157">
                  <c:v>28/01/2026 07:00</c:v>
                </c:pt>
                <c:pt idx="158">
                  <c:v>28/01/2026 07:15</c:v>
                </c:pt>
                <c:pt idx="159">
                  <c:v>28/01/2026 07:30</c:v>
                </c:pt>
                <c:pt idx="160">
                  <c:v>28/01/2026 07:45</c:v>
                </c:pt>
                <c:pt idx="161">
                  <c:v>28/01/2026 08:00</c:v>
                </c:pt>
                <c:pt idx="162">
                  <c:v>28/01/2026 08:15</c:v>
                </c:pt>
                <c:pt idx="163">
                  <c:v>28/01/2026 08:30</c:v>
                </c:pt>
                <c:pt idx="164">
                  <c:v>28/01/2026 08:45</c:v>
                </c:pt>
                <c:pt idx="165">
                  <c:v>28/01/2026 09:00</c:v>
                </c:pt>
                <c:pt idx="166">
                  <c:v>28/01/2026 09:15</c:v>
                </c:pt>
                <c:pt idx="167">
                  <c:v>28/01/2026 09:30</c:v>
                </c:pt>
                <c:pt idx="168">
                  <c:v>28/01/2026 09:45</c:v>
                </c:pt>
                <c:pt idx="169">
                  <c:v>28/01/2026 10:00</c:v>
                </c:pt>
                <c:pt idx="170">
                  <c:v>28/01/2026 10:15</c:v>
                </c:pt>
                <c:pt idx="171">
                  <c:v>28/01/2026 10:30</c:v>
                </c:pt>
                <c:pt idx="172">
                  <c:v>28/01/2026 10:45</c:v>
                </c:pt>
                <c:pt idx="173">
                  <c:v>28/01/2026 11:00</c:v>
                </c:pt>
                <c:pt idx="174">
                  <c:v>28/01/2026 11:15</c:v>
                </c:pt>
                <c:pt idx="175">
                  <c:v>28/01/2026 11:30</c:v>
                </c:pt>
                <c:pt idx="176">
                  <c:v>28/01/2026 11:45</c:v>
                </c:pt>
                <c:pt idx="177">
                  <c:v>28/01/2026 12:00</c:v>
                </c:pt>
                <c:pt idx="178">
                  <c:v>28/01/2026 12:15</c:v>
                </c:pt>
                <c:pt idx="179">
                  <c:v>28/01/2026 12:30</c:v>
                </c:pt>
                <c:pt idx="180">
                  <c:v>28/01/2026 12:45</c:v>
                </c:pt>
                <c:pt idx="181">
                  <c:v>28/01/2026 13:00</c:v>
                </c:pt>
                <c:pt idx="182">
                  <c:v>28/01/2026 13:15</c:v>
                </c:pt>
                <c:pt idx="183">
                  <c:v>28/01/2026 13:30</c:v>
                </c:pt>
                <c:pt idx="184">
                  <c:v>28/01/2026 13:45</c:v>
                </c:pt>
                <c:pt idx="185">
                  <c:v>28/01/2026 14:00</c:v>
                </c:pt>
                <c:pt idx="186">
                  <c:v>28/01/2026 14:15</c:v>
                </c:pt>
                <c:pt idx="187">
                  <c:v>28/01/2026 14:30</c:v>
                </c:pt>
                <c:pt idx="188">
                  <c:v>28/01/2026 14:45</c:v>
                </c:pt>
                <c:pt idx="189">
                  <c:v>28/01/2026 15:00</c:v>
                </c:pt>
                <c:pt idx="190">
                  <c:v>28/01/2026 15:15</c:v>
                </c:pt>
                <c:pt idx="191">
                  <c:v>28/01/2026 15:30</c:v>
                </c:pt>
                <c:pt idx="192">
                  <c:v>28/01/2026 15:45</c:v>
                </c:pt>
                <c:pt idx="193">
                  <c:v>28/01/2026 16:00</c:v>
                </c:pt>
                <c:pt idx="194">
                  <c:v>28/01/2026 16:15</c:v>
                </c:pt>
                <c:pt idx="195">
                  <c:v>28/01/2026 16:30</c:v>
                </c:pt>
                <c:pt idx="196">
                  <c:v>28/01/2026 16:45</c:v>
                </c:pt>
                <c:pt idx="197">
                  <c:v>28/01/2026 17:00</c:v>
                </c:pt>
                <c:pt idx="198">
                  <c:v>28/01/2026 17:15</c:v>
                </c:pt>
                <c:pt idx="199">
                  <c:v>28/01/2026 17:30</c:v>
                </c:pt>
                <c:pt idx="200">
                  <c:v>28/01/2026 17:45</c:v>
                </c:pt>
                <c:pt idx="201">
                  <c:v>28/01/2026 18:00</c:v>
                </c:pt>
                <c:pt idx="202">
                  <c:v>28/01/2026 18:15</c:v>
                </c:pt>
                <c:pt idx="203">
                  <c:v>28/01/2026 18:30</c:v>
                </c:pt>
                <c:pt idx="204">
                  <c:v>28/01/2026 18:45</c:v>
                </c:pt>
                <c:pt idx="205">
                  <c:v>28/01/2026 19:00</c:v>
                </c:pt>
                <c:pt idx="206">
                  <c:v>28/01/2026 19:15</c:v>
                </c:pt>
                <c:pt idx="207">
                  <c:v>28/01/2026 19:30</c:v>
                </c:pt>
                <c:pt idx="208">
                  <c:v>28/01/2026 19:45</c:v>
                </c:pt>
                <c:pt idx="209">
                  <c:v>28/01/2026 20:00</c:v>
                </c:pt>
                <c:pt idx="210">
                  <c:v>28/01/2026 20:15</c:v>
                </c:pt>
                <c:pt idx="211">
                  <c:v>28/01/2026 20:30</c:v>
                </c:pt>
                <c:pt idx="212">
                  <c:v>28/01/2026 20:45</c:v>
                </c:pt>
                <c:pt idx="213">
                  <c:v>28/01/2026 21:00</c:v>
                </c:pt>
                <c:pt idx="214">
                  <c:v>28/01/2026 21:15</c:v>
                </c:pt>
                <c:pt idx="215">
                  <c:v>28/01/2026 21:30</c:v>
                </c:pt>
                <c:pt idx="216">
                  <c:v>28/01/2026 21:45</c:v>
                </c:pt>
                <c:pt idx="217">
                  <c:v>28/01/2026 22:00</c:v>
                </c:pt>
                <c:pt idx="218">
                  <c:v>28/01/2026 22:15</c:v>
                </c:pt>
                <c:pt idx="219">
                  <c:v>28/01/2026 22:30</c:v>
                </c:pt>
                <c:pt idx="220">
                  <c:v>28/01/2026 22:45</c:v>
                </c:pt>
                <c:pt idx="221">
                  <c:v>28/01/2026 23:00</c:v>
                </c:pt>
                <c:pt idx="222">
                  <c:v>28/01/2026 23:15</c:v>
                </c:pt>
                <c:pt idx="223">
                  <c:v>28/01/2026 23:30</c:v>
                </c:pt>
                <c:pt idx="224">
                  <c:v>28/01/2026 23:45</c:v>
                </c:pt>
                <c:pt idx="225">
                  <c:v>28/01/2026 24:00</c:v>
                </c:pt>
                <c:pt idx="226">
                  <c:v>29/01/2026 00:15</c:v>
                </c:pt>
                <c:pt idx="227">
                  <c:v>29/01/2026 00:30</c:v>
                </c:pt>
                <c:pt idx="228">
                  <c:v>29/01/2026 00:45</c:v>
                </c:pt>
                <c:pt idx="229">
                  <c:v>29/01/2026 01:00</c:v>
                </c:pt>
                <c:pt idx="230">
                  <c:v>29/01/2026 01:15</c:v>
                </c:pt>
                <c:pt idx="231">
                  <c:v>29/01/2026 01:30</c:v>
                </c:pt>
                <c:pt idx="232">
                  <c:v>29/01/2026 01:45</c:v>
                </c:pt>
                <c:pt idx="233">
                  <c:v>29/01/2026 02:00</c:v>
                </c:pt>
                <c:pt idx="234">
                  <c:v>29/01/2026 02:15</c:v>
                </c:pt>
                <c:pt idx="235">
                  <c:v>29/01/2026 02:30</c:v>
                </c:pt>
                <c:pt idx="236">
                  <c:v>29/01/2026 02:45</c:v>
                </c:pt>
                <c:pt idx="237">
                  <c:v>29/01/2026 03:00</c:v>
                </c:pt>
                <c:pt idx="238">
                  <c:v>29/01/2026 03:15</c:v>
                </c:pt>
                <c:pt idx="239">
                  <c:v>29/01/2026 03:30</c:v>
                </c:pt>
                <c:pt idx="240">
                  <c:v>29/01/2026 03:45</c:v>
                </c:pt>
                <c:pt idx="241">
                  <c:v>29/01/2026 04:00</c:v>
                </c:pt>
                <c:pt idx="242">
                  <c:v>29/01/2026 04:15</c:v>
                </c:pt>
                <c:pt idx="243">
                  <c:v>29/01/2026 04:30</c:v>
                </c:pt>
                <c:pt idx="244">
                  <c:v>29/01/2026 04:45</c:v>
                </c:pt>
                <c:pt idx="245">
                  <c:v>29/01/2026 05:00</c:v>
                </c:pt>
                <c:pt idx="246">
                  <c:v>29/01/2026 05:15</c:v>
                </c:pt>
                <c:pt idx="247">
                  <c:v>29/01/2026 05:30</c:v>
                </c:pt>
                <c:pt idx="248">
                  <c:v>29/01/2026 05:45</c:v>
                </c:pt>
                <c:pt idx="249">
                  <c:v>29/01/2026 06:00</c:v>
                </c:pt>
                <c:pt idx="250">
                  <c:v>29/01/2026 06:15</c:v>
                </c:pt>
                <c:pt idx="251">
                  <c:v>29/01/2026 06:30</c:v>
                </c:pt>
                <c:pt idx="252">
                  <c:v>29/01/2026 06:45</c:v>
                </c:pt>
                <c:pt idx="253">
                  <c:v>29/01/2026 07:00</c:v>
                </c:pt>
                <c:pt idx="254">
                  <c:v>29/01/2026 07:15</c:v>
                </c:pt>
                <c:pt idx="255">
                  <c:v>29/01/2026 07:30</c:v>
                </c:pt>
                <c:pt idx="256">
                  <c:v>29/01/2026 07:45</c:v>
                </c:pt>
                <c:pt idx="257">
                  <c:v>29/01/2026 08:00</c:v>
                </c:pt>
                <c:pt idx="258">
                  <c:v>29/01/2026 08:15</c:v>
                </c:pt>
                <c:pt idx="259">
                  <c:v>29/01/2026 08:30</c:v>
                </c:pt>
                <c:pt idx="260">
                  <c:v>29/01/2026 08:45</c:v>
                </c:pt>
                <c:pt idx="261">
                  <c:v>29/01/2026 09:00</c:v>
                </c:pt>
                <c:pt idx="262">
                  <c:v>29/01/2026 09:15</c:v>
                </c:pt>
                <c:pt idx="263">
                  <c:v>29/01/2026 09:30</c:v>
                </c:pt>
                <c:pt idx="264">
                  <c:v>29/01/2026 09:45</c:v>
                </c:pt>
                <c:pt idx="265">
                  <c:v>29/01/2026 10:00</c:v>
                </c:pt>
                <c:pt idx="266">
                  <c:v>29/01/2026 10:15</c:v>
                </c:pt>
                <c:pt idx="267">
                  <c:v>29/01/2026 10:30</c:v>
                </c:pt>
                <c:pt idx="268">
                  <c:v>29/01/2026 10:45</c:v>
                </c:pt>
                <c:pt idx="269">
                  <c:v>29/01/2026 11:00</c:v>
                </c:pt>
                <c:pt idx="270">
                  <c:v>29/01/2026 11:15</c:v>
                </c:pt>
                <c:pt idx="271">
                  <c:v>29/01/2026 11:30</c:v>
                </c:pt>
                <c:pt idx="272">
                  <c:v>29/01/2026 11:45</c:v>
                </c:pt>
                <c:pt idx="273">
                  <c:v>29/01/2026 12:00</c:v>
                </c:pt>
                <c:pt idx="274">
                  <c:v>29/01/2026 12:15</c:v>
                </c:pt>
                <c:pt idx="275">
                  <c:v>29/01/2026 12:30</c:v>
                </c:pt>
                <c:pt idx="276">
                  <c:v>29/01/2026 12:45</c:v>
                </c:pt>
                <c:pt idx="277">
                  <c:v>29/01/2026 13:00</c:v>
                </c:pt>
                <c:pt idx="278">
                  <c:v>29/01/2026 13:15</c:v>
                </c:pt>
                <c:pt idx="279">
                  <c:v>29/01/2026 13:30</c:v>
                </c:pt>
                <c:pt idx="280">
                  <c:v>29/01/2026 13:45</c:v>
                </c:pt>
                <c:pt idx="281">
                  <c:v>29/01/2026 14:00</c:v>
                </c:pt>
                <c:pt idx="282">
                  <c:v>29/01/2026 14:15</c:v>
                </c:pt>
                <c:pt idx="283">
                  <c:v>29/01/2026 14:30</c:v>
                </c:pt>
                <c:pt idx="284">
                  <c:v>29/01/2026 14:45</c:v>
                </c:pt>
                <c:pt idx="285">
                  <c:v>29/01/2026 15:00</c:v>
                </c:pt>
                <c:pt idx="286">
                  <c:v>29/01/2026 15:15</c:v>
                </c:pt>
                <c:pt idx="287">
                  <c:v>29/01/2026 15:30</c:v>
                </c:pt>
                <c:pt idx="288">
                  <c:v>29/01/2026 15:45</c:v>
                </c:pt>
                <c:pt idx="289">
                  <c:v>29/01/2026 16:00</c:v>
                </c:pt>
                <c:pt idx="290">
                  <c:v>29/01/2026 16:15</c:v>
                </c:pt>
                <c:pt idx="291">
                  <c:v>29/01/2026 16:30</c:v>
                </c:pt>
                <c:pt idx="292">
                  <c:v>29/01/2026 16:45</c:v>
                </c:pt>
                <c:pt idx="293">
                  <c:v>29/01/2026 17:00</c:v>
                </c:pt>
                <c:pt idx="294">
                  <c:v>29/01/2026 17:15</c:v>
                </c:pt>
                <c:pt idx="295">
                  <c:v>29/01/2026 17:30</c:v>
                </c:pt>
                <c:pt idx="296">
                  <c:v>29/01/2026 17:45</c:v>
                </c:pt>
                <c:pt idx="297">
                  <c:v>29/01/2026 18:00</c:v>
                </c:pt>
                <c:pt idx="298">
                  <c:v>29/01/2026 18:15</c:v>
                </c:pt>
                <c:pt idx="299">
                  <c:v>29/01/2026 18:30</c:v>
                </c:pt>
                <c:pt idx="300">
                  <c:v>29/01/2026 18:45</c:v>
                </c:pt>
                <c:pt idx="301">
                  <c:v>29/01/2026 19:00</c:v>
                </c:pt>
                <c:pt idx="302">
                  <c:v>29/01/2026 19:15</c:v>
                </c:pt>
                <c:pt idx="303">
                  <c:v>29/01/2026 19:30</c:v>
                </c:pt>
                <c:pt idx="304">
                  <c:v>29/01/2026 19:45</c:v>
                </c:pt>
                <c:pt idx="305">
                  <c:v>29/01/2026 20:00</c:v>
                </c:pt>
                <c:pt idx="306">
                  <c:v>29/01/2026 20:15</c:v>
                </c:pt>
                <c:pt idx="307">
                  <c:v>29/01/2026 20:30</c:v>
                </c:pt>
                <c:pt idx="308">
                  <c:v>29/01/2026 20:45</c:v>
                </c:pt>
                <c:pt idx="309">
                  <c:v>29/01/2026 21:00</c:v>
                </c:pt>
                <c:pt idx="310">
                  <c:v>29/01/2026 21:15</c:v>
                </c:pt>
                <c:pt idx="311">
                  <c:v>29/01/2026 21:30</c:v>
                </c:pt>
                <c:pt idx="312">
                  <c:v>29/01/2026 21:45</c:v>
                </c:pt>
                <c:pt idx="313">
                  <c:v>29/01/2026 22:00</c:v>
                </c:pt>
                <c:pt idx="314">
                  <c:v>29/01/2026 22:15</c:v>
                </c:pt>
                <c:pt idx="315">
                  <c:v>29/01/2026 22:30</c:v>
                </c:pt>
                <c:pt idx="316">
                  <c:v>29/01/2026 22:45</c:v>
                </c:pt>
                <c:pt idx="317">
                  <c:v>29/01/2026 23:00</c:v>
                </c:pt>
                <c:pt idx="318">
                  <c:v>29/01/2026 23:15</c:v>
                </c:pt>
                <c:pt idx="319">
                  <c:v>29/01/2026 23:30</c:v>
                </c:pt>
                <c:pt idx="320">
                  <c:v>29/01/2026 23:45</c:v>
                </c:pt>
                <c:pt idx="321">
                  <c:v>29/01/2026 24:00</c:v>
                </c:pt>
                <c:pt idx="322">
                  <c:v>30/01/2026 00:15</c:v>
                </c:pt>
                <c:pt idx="323">
                  <c:v>30/01/2026 00:30</c:v>
                </c:pt>
                <c:pt idx="324">
                  <c:v>30/01/2026 00:45</c:v>
                </c:pt>
                <c:pt idx="325">
                  <c:v>30/01/2026 01:00</c:v>
                </c:pt>
                <c:pt idx="326">
                  <c:v>30/01/2026 01:15</c:v>
                </c:pt>
                <c:pt idx="327">
                  <c:v>30/01/2026 01:30</c:v>
                </c:pt>
                <c:pt idx="328">
                  <c:v>30/01/2026 01:45</c:v>
                </c:pt>
                <c:pt idx="329">
                  <c:v>30/01/2026 02:00</c:v>
                </c:pt>
                <c:pt idx="330">
                  <c:v>30/01/2026 02:15</c:v>
                </c:pt>
                <c:pt idx="331">
                  <c:v>30/01/2026 02:30</c:v>
                </c:pt>
                <c:pt idx="332">
                  <c:v>30/01/2026 02:45</c:v>
                </c:pt>
                <c:pt idx="333">
                  <c:v>30/01/2026 03:00</c:v>
                </c:pt>
                <c:pt idx="334">
                  <c:v>30/01/2026 03:15</c:v>
                </c:pt>
                <c:pt idx="335">
                  <c:v>30/01/2026 03:30</c:v>
                </c:pt>
                <c:pt idx="336">
                  <c:v>30/01/2026 03:45</c:v>
                </c:pt>
                <c:pt idx="337">
                  <c:v>30/01/2026 04:00</c:v>
                </c:pt>
                <c:pt idx="338">
                  <c:v>30/01/2026 04:15</c:v>
                </c:pt>
                <c:pt idx="339">
                  <c:v>30/01/2026 04:30</c:v>
                </c:pt>
                <c:pt idx="340">
                  <c:v>30/01/2026 04:45</c:v>
                </c:pt>
                <c:pt idx="341">
                  <c:v>30/01/2026 05:00</c:v>
                </c:pt>
                <c:pt idx="342">
                  <c:v>30/01/2026 05:15</c:v>
                </c:pt>
                <c:pt idx="343">
                  <c:v>30/01/2026 05:30</c:v>
                </c:pt>
                <c:pt idx="344">
                  <c:v>30/01/2026 05:45</c:v>
                </c:pt>
                <c:pt idx="345">
                  <c:v>30/01/2026 06:00</c:v>
                </c:pt>
                <c:pt idx="346">
                  <c:v>30/01/2026 06:15</c:v>
                </c:pt>
                <c:pt idx="347">
                  <c:v>30/01/2026 06:30</c:v>
                </c:pt>
                <c:pt idx="348">
                  <c:v>30/01/2026 06:45</c:v>
                </c:pt>
                <c:pt idx="349">
                  <c:v>30/01/2026 07:00</c:v>
                </c:pt>
                <c:pt idx="350">
                  <c:v>30/01/2026 07:15</c:v>
                </c:pt>
                <c:pt idx="351">
                  <c:v>30/01/2026 07:30</c:v>
                </c:pt>
                <c:pt idx="352">
                  <c:v>30/01/2026 07:45</c:v>
                </c:pt>
                <c:pt idx="353">
                  <c:v>30/01/2026 08:00</c:v>
                </c:pt>
                <c:pt idx="354">
                  <c:v>30/01/2026 08:15</c:v>
                </c:pt>
                <c:pt idx="355">
                  <c:v>30/01/2026 08:30</c:v>
                </c:pt>
                <c:pt idx="356">
                  <c:v>30/01/2026 08:45</c:v>
                </c:pt>
                <c:pt idx="357">
                  <c:v>30/01/2026 09:00</c:v>
                </c:pt>
                <c:pt idx="358">
                  <c:v>30/01/2026 09:15</c:v>
                </c:pt>
                <c:pt idx="359">
                  <c:v>30/01/2026 09:30</c:v>
                </c:pt>
                <c:pt idx="360">
                  <c:v>30/01/2026 09:45</c:v>
                </c:pt>
                <c:pt idx="361">
                  <c:v>30/01/2026 10:00</c:v>
                </c:pt>
                <c:pt idx="362">
                  <c:v>30/01/2026 10:15</c:v>
                </c:pt>
                <c:pt idx="363">
                  <c:v>30/01/2026 10:30</c:v>
                </c:pt>
                <c:pt idx="364">
                  <c:v>30/01/2026 10:45</c:v>
                </c:pt>
                <c:pt idx="365">
                  <c:v>30/01/2026 11:00</c:v>
                </c:pt>
                <c:pt idx="366">
                  <c:v>30/01/2026 11:15</c:v>
                </c:pt>
                <c:pt idx="367">
                  <c:v>30/01/2026 11:30</c:v>
                </c:pt>
                <c:pt idx="368">
                  <c:v>30/01/2026 11:45</c:v>
                </c:pt>
                <c:pt idx="369">
                  <c:v>30/01/2026 12:00</c:v>
                </c:pt>
                <c:pt idx="370">
                  <c:v>30/01/2026 12:15</c:v>
                </c:pt>
                <c:pt idx="371">
                  <c:v>30/01/2026 12:30</c:v>
                </c:pt>
                <c:pt idx="372">
                  <c:v>30/01/2026 12:45</c:v>
                </c:pt>
                <c:pt idx="373">
                  <c:v>30/01/2026 13:00</c:v>
                </c:pt>
                <c:pt idx="374">
                  <c:v>30/01/2026 13:15</c:v>
                </c:pt>
                <c:pt idx="375">
                  <c:v>30/01/2026 13:30</c:v>
                </c:pt>
                <c:pt idx="376">
                  <c:v>30/01/2026 13:45</c:v>
                </c:pt>
                <c:pt idx="377">
                  <c:v>30/01/2026 14:00</c:v>
                </c:pt>
                <c:pt idx="378">
                  <c:v>30/01/2026 14:15</c:v>
                </c:pt>
                <c:pt idx="379">
                  <c:v>30/01/2026 14:30</c:v>
                </c:pt>
                <c:pt idx="380">
                  <c:v>30/01/2026 14:45</c:v>
                </c:pt>
                <c:pt idx="381">
                  <c:v>30/01/2026 15:00</c:v>
                </c:pt>
                <c:pt idx="382">
                  <c:v>30/01/2026 15:15</c:v>
                </c:pt>
                <c:pt idx="383">
                  <c:v>30/01/2026 15:30</c:v>
                </c:pt>
                <c:pt idx="384">
                  <c:v>30/01/2026 15:45</c:v>
                </c:pt>
                <c:pt idx="385">
                  <c:v>30/01/2026 16:00</c:v>
                </c:pt>
                <c:pt idx="386">
                  <c:v>30/01/2026 16:15</c:v>
                </c:pt>
                <c:pt idx="387">
                  <c:v>30/01/2026 16:30</c:v>
                </c:pt>
                <c:pt idx="388">
                  <c:v>30/01/2026 16:45</c:v>
                </c:pt>
                <c:pt idx="389">
                  <c:v>30/01/2026 17:00</c:v>
                </c:pt>
                <c:pt idx="390">
                  <c:v>30/01/2026 17:15</c:v>
                </c:pt>
                <c:pt idx="391">
                  <c:v>30/01/2026 17:30</c:v>
                </c:pt>
                <c:pt idx="392">
                  <c:v>30/01/2026 17:45</c:v>
                </c:pt>
                <c:pt idx="393">
                  <c:v>30/01/2026 18:00</c:v>
                </c:pt>
                <c:pt idx="394">
                  <c:v>30/01/2026 18:15</c:v>
                </c:pt>
                <c:pt idx="395">
                  <c:v>30/01/2026 18:30</c:v>
                </c:pt>
                <c:pt idx="396">
                  <c:v>30/01/2026 18:45</c:v>
                </c:pt>
                <c:pt idx="397">
                  <c:v>30/01/2026 19:00</c:v>
                </c:pt>
                <c:pt idx="398">
                  <c:v>30/01/2026 19:15</c:v>
                </c:pt>
                <c:pt idx="399">
                  <c:v>30/01/2026 19:30</c:v>
                </c:pt>
                <c:pt idx="400">
                  <c:v>30/01/2026 19:45</c:v>
                </c:pt>
                <c:pt idx="401">
                  <c:v>30/01/2026 20:00</c:v>
                </c:pt>
                <c:pt idx="402">
                  <c:v>30/01/2026 20:15</c:v>
                </c:pt>
                <c:pt idx="403">
                  <c:v>30/01/2026 20:30</c:v>
                </c:pt>
                <c:pt idx="404">
                  <c:v>30/01/2026 20:45</c:v>
                </c:pt>
                <c:pt idx="405">
                  <c:v>30/01/2026 21:00</c:v>
                </c:pt>
                <c:pt idx="406">
                  <c:v>30/01/2026 21:15</c:v>
                </c:pt>
                <c:pt idx="407">
                  <c:v>30/01/2026 21:30</c:v>
                </c:pt>
                <c:pt idx="408">
                  <c:v>30/01/2026 21:45</c:v>
                </c:pt>
                <c:pt idx="409">
                  <c:v>30/01/2026 22:00</c:v>
                </c:pt>
                <c:pt idx="410">
                  <c:v>30/01/2026 22:15</c:v>
                </c:pt>
                <c:pt idx="411">
                  <c:v>30/01/2026 22:30</c:v>
                </c:pt>
                <c:pt idx="412">
                  <c:v>30/01/2026 22:45</c:v>
                </c:pt>
                <c:pt idx="413">
                  <c:v>30/01/2026 23:00</c:v>
                </c:pt>
                <c:pt idx="414">
                  <c:v>30/01/2026 23:15</c:v>
                </c:pt>
                <c:pt idx="415">
                  <c:v>30/01/2026 23:30</c:v>
                </c:pt>
                <c:pt idx="416">
                  <c:v>30/01/2026 23:45</c:v>
                </c:pt>
                <c:pt idx="417">
                  <c:v>30/01/2026 24:00</c:v>
                </c:pt>
                <c:pt idx="418">
                  <c:v>31/01/2026 00:15</c:v>
                </c:pt>
                <c:pt idx="419">
                  <c:v>31/01/2026 00:30</c:v>
                </c:pt>
                <c:pt idx="420">
                  <c:v>31/01/2026 00:45</c:v>
                </c:pt>
                <c:pt idx="421">
                  <c:v>31/01/2026 01:00</c:v>
                </c:pt>
                <c:pt idx="422">
                  <c:v>31/01/2026 01:15</c:v>
                </c:pt>
                <c:pt idx="423">
                  <c:v>31/01/2026 01:30</c:v>
                </c:pt>
                <c:pt idx="424">
                  <c:v>31/01/2026 01:45</c:v>
                </c:pt>
                <c:pt idx="425">
                  <c:v>31/01/2026 02:00</c:v>
                </c:pt>
                <c:pt idx="426">
                  <c:v>31/01/2026 02:15</c:v>
                </c:pt>
                <c:pt idx="427">
                  <c:v>31/01/2026 02:30</c:v>
                </c:pt>
                <c:pt idx="428">
                  <c:v>31/01/2026 02:45</c:v>
                </c:pt>
                <c:pt idx="429">
                  <c:v>31/01/2026 03:00</c:v>
                </c:pt>
                <c:pt idx="430">
                  <c:v>31/01/2026 03:15</c:v>
                </c:pt>
                <c:pt idx="431">
                  <c:v>31/01/2026 03:30</c:v>
                </c:pt>
                <c:pt idx="432">
                  <c:v>31/01/2026 03:45</c:v>
                </c:pt>
                <c:pt idx="433">
                  <c:v>31/01/2026 04:00</c:v>
                </c:pt>
                <c:pt idx="434">
                  <c:v>31/01/2026 04:15</c:v>
                </c:pt>
                <c:pt idx="435">
                  <c:v>31/01/2026 04:30</c:v>
                </c:pt>
                <c:pt idx="436">
                  <c:v>31/01/2026 04:45</c:v>
                </c:pt>
                <c:pt idx="437">
                  <c:v>31/01/2026 05:00</c:v>
                </c:pt>
                <c:pt idx="438">
                  <c:v>31/01/2026 05:15</c:v>
                </c:pt>
                <c:pt idx="439">
                  <c:v>31/01/2026 05:30</c:v>
                </c:pt>
                <c:pt idx="440">
                  <c:v>31/01/2026 05:45</c:v>
                </c:pt>
                <c:pt idx="441">
                  <c:v>31/01/2026 06:00</c:v>
                </c:pt>
                <c:pt idx="442">
                  <c:v>31/01/2026 06:15</c:v>
                </c:pt>
                <c:pt idx="443">
                  <c:v>31/01/2026 06:30</c:v>
                </c:pt>
                <c:pt idx="444">
                  <c:v>31/01/2026 06:45</c:v>
                </c:pt>
                <c:pt idx="445">
                  <c:v>31/01/2026 07:00</c:v>
                </c:pt>
                <c:pt idx="446">
                  <c:v>31/01/2026 07:15</c:v>
                </c:pt>
                <c:pt idx="447">
                  <c:v>31/01/2026 07:30</c:v>
                </c:pt>
                <c:pt idx="448">
                  <c:v>31/01/2026 07:45</c:v>
                </c:pt>
                <c:pt idx="449">
                  <c:v>31/01/2026 08:00</c:v>
                </c:pt>
                <c:pt idx="450">
                  <c:v>31/01/2026 08:15</c:v>
                </c:pt>
                <c:pt idx="451">
                  <c:v>31/01/2026 08:30</c:v>
                </c:pt>
                <c:pt idx="452">
                  <c:v>31/01/2026 08:45</c:v>
                </c:pt>
                <c:pt idx="453">
                  <c:v>31/01/2026 09:00</c:v>
                </c:pt>
                <c:pt idx="454">
                  <c:v>31/01/2026 09:15</c:v>
                </c:pt>
                <c:pt idx="455">
                  <c:v>31/01/2026 09:30</c:v>
                </c:pt>
                <c:pt idx="456">
                  <c:v>31/01/2026 09:45</c:v>
                </c:pt>
                <c:pt idx="457">
                  <c:v>31/01/2026 10:00</c:v>
                </c:pt>
                <c:pt idx="458">
                  <c:v>31/01/2026 10:15</c:v>
                </c:pt>
                <c:pt idx="459">
                  <c:v>31/01/2026 10:30</c:v>
                </c:pt>
                <c:pt idx="460">
                  <c:v>31/01/2026 10:45</c:v>
                </c:pt>
                <c:pt idx="461">
                  <c:v>31/01/2026 11:00</c:v>
                </c:pt>
                <c:pt idx="462">
                  <c:v>31/01/2026 11:15</c:v>
                </c:pt>
                <c:pt idx="463">
                  <c:v>31/01/2026 11:30</c:v>
                </c:pt>
                <c:pt idx="464">
                  <c:v>31/01/2026 11:45</c:v>
                </c:pt>
                <c:pt idx="465">
                  <c:v>31/01/2026 12:00</c:v>
                </c:pt>
                <c:pt idx="466">
                  <c:v>31/01/2026 12:15</c:v>
                </c:pt>
                <c:pt idx="467">
                  <c:v>31/01/2026 12:30</c:v>
                </c:pt>
                <c:pt idx="468">
                  <c:v>31/01/2026 12:45</c:v>
                </c:pt>
                <c:pt idx="469">
                  <c:v>31/01/2026 13:00</c:v>
                </c:pt>
                <c:pt idx="470">
                  <c:v>31/01/2026 13:15</c:v>
                </c:pt>
                <c:pt idx="471">
                  <c:v>31/01/2026 13:30</c:v>
                </c:pt>
                <c:pt idx="472">
                  <c:v>31/01/2026 13:45</c:v>
                </c:pt>
                <c:pt idx="473">
                  <c:v>31/01/2026 14:00</c:v>
                </c:pt>
                <c:pt idx="474">
                  <c:v>31/01/2026 14:15</c:v>
                </c:pt>
                <c:pt idx="475">
                  <c:v>31/01/2026 14:30</c:v>
                </c:pt>
                <c:pt idx="476">
                  <c:v>31/01/2026 14:45</c:v>
                </c:pt>
                <c:pt idx="477">
                  <c:v>31/01/2026 15:00</c:v>
                </c:pt>
                <c:pt idx="478">
                  <c:v>31/01/2026 15:15</c:v>
                </c:pt>
                <c:pt idx="479">
                  <c:v>31/01/2026 15:30</c:v>
                </c:pt>
                <c:pt idx="480">
                  <c:v>31/01/2026 15:45</c:v>
                </c:pt>
                <c:pt idx="481">
                  <c:v>31/01/2026 16:00</c:v>
                </c:pt>
                <c:pt idx="482">
                  <c:v>31/01/2026 16:15</c:v>
                </c:pt>
                <c:pt idx="483">
                  <c:v>31/01/2026 16:30</c:v>
                </c:pt>
                <c:pt idx="484">
                  <c:v>31/01/2026 16:45</c:v>
                </c:pt>
                <c:pt idx="485">
                  <c:v>31/01/2026 17:00</c:v>
                </c:pt>
                <c:pt idx="486">
                  <c:v>31/01/2026 17:15</c:v>
                </c:pt>
                <c:pt idx="487">
                  <c:v>31/01/2026 17:30</c:v>
                </c:pt>
                <c:pt idx="488">
                  <c:v>31/01/2026 17:45</c:v>
                </c:pt>
                <c:pt idx="489">
                  <c:v>31/01/2026 18:00</c:v>
                </c:pt>
                <c:pt idx="490">
                  <c:v>31/01/2026 18:15</c:v>
                </c:pt>
                <c:pt idx="491">
                  <c:v>31/01/2026 18:30</c:v>
                </c:pt>
                <c:pt idx="492">
                  <c:v>31/01/2026 18:45</c:v>
                </c:pt>
                <c:pt idx="493">
                  <c:v>31/01/2026 19:00</c:v>
                </c:pt>
                <c:pt idx="494">
                  <c:v>31/01/2026 19:15</c:v>
                </c:pt>
                <c:pt idx="495">
                  <c:v>31/01/2026 19:30</c:v>
                </c:pt>
                <c:pt idx="496">
                  <c:v>31/01/2026 19:45</c:v>
                </c:pt>
                <c:pt idx="497">
                  <c:v>31/01/2026 20:00</c:v>
                </c:pt>
                <c:pt idx="498">
                  <c:v>31/01/2026 20:15</c:v>
                </c:pt>
                <c:pt idx="499">
                  <c:v>31/01/2026 20:30</c:v>
                </c:pt>
                <c:pt idx="500">
                  <c:v>31/01/2026 20:45</c:v>
                </c:pt>
                <c:pt idx="501">
                  <c:v>31/01/2026 21:00</c:v>
                </c:pt>
                <c:pt idx="502">
                  <c:v>31/01/2026 21:15</c:v>
                </c:pt>
                <c:pt idx="503">
                  <c:v>31/01/2026 21:30</c:v>
                </c:pt>
                <c:pt idx="504">
                  <c:v>31/01/2026 21:45</c:v>
                </c:pt>
                <c:pt idx="505">
                  <c:v>31/01/2026 22:00</c:v>
                </c:pt>
                <c:pt idx="506">
                  <c:v>31/01/2026 22:15</c:v>
                </c:pt>
                <c:pt idx="507">
                  <c:v>31/01/2026 22:30</c:v>
                </c:pt>
                <c:pt idx="508">
                  <c:v>31/01/2026 22:45</c:v>
                </c:pt>
                <c:pt idx="509">
                  <c:v>31/01/2026 23:00</c:v>
                </c:pt>
                <c:pt idx="510">
                  <c:v>31/01/2026 23:15</c:v>
                </c:pt>
                <c:pt idx="511">
                  <c:v>31/01/2026 23:30</c:v>
                </c:pt>
                <c:pt idx="512">
                  <c:v>31/01/2026 23:45</c:v>
                </c:pt>
                <c:pt idx="513">
                  <c:v>31/01/2026 24:00</c:v>
                </c:pt>
                <c:pt idx="514">
                  <c:v>01/02/2026 00:15</c:v>
                </c:pt>
                <c:pt idx="515">
                  <c:v>01/02/2026 00:30</c:v>
                </c:pt>
                <c:pt idx="516">
                  <c:v>01/02/2026 00:45</c:v>
                </c:pt>
                <c:pt idx="517">
                  <c:v>01/02/2026 01:00</c:v>
                </c:pt>
                <c:pt idx="518">
                  <c:v>01/02/2026 01:15</c:v>
                </c:pt>
                <c:pt idx="519">
                  <c:v>01/02/2026 01:30</c:v>
                </c:pt>
                <c:pt idx="520">
                  <c:v>01/02/2026 01:45</c:v>
                </c:pt>
                <c:pt idx="521">
                  <c:v>01/02/2026 02:00</c:v>
                </c:pt>
                <c:pt idx="522">
                  <c:v>01/02/2026 02:15</c:v>
                </c:pt>
                <c:pt idx="523">
                  <c:v>01/02/2026 02:30</c:v>
                </c:pt>
                <c:pt idx="524">
                  <c:v>01/02/2026 02:45</c:v>
                </c:pt>
                <c:pt idx="525">
                  <c:v>01/02/2026 03:00</c:v>
                </c:pt>
                <c:pt idx="526">
                  <c:v>01/02/2026 03:15</c:v>
                </c:pt>
                <c:pt idx="527">
                  <c:v>01/02/2026 03:30</c:v>
                </c:pt>
                <c:pt idx="528">
                  <c:v>01/02/2026 03:45</c:v>
                </c:pt>
                <c:pt idx="529">
                  <c:v>01/02/2026 04:00</c:v>
                </c:pt>
                <c:pt idx="530">
                  <c:v>01/02/2026 04:15</c:v>
                </c:pt>
                <c:pt idx="531">
                  <c:v>01/02/2026 04:30</c:v>
                </c:pt>
                <c:pt idx="532">
                  <c:v>01/02/2026 04:45</c:v>
                </c:pt>
                <c:pt idx="533">
                  <c:v>01/02/2026 05:00</c:v>
                </c:pt>
                <c:pt idx="534">
                  <c:v>01/02/2026 05:15</c:v>
                </c:pt>
                <c:pt idx="535">
                  <c:v>01/02/2026 05:30</c:v>
                </c:pt>
                <c:pt idx="536">
                  <c:v>01/02/2026 05:45</c:v>
                </c:pt>
                <c:pt idx="537">
                  <c:v>01/02/2026 06:00</c:v>
                </c:pt>
                <c:pt idx="538">
                  <c:v>01/02/2026 06:15</c:v>
                </c:pt>
                <c:pt idx="539">
                  <c:v>01/02/2026 06:30</c:v>
                </c:pt>
                <c:pt idx="540">
                  <c:v>01/02/2026 06:45</c:v>
                </c:pt>
                <c:pt idx="541">
                  <c:v>01/02/2026 07:00</c:v>
                </c:pt>
                <c:pt idx="542">
                  <c:v>01/02/2026 07:15</c:v>
                </c:pt>
                <c:pt idx="543">
                  <c:v>01/02/2026 07:30</c:v>
                </c:pt>
                <c:pt idx="544">
                  <c:v>01/02/2026 07:45</c:v>
                </c:pt>
                <c:pt idx="545">
                  <c:v>01/02/2026 08:00</c:v>
                </c:pt>
                <c:pt idx="546">
                  <c:v>01/02/2026 08:15</c:v>
                </c:pt>
                <c:pt idx="547">
                  <c:v>01/02/2026 08:30</c:v>
                </c:pt>
                <c:pt idx="548">
                  <c:v>01/02/2026 08:45</c:v>
                </c:pt>
                <c:pt idx="549">
                  <c:v>01/02/2026 09:00</c:v>
                </c:pt>
                <c:pt idx="550">
                  <c:v>01/02/2026 09:15</c:v>
                </c:pt>
                <c:pt idx="551">
                  <c:v>01/02/2026 09:30</c:v>
                </c:pt>
                <c:pt idx="552">
                  <c:v>01/02/2026 09:45</c:v>
                </c:pt>
                <c:pt idx="553">
                  <c:v>01/02/2026 10:00</c:v>
                </c:pt>
                <c:pt idx="554">
                  <c:v>01/02/2026 10:15</c:v>
                </c:pt>
                <c:pt idx="555">
                  <c:v>01/02/2026 10:30</c:v>
                </c:pt>
                <c:pt idx="556">
                  <c:v>01/02/2026 10:45</c:v>
                </c:pt>
                <c:pt idx="557">
                  <c:v>01/02/2026 11:00</c:v>
                </c:pt>
                <c:pt idx="558">
                  <c:v>01/02/2026 11:15</c:v>
                </c:pt>
                <c:pt idx="559">
                  <c:v>01/02/2026 11:30</c:v>
                </c:pt>
                <c:pt idx="560">
                  <c:v>01/02/2026 11:45</c:v>
                </c:pt>
                <c:pt idx="561">
                  <c:v>01/02/2026 12:00</c:v>
                </c:pt>
                <c:pt idx="562">
                  <c:v>01/02/2026 12:15</c:v>
                </c:pt>
                <c:pt idx="563">
                  <c:v>01/02/2026 12:30</c:v>
                </c:pt>
                <c:pt idx="564">
                  <c:v>01/02/2026 12:45</c:v>
                </c:pt>
                <c:pt idx="565">
                  <c:v>01/02/2026 13:00</c:v>
                </c:pt>
                <c:pt idx="566">
                  <c:v>01/02/2026 13:15</c:v>
                </c:pt>
                <c:pt idx="567">
                  <c:v>01/02/2026 13:30</c:v>
                </c:pt>
                <c:pt idx="568">
                  <c:v>01/02/2026 13:45</c:v>
                </c:pt>
                <c:pt idx="569">
                  <c:v>01/02/2026 14:00</c:v>
                </c:pt>
                <c:pt idx="570">
                  <c:v>01/02/2026 14:15</c:v>
                </c:pt>
                <c:pt idx="571">
                  <c:v>01/02/2026 14:30</c:v>
                </c:pt>
                <c:pt idx="572">
                  <c:v>01/02/2026 14:45</c:v>
                </c:pt>
                <c:pt idx="573">
                  <c:v>01/02/2026 15:00</c:v>
                </c:pt>
                <c:pt idx="574">
                  <c:v>01/02/2026 15:15</c:v>
                </c:pt>
                <c:pt idx="575">
                  <c:v>01/02/2026 15:30</c:v>
                </c:pt>
                <c:pt idx="576">
                  <c:v>01/02/2026 15:45</c:v>
                </c:pt>
                <c:pt idx="577">
                  <c:v>01/02/2026 16:00</c:v>
                </c:pt>
                <c:pt idx="578">
                  <c:v>01/02/2026 16:15</c:v>
                </c:pt>
                <c:pt idx="579">
                  <c:v>01/02/2026 16:30</c:v>
                </c:pt>
                <c:pt idx="580">
                  <c:v>01/02/2026 16:45</c:v>
                </c:pt>
                <c:pt idx="581">
                  <c:v>01/02/2026 17:00</c:v>
                </c:pt>
                <c:pt idx="582">
                  <c:v>01/02/2026 17:15</c:v>
                </c:pt>
                <c:pt idx="583">
                  <c:v>01/02/2026 17:30</c:v>
                </c:pt>
                <c:pt idx="584">
                  <c:v>01/02/2026 17:45</c:v>
                </c:pt>
                <c:pt idx="585">
                  <c:v>01/02/2026 18:00</c:v>
                </c:pt>
                <c:pt idx="586">
                  <c:v>01/02/2026 18:15</c:v>
                </c:pt>
                <c:pt idx="587">
                  <c:v>01/02/2026 18:30</c:v>
                </c:pt>
                <c:pt idx="588">
                  <c:v>01/02/2026 18:45</c:v>
                </c:pt>
                <c:pt idx="589">
                  <c:v>01/02/2026 19:00</c:v>
                </c:pt>
                <c:pt idx="590">
                  <c:v>01/02/2026 19:15</c:v>
                </c:pt>
                <c:pt idx="591">
                  <c:v>01/02/2026 19:30</c:v>
                </c:pt>
                <c:pt idx="592">
                  <c:v>01/02/2026 19:45</c:v>
                </c:pt>
                <c:pt idx="593">
                  <c:v>01/02/2026 20:00</c:v>
                </c:pt>
                <c:pt idx="594">
                  <c:v>01/02/2026 20:15</c:v>
                </c:pt>
                <c:pt idx="595">
                  <c:v>01/02/2026 20:30</c:v>
                </c:pt>
                <c:pt idx="596">
                  <c:v>01/02/2026 20:45</c:v>
                </c:pt>
                <c:pt idx="597">
                  <c:v>01/02/2026 21:00</c:v>
                </c:pt>
                <c:pt idx="598">
                  <c:v>01/02/2026 21:15</c:v>
                </c:pt>
                <c:pt idx="599">
                  <c:v>01/02/2026 21:30</c:v>
                </c:pt>
                <c:pt idx="600">
                  <c:v>01/02/2026 21:45</c:v>
                </c:pt>
                <c:pt idx="601">
                  <c:v>01/02/2026 22:00</c:v>
                </c:pt>
                <c:pt idx="602">
                  <c:v>01/02/2026 22:15</c:v>
                </c:pt>
                <c:pt idx="603">
                  <c:v>01/02/2026 22:30</c:v>
                </c:pt>
                <c:pt idx="604">
                  <c:v>01/02/2026 22:45</c:v>
                </c:pt>
                <c:pt idx="605">
                  <c:v>01/02/2026 23:00</c:v>
                </c:pt>
                <c:pt idx="606">
                  <c:v>01/02/2026 23:15</c:v>
                </c:pt>
                <c:pt idx="607">
                  <c:v>01/02/2026 23:30</c:v>
                </c:pt>
                <c:pt idx="608">
                  <c:v>01/02/2026 23:45</c:v>
                </c:pt>
                <c:pt idx="609">
                  <c:v>01/02/2026 24:00</c:v>
                </c:pt>
                <c:pt idx="610">
                  <c:v>02/02/2026 00:15</c:v>
                </c:pt>
                <c:pt idx="611">
                  <c:v>02/02/2026 00:30</c:v>
                </c:pt>
                <c:pt idx="612">
                  <c:v>02/02/2026 00:45</c:v>
                </c:pt>
                <c:pt idx="613">
                  <c:v>02/02/2026 01:00</c:v>
                </c:pt>
                <c:pt idx="614">
                  <c:v>02/02/2026 01:15</c:v>
                </c:pt>
                <c:pt idx="615">
                  <c:v>02/02/2026 01:30</c:v>
                </c:pt>
                <c:pt idx="616">
                  <c:v>02/02/2026 01:45</c:v>
                </c:pt>
                <c:pt idx="617">
                  <c:v>02/02/2026 02:00</c:v>
                </c:pt>
                <c:pt idx="618">
                  <c:v>02/02/2026 02:15</c:v>
                </c:pt>
                <c:pt idx="619">
                  <c:v>02/02/2026 02:30</c:v>
                </c:pt>
                <c:pt idx="620">
                  <c:v>02/02/2026 02:45</c:v>
                </c:pt>
                <c:pt idx="621">
                  <c:v>02/02/2026 03:00</c:v>
                </c:pt>
                <c:pt idx="622">
                  <c:v>02/02/2026 03:15</c:v>
                </c:pt>
                <c:pt idx="623">
                  <c:v>02/02/2026 03:30</c:v>
                </c:pt>
                <c:pt idx="624">
                  <c:v>02/02/2026 03:45</c:v>
                </c:pt>
                <c:pt idx="625">
                  <c:v>02/02/2026 04:00</c:v>
                </c:pt>
                <c:pt idx="626">
                  <c:v>02/02/2026 04:15</c:v>
                </c:pt>
                <c:pt idx="627">
                  <c:v>02/02/2026 04:30</c:v>
                </c:pt>
                <c:pt idx="628">
                  <c:v>02/02/2026 04:45</c:v>
                </c:pt>
                <c:pt idx="629">
                  <c:v>02/02/2026 05:00</c:v>
                </c:pt>
                <c:pt idx="630">
                  <c:v>02/02/2026 05:15</c:v>
                </c:pt>
                <c:pt idx="631">
                  <c:v>02/02/2026 05:30</c:v>
                </c:pt>
                <c:pt idx="632">
                  <c:v>02/02/2026 05:45</c:v>
                </c:pt>
                <c:pt idx="633">
                  <c:v>02/02/2026 06:00</c:v>
                </c:pt>
                <c:pt idx="634">
                  <c:v>02/02/2026 06:15</c:v>
                </c:pt>
                <c:pt idx="635">
                  <c:v>02/02/2026 06:30</c:v>
                </c:pt>
                <c:pt idx="636">
                  <c:v>02/02/2026 06:45</c:v>
                </c:pt>
                <c:pt idx="637">
                  <c:v>02/02/2026 07:00</c:v>
                </c:pt>
                <c:pt idx="638">
                  <c:v>02/02/2026 07:15</c:v>
                </c:pt>
                <c:pt idx="639">
                  <c:v>02/02/2026 07:30</c:v>
                </c:pt>
                <c:pt idx="640">
                  <c:v>02/02/2026 07:45</c:v>
                </c:pt>
                <c:pt idx="641">
                  <c:v>02/02/2026 08:00</c:v>
                </c:pt>
                <c:pt idx="642">
                  <c:v>02/02/2026 08:15</c:v>
                </c:pt>
                <c:pt idx="643">
                  <c:v>02/02/2026 08:30</c:v>
                </c:pt>
                <c:pt idx="644">
                  <c:v>02/02/2026 08:45</c:v>
                </c:pt>
                <c:pt idx="645">
                  <c:v>02/02/2026 09:00</c:v>
                </c:pt>
                <c:pt idx="646">
                  <c:v>02/02/2026 09:15</c:v>
                </c:pt>
                <c:pt idx="647">
                  <c:v>02/02/2026 09:30</c:v>
                </c:pt>
                <c:pt idx="648">
                  <c:v>02/02/2026 09:45</c:v>
                </c:pt>
                <c:pt idx="649">
                  <c:v>02/02/2026 10:00</c:v>
                </c:pt>
                <c:pt idx="650">
                  <c:v>02/02/2026 10:15</c:v>
                </c:pt>
                <c:pt idx="651">
                  <c:v>02/02/2026 10:30</c:v>
                </c:pt>
                <c:pt idx="652">
                  <c:v>02/02/2026 10:45</c:v>
                </c:pt>
                <c:pt idx="653">
                  <c:v>02/02/2026 11:00</c:v>
                </c:pt>
                <c:pt idx="654">
                  <c:v>02/02/2026 11:15</c:v>
                </c:pt>
                <c:pt idx="655">
                  <c:v>02/02/2026 11:30</c:v>
                </c:pt>
                <c:pt idx="656">
                  <c:v>02/02/2026 11:45</c:v>
                </c:pt>
                <c:pt idx="657">
                  <c:v>02/02/2026 12:00</c:v>
                </c:pt>
                <c:pt idx="658">
                  <c:v>02/02/2026 12:15</c:v>
                </c:pt>
                <c:pt idx="659">
                  <c:v>02/02/2026 12:30</c:v>
                </c:pt>
                <c:pt idx="660">
                  <c:v>02/02/2026 12:45</c:v>
                </c:pt>
                <c:pt idx="661">
                  <c:v>02/02/2026 13:00</c:v>
                </c:pt>
                <c:pt idx="662">
                  <c:v>02/02/2026 13:15</c:v>
                </c:pt>
                <c:pt idx="663">
                  <c:v>02/02/2026 13:30</c:v>
                </c:pt>
                <c:pt idx="664">
                  <c:v>02/02/2026 13:45</c:v>
                </c:pt>
                <c:pt idx="665">
                  <c:v>02/02/2026 14:00</c:v>
                </c:pt>
                <c:pt idx="666">
                  <c:v>02/02/2026 14:15</c:v>
                </c:pt>
                <c:pt idx="667">
                  <c:v>02/02/2026 14:30</c:v>
                </c:pt>
                <c:pt idx="668">
                  <c:v>02/02/2026 14:45</c:v>
                </c:pt>
                <c:pt idx="669">
                  <c:v>02/02/2026 15:00</c:v>
                </c:pt>
                <c:pt idx="670">
                  <c:v>02/02/2026 15:15</c:v>
                </c:pt>
                <c:pt idx="671">
                  <c:v>02/02/2026 15:30</c:v>
                </c:pt>
                <c:pt idx="672">
                  <c:v>02/02/2026 15:45</c:v>
                </c:pt>
                <c:pt idx="673">
                  <c:v>02/02/2026 16:00</c:v>
                </c:pt>
                <c:pt idx="674">
                  <c:v>02/02/2026 16:15</c:v>
                </c:pt>
                <c:pt idx="675">
                  <c:v>02/02/2026 16:30</c:v>
                </c:pt>
                <c:pt idx="676">
                  <c:v>02/02/2026 16:45</c:v>
                </c:pt>
                <c:pt idx="677">
                  <c:v>02/02/2026 17:00</c:v>
                </c:pt>
                <c:pt idx="678">
                  <c:v>02/02/2026 17:15</c:v>
                </c:pt>
                <c:pt idx="679">
                  <c:v>02/02/2026 17:30</c:v>
                </c:pt>
                <c:pt idx="680">
                  <c:v>02/02/2026 17:45</c:v>
                </c:pt>
                <c:pt idx="681">
                  <c:v>02/02/2026 18:00</c:v>
                </c:pt>
                <c:pt idx="682">
                  <c:v>02/02/2026 18:15</c:v>
                </c:pt>
                <c:pt idx="683">
                  <c:v>02/02/2026 18:30</c:v>
                </c:pt>
                <c:pt idx="684">
                  <c:v>02/02/2026 18:45</c:v>
                </c:pt>
                <c:pt idx="685">
                  <c:v>02/02/2026 19:00</c:v>
                </c:pt>
                <c:pt idx="686">
                  <c:v>02/02/2026 19:15</c:v>
                </c:pt>
                <c:pt idx="687">
                  <c:v>02/02/2026 19:30</c:v>
                </c:pt>
                <c:pt idx="688">
                  <c:v>02/02/2026 19:45</c:v>
                </c:pt>
                <c:pt idx="689">
                  <c:v>02/02/2026 20:00</c:v>
                </c:pt>
                <c:pt idx="690">
                  <c:v>02/02/2026 20:15</c:v>
                </c:pt>
                <c:pt idx="691">
                  <c:v>02/02/2026 20:30</c:v>
                </c:pt>
                <c:pt idx="692">
                  <c:v>02/02/2026 20:45</c:v>
                </c:pt>
                <c:pt idx="693">
                  <c:v>02/02/2026 21:00</c:v>
                </c:pt>
                <c:pt idx="694">
                  <c:v>02/02/2026 21:15</c:v>
                </c:pt>
                <c:pt idx="695">
                  <c:v>02/02/2026 21:30</c:v>
                </c:pt>
                <c:pt idx="696">
                  <c:v>02/02/2026 21:45</c:v>
                </c:pt>
                <c:pt idx="697">
                  <c:v>02/02/2026 22:00</c:v>
                </c:pt>
                <c:pt idx="698">
                  <c:v>02/02/2026 22:15</c:v>
                </c:pt>
                <c:pt idx="699">
                  <c:v>02/02/2026 22:30</c:v>
                </c:pt>
                <c:pt idx="700">
                  <c:v>02/02/2026 22:45</c:v>
                </c:pt>
                <c:pt idx="701">
                  <c:v>02/02/2026 23:00</c:v>
                </c:pt>
                <c:pt idx="702">
                  <c:v>02/02/2026 23:15</c:v>
                </c:pt>
                <c:pt idx="703">
                  <c:v>02/02/2026 23:30</c:v>
                </c:pt>
                <c:pt idx="704">
                  <c:v>02/02/2026 23:45</c:v>
                </c:pt>
                <c:pt idx="705">
                  <c:v>02/02/2026 24:00</c:v>
                </c:pt>
                <c:pt idx="706">
                  <c:v>03/02/2026 00:15</c:v>
                </c:pt>
                <c:pt idx="707">
                  <c:v>03/02/2026 00:30</c:v>
                </c:pt>
                <c:pt idx="708">
                  <c:v>03/02/2026 00:45</c:v>
                </c:pt>
                <c:pt idx="709">
                  <c:v>03/02/2026 01:00</c:v>
                </c:pt>
                <c:pt idx="710">
                  <c:v>03/02/2026 01:15</c:v>
                </c:pt>
                <c:pt idx="711">
                  <c:v>03/02/2026 01:30</c:v>
                </c:pt>
                <c:pt idx="712">
                  <c:v>03/02/2026 01:45</c:v>
                </c:pt>
                <c:pt idx="713">
                  <c:v>03/02/2026 02:00</c:v>
                </c:pt>
                <c:pt idx="714">
                  <c:v>03/02/2026 02:15</c:v>
                </c:pt>
                <c:pt idx="715">
                  <c:v>03/02/2026 02:30</c:v>
                </c:pt>
                <c:pt idx="716">
                  <c:v>03/02/2026 02:45</c:v>
                </c:pt>
                <c:pt idx="717">
                  <c:v>03/02/2026 03:00</c:v>
                </c:pt>
                <c:pt idx="718">
                  <c:v>03/02/2026 03:15</c:v>
                </c:pt>
                <c:pt idx="719">
                  <c:v>03/02/2026 03:30</c:v>
                </c:pt>
                <c:pt idx="720">
                  <c:v>03/02/2026 03:45</c:v>
                </c:pt>
                <c:pt idx="721">
                  <c:v>03/02/2026 04:00</c:v>
                </c:pt>
                <c:pt idx="722">
                  <c:v>03/02/2026 04:15</c:v>
                </c:pt>
                <c:pt idx="723">
                  <c:v>03/02/2026 04:30</c:v>
                </c:pt>
                <c:pt idx="724">
                  <c:v>03/02/2026 04:45</c:v>
                </c:pt>
                <c:pt idx="725">
                  <c:v>03/02/2026 05:00</c:v>
                </c:pt>
                <c:pt idx="726">
                  <c:v>03/02/2026 05:15</c:v>
                </c:pt>
                <c:pt idx="727">
                  <c:v>03/02/2026 05:30</c:v>
                </c:pt>
                <c:pt idx="728">
                  <c:v>03/02/2026 05:45</c:v>
                </c:pt>
                <c:pt idx="729">
                  <c:v>03/02/2026 06:00</c:v>
                </c:pt>
                <c:pt idx="730">
                  <c:v>03/02/2026 06:15</c:v>
                </c:pt>
                <c:pt idx="731">
                  <c:v>03/02/2026 06:30</c:v>
                </c:pt>
                <c:pt idx="732">
                  <c:v>03/02/2026 06:45</c:v>
                </c:pt>
                <c:pt idx="733">
                  <c:v>03/02/2026 07:00</c:v>
                </c:pt>
                <c:pt idx="734">
                  <c:v>03/02/2026 07:15</c:v>
                </c:pt>
                <c:pt idx="735">
                  <c:v>03/02/2026 07:30</c:v>
                </c:pt>
                <c:pt idx="736">
                  <c:v>03/02/2026 07:45</c:v>
                </c:pt>
                <c:pt idx="737">
                  <c:v>03/02/2026 08:00</c:v>
                </c:pt>
                <c:pt idx="738">
                  <c:v>03/02/2026 08:15</c:v>
                </c:pt>
                <c:pt idx="739">
                  <c:v>03/02/2026 08:30</c:v>
                </c:pt>
                <c:pt idx="740">
                  <c:v>03/02/2026 08:45</c:v>
                </c:pt>
                <c:pt idx="741">
                  <c:v>03/02/2026 09:00</c:v>
                </c:pt>
                <c:pt idx="742">
                  <c:v>03/02/2026 09:15</c:v>
                </c:pt>
                <c:pt idx="743">
                  <c:v>03/02/2026 09:30</c:v>
                </c:pt>
                <c:pt idx="744">
                  <c:v>03/02/2026 09:45</c:v>
                </c:pt>
                <c:pt idx="745">
                  <c:v>03/02/2026 10:00</c:v>
                </c:pt>
                <c:pt idx="746">
                  <c:v>03/02/2026 10:15</c:v>
                </c:pt>
                <c:pt idx="747">
                  <c:v>03/02/2026 10:30</c:v>
                </c:pt>
                <c:pt idx="748">
                  <c:v>03/02/2026 10:45</c:v>
                </c:pt>
                <c:pt idx="749">
                  <c:v>03/02/2026 11:00</c:v>
                </c:pt>
                <c:pt idx="750">
                  <c:v>03/02/2026 11:15</c:v>
                </c:pt>
                <c:pt idx="751">
                  <c:v>03/02/2026 11:30</c:v>
                </c:pt>
                <c:pt idx="752">
                  <c:v>03/02/2026 11:45</c:v>
                </c:pt>
                <c:pt idx="753">
                  <c:v>03/02/2026 12:00</c:v>
                </c:pt>
                <c:pt idx="754">
                  <c:v>03/02/2026 12:15</c:v>
                </c:pt>
                <c:pt idx="755">
                  <c:v>03/02/2026 12:30</c:v>
                </c:pt>
                <c:pt idx="756">
                  <c:v>03/02/2026 12:45</c:v>
                </c:pt>
                <c:pt idx="757">
                  <c:v>03/02/2026 13:00</c:v>
                </c:pt>
                <c:pt idx="758">
                  <c:v>03/02/2026 13:15</c:v>
                </c:pt>
                <c:pt idx="759">
                  <c:v>03/02/2026 13:30</c:v>
                </c:pt>
                <c:pt idx="760">
                  <c:v>03/02/2026 13:45</c:v>
                </c:pt>
                <c:pt idx="761">
                  <c:v>03/02/2026 14:00</c:v>
                </c:pt>
                <c:pt idx="762">
                  <c:v>03/02/2026 14:15</c:v>
                </c:pt>
                <c:pt idx="763">
                  <c:v>03/02/2026 14:30</c:v>
                </c:pt>
                <c:pt idx="764">
                  <c:v>03/02/2026 14:45</c:v>
                </c:pt>
                <c:pt idx="765">
                  <c:v>03/02/2026 15:00</c:v>
                </c:pt>
                <c:pt idx="766">
                  <c:v>03/02/2026 15:15</c:v>
                </c:pt>
                <c:pt idx="767">
                  <c:v>03/02/2026 15:30</c:v>
                </c:pt>
                <c:pt idx="768">
                  <c:v>03/02/2026 15:45</c:v>
                </c:pt>
                <c:pt idx="769">
                  <c:v>03/02/2026 16:00</c:v>
                </c:pt>
                <c:pt idx="770">
                  <c:v>03/02/2026 16:15</c:v>
                </c:pt>
                <c:pt idx="771">
                  <c:v>03/02/2026 16:30</c:v>
                </c:pt>
                <c:pt idx="772">
                  <c:v>03/02/2026 16:45</c:v>
                </c:pt>
                <c:pt idx="773">
                  <c:v>03/02/2026 17:00</c:v>
                </c:pt>
                <c:pt idx="774">
                  <c:v>03/02/2026 17:15</c:v>
                </c:pt>
                <c:pt idx="775">
                  <c:v>03/02/2026 17:30</c:v>
                </c:pt>
                <c:pt idx="776">
                  <c:v>03/02/2026 17:45</c:v>
                </c:pt>
                <c:pt idx="777">
                  <c:v>03/02/2026 18:00</c:v>
                </c:pt>
                <c:pt idx="778">
                  <c:v>03/02/2026 18:15</c:v>
                </c:pt>
                <c:pt idx="779">
                  <c:v>03/02/2026 18:30</c:v>
                </c:pt>
                <c:pt idx="780">
                  <c:v>03/02/2026 18:45</c:v>
                </c:pt>
                <c:pt idx="781">
                  <c:v>03/02/2026 19:00</c:v>
                </c:pt>
                <c:pt idx="782">
                  <c:v>03/02/2026 19:15</c:v>
                </c:pt>
                <c:pt idx="783">
                  <c:v>03/02/2026 19:30</c:v>
                </c:pt>
                <c:pt idx="784">
                  <c:v>03/02/2026 19:45</c:v>
                </c:pt>
                <c:pt idx="785">
                  <c:v>03/02/2026 20:00</c:v>
                </c:pt>
                <c:pt idx="786">
                  <c:v>03/02/2026 20:15</c:v>
                </c:pt>
                <c:pt idx="787">
                  <c:v>03/02/2026 20:30</c:v>
                </c:pt>
                <c:pt idx="788">
                  <c:v>03/02/2026 20:45</c:v>
                </c:pt>
                <c:pt idx="789">
                  <c:v>03/02/2026 21:00</c:v>
                </c:pt>
                <c:pt idx="790">
                  <c:v>03/02/2026 21:15</c:v>
                </c:pt>
                <c:pt idx="791">
                  <c:v>03/02/2026 21:30</c:v>
                </c:pt>
                <c:pt idx="792">
                  <c:v>03/02/2026 21:45</c:v>
                </c:pt>
                <c:pt idx="793">
                  <c:v>03/02/2026 22:00</c:v>
                </c:pt>
                <c:pt idx="794">
                  <c:v>03/02/2026 22:15</c:v>
                </c:pt>
                <c:pt idx="795">
                  <c:v>03/02/2026 22:30</c:v>
                </c:pt>
                <c:pt idx="796">
                  <c:v>03/02/2026 22:45</c:v>
                </c:pt>
                <c:pt idx="797">
                  <c:v>03/02/2026 23:00</c:v>
                </c:pt>
                <c:pt idx="798">
                  <c:v>03/02/2026 23:15</c:v>
                </c:pt>
                <c:pt idx="799">
                  <c:v>03/02/2026 23:30</c:v>
                </c:pt>
                <c:pt idx="800">
                  <c:v>03/02/2026 23:45</c:v>
                </c:pt>
                <c:pt idx="801">
                  <c:v>03/02/2026 24:00</c:v>
                </c:pt>
                <c:pt idx="802">
                  <c:v>04/02/2026 00:15</c:v>
                </c:pt>
                <c:pt idx="803">
                  <c:v>04/02/2026 00:30</c:v>
                </c:pt>
                <c:pt idx="804">
                  <c:v>04/02/2026 00:45</c:v>
                </c:pt>
                <c:pt idx="805">
                  <c:v>04/02/2026 01:00</c:v>
                </c:pt>
                <c:pt idx="806">
                  <c:v>04/02/2026 01:15</c:v>
                </c:pt>
                <c:pt idx="807">
                  <c:v>04/02/2026 01:30</c:v>
                </c:pt>
                <c:pt idx="808">
                  <c:v>04/02/2026 01:45</c:v>
                </c:pt>
                <c:pt idx="809">
                  <c:v>04/02/2026 02:00</c:v>
                </c:pt>
                <c:pt idx="810">
                  <c:v>04/02/2026 02:15</c:v>
                </c:pt>
                <c:pt idx="811">
                  <c:v>04/02/2026 02:30</c:v>
                </c:pt>
                <c:pt idx="812">
                  <c:v>04/02/2026 02:45</c:v>
                </c:pt>
                <c:pt idx="813">
                  <c:v>04/02/2026 03:00</c:v>
                </c:pt>
                <c:pt idx="814">
                  <c:v>04/02/2026 03:15</c:v>
                </c:pt>
                <c:pt idx="815">
                  <c:v>04/02/2026 03:30</c:v>
                </c:pt>
                <c:pt idx="816">
                  <c:v>04/02/2026 03:45</c:v>
                </c:pt>
                <c:pt idx="817">
                  <c:v>04/02/2026 04:00</c:v>
                </c:pt>
                <c:pt idx="818">
                  <c:v>04/02/2026 04:15</c:v>
                </c:pt>
                <c:pt idx="819">
                  <c:v>04/02/2026 04:30</c:v>
                </c:pt>
                <c:pt idx="820">
                  <c:v>04/02/2026 04:45</c:v>
                </c:pt>
                <c:pt idx="821">
                  <c:v>04/02/2026 05:00</c:v>
                </c:pt>
                <c:pt idx="822">
                  <c:v>04/02/2026 05:15</c:v>
                </c:pt>
                <c:pt idx="823">
                  <c:v>04/02/2026 05:30</c:v>
                </c:pt>
                <c:pt idx="824">
                  <c:v>04/02/2026 05:45</c:v>
                </c:pt>
                <c:pt idx="825">
                  <c:v>04/02/2026 06:00</c:v>
                </c:pt>
                <c:pt idx="826">
                  <c:v>04/02/2026 06:15</c:v>
                </c:pt>
                <c:pt idx="827">
                  <c:v>04/02/2026 06:30</c:v>
                </c:pt>
                <c:pt idx="828">
                  <c:v>04/02/2026 06:45</c:v>
                </c:pt>
                <c:pt idx="829">
                  <c:v>04/02/2026 07:00</c:v>
                </c:pt>
                <c:pt idx="830">
                  <c:v>04/02/2026 07:15</c:v>
                </c:pt>
                <c:pt idx="831">
                  <c:v>04/02/2026 07:30</c:v>
                </c:pt>
                <c:pt idx="832">
                  <c:v>04/02/2026 07:45</c:v>
                </c:pt>
                <c:pt idx="833">
                  <c:v>04/02/2026 08:00</c:v>
                </c:pt>
                <c:pt idx="834">
                  <c:v>04/02/2026 08:15</c:v>
                </c:pt>
                <c:pt idx="835">
                  <c:v>04/02/2026 08:30</c:v>
                </c:pt>
                <c:pt idx="836">
                  <c:v>04/02/2026 08:45</c:v>
                </c:pt>
                <c:pt idx="837">
                  <c:v>04/02/2026 09:00</c:v>
                </c:pt>
                <c:pt idx="838">
                  <c:v>04/02/2026 09:15</c:v>
                </c:pt>
                <c:pt idx="839">
                  <c:v>04/02/2026 09:30</c:v>
                </c:pt>
                <c:pt idx="840">
                  <c:v>04/02/2026 09:45</c:v>
                </c:pt>
                <c:pt idx="841">
                  <c:v>04/02/2026 10:00</c:v>
                </c:pt>
                <c:pt idx="842">
                  <c:v>04/02/2026 10:15</c:v>
                </c:pt>
                <c:pt idx="843">
                  <c:v>04/02/2026 10:30</c:v>
                </c:pt>
                <c:pt idx="844">
                  <c:v>04/02/2026 10:45</c:v>
                </c:pt>
                <c:pt idx="845">
                  <c:v>04/02/2026 11:00</c:v>
                </c:pt>
                <c:pt idx="846">
                  <c:v>04/02/2026 11:15</c:v>
                </c:pt>
                <c:pt idx="847">
                  <c:v>04/02/2026 11:30</c:v>
                </c:pt>
                <c:pt idx="848">
                  <c:v>04/02/2026 11:45</c:v>
                </c:pt>
                <c:pt idx="849">
                  <c:v>04/02/2026 12:00</c:v>
                </c:pt>
                <c:pt idx="850">
                  <c:v>04/02/2026 12:15</c:v>
                </c:pt>
                <c:pt idx="851">
                  <c:v>04/02/2026 12:30</c:v>
                </c:pt>
                <c:pt idx="852">
                  <c:v>04/02/2026 12:45</c:v>
                </c:pt>
                <c:pt idx="853">
                  <c:v>04/02/2026 13:00</c:v>
                </c:pt>
                <c:pt idx="854">
                  <c:v>04/02/2026 13:15</c:v>
                </c:pt>
                <c:pt idx="855">
                  <c:v>04/02/2026 13:30</c:v>
                </c:pt>
                <c:pt idx="856">
                  <c:v>04/02/2026 13:45</c:v>
                </c:pt>
                <c:pt idx="857">
                  <c:v>04/02/2026 14:00</c:v>
                </c:pt>
                <c:pt idx="858">
                  <c:v>04/02/2026 14:15</c:v>
                </c:pt>
                <c:pt idx="859">
                  <c:v>04/02/2026 14:30</c:v>
                </c:pt>
                <c:pt idx="860">
                  <c:v>04/02/2026 14:45</c:v>
                </c:pt>
                <c:pt idx="861">
                  <c:v>04/02/2026 15:00</c:v>
                </c:pt>
                <c:pt idx="862">
                  <c:v>04/02/2026 15:15</c:v>
                </c:pt>
                <c:pt idx="863">
                  <c:v>04/02/2026 15:30</c:v>
                </c:pt>
                <c:pt idx="864">
                  <c:v>04/02/2026 15:45</c:v>
                </c:pt>
                <c:pt idx="865">
                  <c:v>04/02/2026 16:00</c:v>
                </c:pt>
                <c:pt idx="866">
                  <c:v>04/02/2026 16:15</c:v>
                </c:pt>
                <c:pt idx="867">
                  <c:v>04/02/2026 16:30</c:v>
                </c:pt>
                <c:pt idx="868">
                  <c:v>04/02/2026 16:45</c:v>
                </c:pt>
                <c:pt idx="869">
                  <c:v>04/02/2026 17:00</c:v>
                </c:pt>
                <c:pt idx="870">
                  <c:v>04/02/2026 17:15</c:v>
                </c:pt>
                <c:pt idx="871">
                  <c:v>04/02/2026 17:30</c:v>
                </c:pt>
                <c:pt idx="872">
                  <c:v>04/02/2026 17:45</c:v>
                </c:pt>
                <c:pt idx="873">
                  <c:v>04/02/2026 18:00</c:v>
                </c:pt>
                <c:pt idx="874">
                  <c:v>04/02/2026 18:15</c:v>
                </c:pt>
                <c:pt idx="875">
                  <c:v>04/02/2026 18:30</c:v>
                </c:pt>
                <c:pt idx="876">
                  <c:v>04/02/2026 18:45</c:v>
                </c:pt>
                <c:pt idx="877">
                  <c:v>04/02/2026 19:00</c:v>
                </c:pt>
                <c:pt idx="878">
                  <c:v>04/02/2026 19:15</c:v>
                </c:pt>
                <c:pt idx="879">
                  <c:v>04/02/2026 19:30</c:v>
                </c:pt>
                <c:pt idx="880">
                  <c:v>04/02/2026 19:45</c:v>
                </c:pt>
                <c:pt idx="881">
                  <c:v>04/02/2026 20:00</c:v>
                </c:pt>
                <c:pt idx="882">
                  <c:v>04/02/2026 20:15</c:v>
                </c:pt>
                <c:pt idx="883">
                  <c:v>04/02/2026 20:30</c:v>
                </c:pt>
                <c:pt idx="884">
                  <c:v>04/02/2026 20:45</c:v>
                </c:pt>
                <c:pt idx="885">
                  <c:v>04/02/2026 21:00</c:v>
                </c:pt>
                <c:pt idx="886">
                  <c:v>04/02/2026 21:15</c:v>
                </c:pt>
                <c:pt idx="887">
                  <c:v>04/02/2026 21:30</c:v>
                </c:pt>
                <c:pt idx="888">
                  <c:v>04/02/2026 21:45</c:v>
                </c:pt>
                <c:pt idx="889">
                  <c:v>04/02/2026 22:00</c:v>
                </c:pt>
                <c:pt idx="890">
                  <c:v>04/02/2026 22:15</c:v>
                </c:pt>
                <c:pt idx="891">
                  <c:v>04/02/2026 22:30</c:v>
                </c:pt>
                <c:pt idx="892">
                  <c:v>04/02/2026 22:45</c:v>
                </c:pt>
                <c:pt idx="893">
                  <c:v>04/02/2026 23:00</c:v>
                </c:pt>
                <c:pt idx="894">
                  <c:v>04/02/2026 23:15</c:v>
                </c:pt>
                <c:pt idx="895">
                  <c:v>04/02/2026 23:30</c:v>
                </c:pt>
                <c:pt idx="896">
                  <c:v>04/02/2026 23:45</c:v>
                </c:pt>
                <c:pt idx="897">
                  <c:v>04/02/2026 24:00</c:v>
                </c:pt>
                <c:pt idx="898">
                  <c:v>05/02/2026 00:15</c:v>
                </c:pt>
                <c:pt idx="899">
                  <c:v>05/02/2026 00:30</c:v>
                </c:pt>
                <c:pt idx="900">
                  <c:v>05/02/2026 00:45</c:v>
                </c:pt>
                <c:pt idx="901">
                  <c:v>05/02/2026 01:00</c:v>
                </c:pt>
                <c:pt idx="902">
                  <c:v>05/02/2026 01:15</c:v>
                </c:pt>
                <c:pt idx="903">
                  <c:v>05/02/2026 01:30</c:v>
                </c:pt>
                <c:pt idx="904">
                  <c:v>05/02/2026 01:45</c:v>
                </c:pt>
                <c:pt idx="905">
                  <c:v>05/02/2026 02:00</c:v>
                </c:pt>
                <c:pt idx="906">
                  <c:v>05/02/2026 02:15</c:v>
                </c:pt>
                <c:pt idx="907">
                  <c:v>05/02/2026 02:30</c:v>
                </c:pt>
                <c:pt idx="908">
                  <c:v>05/02/2026 02:45</c:v>
                </c:pt>
                <c:pt idx="909">
                  <c:v>05/02/2026 03:00</c:v>
                </c:pt>
                <c:pt idx="910">
                  <c:v>05/02/2026 03:15</c:v>
                </c:pt>
                <c:pt idx="911">
                  <c:v>05/02/2026 03:30</c:v>
                </c:pt>
                <c:pt idx="912">
                  <c:v>05/02/2026 03:45</c:v>
                </c:pt>
                <c:pt idx="913">
                  <c:v>05/02/2026 04:00</c:v>
                </c:pt>
                <c:pt idx="914">
                  <c:v>05/02/2026 04:15</c:v>
                </c:pt>
                <c:pt idx="915">
                  <c:v>05/02/2026 04:30</c:v>
                </c:pt>
                <c:pt idx="916">
                  <c:v>05/02/2026 04:45</c:v>
                </c:pt>
                <c:pt idx="917">
                  <c:v>05/02/2026 05:00</c:v>
                </c:pt>
                <c:pt idx="918">
                  <c:v>05/02/2026 05:15</c:v>
                </c:pt>
                <c:pt idx="919">
                  <c:v>05/02/2026 05:30</c:v>
                </c:pt>
                <c:pt idx="920">
                  <c:v>05/02/2026 05:45</c:v>
                </c:pt>
                <c:pt idx="921">
                  <c:v>05/02/2026 06:00</c:v>
                </c:pt>
                <c:pt idx="922">
                  <c:v>05/02/2026 06:15</c:v>
                </c:pt>
                <c:pt idx="923">
                  <c:v>05/02/2026 06:30</c:v>
                </c:pt>
                <c:pt idx="924">
                  <c:v>05/02/2026 06:45</c:v>
                </c:pt>
                <c:pt idx="925">
                  <c:v>05/02/2026 07:00</c:v>
                </c:pt>
                <c:pt idx="926">
                  <c:v>05/02/2026 07:15</c:v>
                </c:pt>
                <c:pt idx="927">
                  <c:v>05/02/2026 07:30</c:v>
                </c:pt>
                <c:pt idx="928">
                  <c:v>05/02/2026 07:45</c:v>
                </c:pt>
                <c:pt idx="929">
                  <c:v>05/02/2026 08:00</c:v>
                </c:pt>
                <c:pt idx="930">
                  <c:v>05/02/2026 08:15</c:v>
                </c:pt>
                <c:pt idx="931">
                  <c:v>05/02/2026 08:30</c:v>
                </c:pt>
                <c:pt idx="932">
                  <c:v>05/02/2026 08:45</c:v>
                </c:pt>
                <c:pt idx="933">
                  <c:v>05/02/2026 09:00</c:v>
                </c:pt>
                <c:pt idx="934">
                  <c:v>05/02/2026 09:15</c:v>
                </c:pt>
                <c:pt idx="935">
                  <c:v>05/02/2026 09:30</c:v>
                </c:pt>
                <c:pt idx="936">
                  <c:v>05/02/2026 09:45</c:v>
                </c:pt>
                <c:pt idx="937">
                  <c:v>05/02/2026 10:00</c:v>
                </c:pt>
                <c:pt idx="938">
                  <c:v>05/02/2026 10:15</c:v>
                </c:pt>
                <c:pt idx="939">
                  <c:v>05/02/2026 10:30</c:v>
                </c:pt>
                <c:pt idx="940">
                  <c:v>05/02/2026 10:45</c:v>
                </c:pt>
                <c:pt idx="941">
                  <c:v>05/02/2026 11:00</c:v>
                </c:pt>
                <c:pt idx="942">
                  <c:v>05/02/2026 11:15</c:v>
                </c:pt>
                <c:pt idx="943">
                  <c:v>05/02/2026 11:30</c:v>
                </c:pt>
                <c:pt idx="944">
                  <c:v>05/02/2026 11:45</c:v>
                </c:pt>
                <c:pt idx="945">
                  <c:v>05/02/2026 12:00</c:v>
                </c:pt>
                <c:pt idx="946">
                  <c:v>05/02/2026 12:15</c:v>
                </c:pt>
                <c:pt idx="947">
                  <c:v>05/02/2026 12:30</c:v>
                </c:pt>
                <c:pt idx="948">
                  <c:v>05/02/2026 12:45</c:v>
                </c:pt>
                <c:pt idx="949">
                  <c:v>05/02/2026 13:00</c:v>
                </c:pt>
                <c:pt idx="950">
                  <c:v>05/02/2026 13:15</c:v>
                </c:pt>
                <c:pt idx="951">
                  <c:v>05/02/2026 13:30</c:v>
                </c:pt>
                <c:pt idx="952">
                  <c:v>05/02/2026 13:45</c:v>
                </c:pt>
                <c:pt idx="953">
                  <c:v>05/02/2026 14:00</c:v>
                </c:pt>
                <c:pt idx="954">
                  <c:v>05/02/2026 14:15</c:v>
                </c:pt>
                <c:pt idx="955">
                  <c:v>05/02/2026 14:30</c:v>
                </c:pt>
                <c:pt idx="956">
                  <c:v>05/02/2026 14:45</c:v>
                </c:pt>
                <c:pt idx="957">
                  <c:v>05/02/2026 15:00</c:v>
                </c:pt>
                <c:pt idx="958">
                  <c:v>05/02/2026 15:15</c:v>
                </c:pt>
                <c:pt idx="959">
                  <c:v>05/02/2026 15:30</c:v>
                </c:pt>
                <c:pt idx="960">
                  <c:v>05/02/2026 15:45</c:v>
                </c:pt>
                <c:pt idx="961">
                  <c:v>05/02/2026 16:00</c:v>
                </c:pt>
                <c:pt idx="962">
                  <c:v>05/02/2026 16:15</c:v>
                </c:pt>
                <c:pt idx="963">
                  <c:v>05/02/2026 16:30</c:v>
                </c:pt>
                <c:pt idx="964">
                  <c:v>05/02/2026 16:45</c:v>
                </c:pt>
                <c:pt idx="965">
                  <c:v>05/02/2026 17:00</c:v>
                </c:pt>
                <c:pt idx="966">
                  <c:v>05/02/2026 17:15</c:v>
                </c:pt>
                <c:pt idx="967">
                  <c:v>05/02/2026 17:30</c:v>
                </c:pt>
                <c:pt idx="968">
                  <c:v>05/02/2026 17:45</c:v>
                </c:pt>
                <c:pt idx="969">
                  <c:v>05/02/2026 18:00</c:v>
                </c:pt>
                <c:pt idx="970">
                  <c:v>05/02/2026 18:15</c:v>
                </c:pt>
                <c:pt idx="971">
                  <c:v>05/02/2026 18:30</c:v>
                </c:pt>
                <c:pt idx="972">
                  <c:v>05/02/2026 18:45</c:v>
                </c:pt>
                <c:pt idx="973">
                  <c:v>05/02/2026 19:00</c:v>
                </c:pt>
                <c:pt idx="974">
                  <c:v>05/02/2026 19:15</c:v>
                </c:pt>
                <c:pt idx="975">
                  <c:v>05/02/2026 19:30</c:v>
                </c:pt>
                <c:pt idx="976">
                  <c:v>05/02/2026 19:45</c:v>
                </c:pt>
                <c:pt idx="977">
                  <c:v>05/02/2026 20:00</c:v>
                </c:pt>
                <c:pt idx="978">
                  <c:v>05/02/2026 20:15</c:v>
                </c:pt>
                <c:pt idx="979">
                  <c:v>05/02/2026 20:30</c:v>
                </c:pt>
                <c:pt idx="980">
                  <c:v>05/02/2026 20:45</c:v>
                </c:pt>
                <c:pt idx="981">
                  <c:v>05/02/2026 21:00</c:v>
                </c:pt>
                <c:pt idx="982">
                  <c:v>05/02/2026 21:15</c:v>
                </c:pt>
                <c:pt idx="983">
                  <c:v>05/02/2026 21:30</c:v>
                </c:pt>
                <c:pt idx="984">
                  <c:v>05/02/2026 21:45</c:v>
                </c:pt>
                <c:pt idx="985">
                  <c:v>05/02/2026 22:00</c:v>
                </c:pt>
                <c:pt idx="986">
                  <c:v>05/02/2026 22:15</c:v>
                </c:pt>
                <c:pt idx="987">
                  <c:v>05/02/2026 22:30</c:v>
                </c:pt>
                <c:pt idx="988">
                  <c:v>05/02/2026 22:45</c:v>
                </c:pt>
                <c:pt idx="989">
                  <c:v>05/02/2026 23:00</c:v>
                </c:pt>
                <c:pt idx="990">
                  <c:v>05/02/2026 23:15</c:v>
                </c:pt>
                <c:pt idx="991">
                  <c:v>05/02/2026 23:30</c:v>
                </c:pt>
                <c:pt idx="992">
                  <c:v>05/02/2026 23:45</c:v>
                </c:pt>
                <c:pt idx="993">
                  <c:v>05/02/2026 24:00</c:v>
                </c:pt>
                <c:pt idx="994">
                  <c:v>06/02/2026 00:15</c:v>
                </c:pt>
                <c:pt idx="995">
                  <c:v>06/02/2026 00:30</c:v>
                </c:pt>
                <c:pt idx="996">
                  <c:v>06/02/2026 00:45</c:v>
                </c:pt>
                <c:pt idx="997">
                  <c:v>06/02/2026 01:00</c:v>
                </c:pt>
                <c:pt idx="998">
                  <c:v>06/02/2026 01:15</c:v>
                </c:pt>
                <c:pt idx="999">
                  <c:v>06/02/2026 01:30</c:v>
                </c:pt>
                <c:pt idx="1000">
                  <c:v>06/02/2026 01:45</c:v>
                </c:pt>
                <c:pt idx="1001">
                  <c:v>06/02/2026 02:00</c:v>
                </c:pt>
                <c:pt idx="1002">
                  <c:v>06/02/2026 02:15</c:v>
                </c:pt>
                <c:pt idx="1003">
                  <c:v>06/02/2026 02:30</c:v>
                </c:pt>
                <c:pt idx="1004">
                  <c:v>06/02/2026 02:45</c:v>
                </c:pt>
                <c:pt idx="1005">
                  <c:v>06/02/2026 03:00</c:v>
                </c:pt>
                <c:pt idx="1006">
                  <c:v>06/02/2026 03:15</c:v>
                </c:pt>
                <c:pt idx="1007">
                  <c:v>06/02/2026 03:30</c:v>
                </c:pt>
                <c:pt idx="1008">
                  <c:v>06/02/2026 03:45</c:v>
                </c:pt>
                <c:pt idx="1009">
                  <c:v>06/02/2026 04:00</c:v>
                </c:pt>
                <c:pt idx="1010">
                  <c:v>06/02/2026 04:15</c:v>
                </c:pt>
                <c:pt idx="1011">
                  <c:v>06/02/2026 04:30</c:v>
                </c:pt>
                <c:pt idx="1012">
                  <c:v>06/02/2026 04:45</c:v>
                </c:pt>
                <c:pt idx="1013">
                  <c:v>06/02/2026 05:00</c:v>
                </c:pt>
                <c:pt idx="1014">
                  <c:v>06/02/2026 05:15</c:v>
                </c:pt>
                <c:pt idx="1015">
                  <c:v>06/02/2026 05:30</c:v>
                </c:pt>
                <c:pt idx="1016">
                  <c:v>06/02/2026 05:45</c:v>
                </c:pt>
                <c:pt idx="1017">
                  <c:v>06/02/2026 06:00</c:v>
                </c:pt>
                <c:pt idx="1018">
                  <c:v>06/02/2026 06:15</c:v>
                </c:pt>
                <c:pt idx="1019">
                  <c:v>06/02/2026 06:30</c:v>
                </c:pt>
                <c:pt idx="1020">
                  <c:v>06/02/2026 06:45</c:v>
                </c:pt>
                <c:pt idx="1021">
                  <c:v>06/02/2026 07:00</c:v>
                </c:pt>
                <c:pt idx="1022">
                  <c:v>06/02/2026 07:15</c:v>
                </c:pt>
                <c:pt idx="1023">
                  <c:v>06/02/2026 07:30</c:v>
                </c:pt>
                <c:pt idx="1024">
                  <c:v>06/02/2026 07:45</c:v>
                </c:pt>
                <c:pt idx="1025">
                  <c:v>06/02/2026 08:00</c:v>
                </c:pt>
                <c:pt idx="1026">
                  <c:v>06/02/2026 08:15</c:v>
                </c:pt>
                <c:pt idx="1027">
                  <c:v>06/02/2026 08:30</c:v>
                </c:pt>
                <c:pt idx="1028">
                  <c:v>06/02/2026 08:45</c:v>
                </c:pt>
                <c:pt idx="1029">
                  <c:v>06/02/2026 09:00</c:v>
                </c:pt>
                <c:pt idx="1030">
                  <c:v>06/02/2026 09:15</c:v>
                </c:pt>
                <c:pt idx="1031">
                  <c:v>06/02/2026 09:30</c:v>
                </c:pt>
                <c:pt idx="1032">
                  <c:v>06/02/2026 09:45</c:v>
                </c:pt>
                <c:pt idx="1033">
                  <c:v>06/02/2026 10:00</c:v>
                </c:pt>
                <c:pt idx="1034">
                  <c:v>06/02/2026 10:15</c:v>
                </c:pt>
                <c:pt idx="1035">
                  <c:v>06/02/2026 10:30</c:v>
                </c:pt>
                <c:pt idx="1036">
                  <c:v>06/02/2026 10:45</c:v>
                </c:pt>
                <c:pt idx="1037">
                  <c:v>06/02/2026 11:00</c:v>
                </c:pt>
                <c:pt idx="1038">
                  <c:v>06/02/2026 11:15</c:v>
                </c:pt>
                <c:pt idx="1039">
                  <c:v>06/02/2026 11:30</c:v>
                </c:pt>
                <c:pt idx="1040">
                  <c:v>06/02/2026 11:45</c:v>
                </c:pt>
                <c:pt idx="1041">
                  <c:v>06/02/2026 12:00</c:v>
                </c:pt>
                <c:pt idx="1042">
                  <c:v>06/02/2026 12:15</c:v>
                </c:pt>
                <c:pt idx="1043">
                  <c:v>06/02/2026 12:30</c:v>
                </c:pt>
                <c:pt idx="1044">
                  <c:v>06/02/2026 12:45</c:v>
                </c:pt>
                <c:pt idx="1045">
                  <c:v>06/02/2026 13:00</c:v>
                </c:pt>
                <c:pt idx="1046">
                  <c:v>06/02/2026 13:15</c:v>
                </c:pt>
                <c:pt idx="1047">
                  <c:v>06/02/2026 13:30</c:v>
                </c:pt>
                <c:pt idx="1048">
                  <c:v>06/02/2026 13:45</c:v>
                </c:pt>
                <c:pt idx="1049">
                  <c:v>06/02/2026 14:00</c:v>
                </c:pt>
                <c:pt idx="1050">
                  <c:v>06/02/2026 14:15</c:v>
                </c:pt>
                <c:pt idx="1051">
                  <c:v>06/02/2026 14:30</c:v>
                </c:pt>
                <c:pt idx="1052">
                  <c:v>06/02/2026 14:45</c:v>
                </c:pt>
                <c:pt idx="1053">
                  <c:v>06/02/2026 15:00</c:v>
                </c:pt>
                <c:pt idx="1054">
                  <c:v>06/02/2026 15:15</c:v>
                </c:pt>
                <c:pt idx="1055">
                  <c:v>06/02/2026 15:30</c:v>
                </c:pt>
                <c:pt idx="1056">
                  <c:v>06/02/2026 15:45</c:v>
                </c:pt>
                <c:pt idx="1057">
                  <c:v>06/02/2026 16:00</c:v>
                </c:pt>
                <c:pt idx="1058">
                  <c:v>06/02/2026 16:15</c:v>
                </c:pt>
                <c:pt idx="1059">
                  <c:v>06/02/2026 16:30</c:v>
                </c:pt>
                <c:pt idx="1060">
                  <c:v>06/02/2026 16:45</c:v>
                </c:pt>
                <c:pt idx="1061">
                  <c:v>06/02/2026 17:00</c:v>
                </c:pt>
                <c:pt idx="1062">
                  <c:v>06/02/2026 17:15</c:v>
                </c:pt>
                <c:pt idx="1063">
                  <c:v>06/02/2026 17:30</c:v>
                </c:pt>
                <c:pt idx="1064">
                  <c:v>06/02/2026 17:45</c:v>
                </c:pt>
                <c:pt idx="1065">
                  <c:v>06/02/2026 18:00</c:v>
                </c:pt>
                <c:pt idx="1066">
                  <c:v>06/02/2026 18:15</c:v>
                </c:pt>
                <c:pt idx="1067">
                  <c:v>06/02/2026 18:30</c:v>
                </c:pt>
                <c:pt idx="1068">
                  <c:v>06/02/2026 18:45</c:v>
                </c:pt>
                <c:pt idx="1069">
                  <c:v>06/02/2026 19:00</c:v>
                </c:pt>
                <c:pt idx="1070">
                  <c:v>06/02/2026 19:15</c:v>
                </c:pt>
                <c:pt idx="1071">
                  <c:v>06/02/2026 19:30</c:v>
                </c:pt>
                <c:pt idx="1072">
                  <c:v>06/02/2026 19:45</c:v>
                </c:pt>
                <c:pt idx="1073">
                  <c:v>06/02/2026 20:00</c:v>
                </c:pt>
                <c:pt idx="1074">
                  <c:v>06/02/2026 20:15</c:v>
                </c:pt>
                <c:pt idx="1075">
                  <c:v>06/02/2026 20:30</c:v>
                </c:pt>
                <c:pt idx="1076">
                  <c:v>06/02/2026 20:45</c:v>
                </c:pt>
                <c:pt idx="1077">
                  <c:v>06/02/2026 21:00</c:v>
                </c:pt>
                <c:pt idx="1078">
                  <c:v>06/02/2026 21:15</c:v>
                </c:pt>
                <c:pt idx="1079">
                  <c:v>06/02/2026 21:30</c:v>
                </c:pt>
                <c:pt idx="1080">
                  <c:v>06/02/2026 21:45</c:v>
                </c:pt>
                <c:pt idx="1081">
                  <c:v>06/02/2026 22:00</c:v>
                </c:pt>
                <c:pt idx="1082">
                  <c:v>06/02/2026 22:15</c:v>
                </c:pt>
                <c:pt idx="1083">
                  <c:v>06/02/2026 22:30</c:v>
                </c:pt>
                <c:pt idx="1084">
                  <c:v>06/02/2026 22:45</c:v>
                </c:pt>
                <c:pt idx="1085">
                  <c:v>06/02/2026 23:00</c:v>
                </c:pt>
                <c:pt idx="1086">
                  <c:v>06/02/2026 23:15</c:v>
                </c:pt>
                <c:pt idx="1087">
                  <c:v>06/02/2026 23:30</c:v>
                </c:pt>
                <c:pt idx="1088">
                  <c:v>06/02/2026 23:45</c:v>
                </c:pt>
                <c:pt idx="1089">
                  <c:v>06/02/2026 24:00</c:v>
                </c:pt>
                <c:pt idx="1090">
                  <c:v>07/02/2026 00:15</c:v>
                </c:pt>
                <c:pt idx="1091">
                  <c:v>07/02/2026 00:30</c:v>
                </c:pt>
                <c:pt idx="1092">
                  <c:v>07/02/2026 00:45</c:v>
                </c:pt>
                <c:pt idx="1093">
                  <c:v>07/02/2026 01:00</c:v>
                </c:pt>
                <c:pt idx="1094">
                  <c:v>07/02/2026 01:15</c:v>
                </c:pt>
                <c:pt idx="1095">
                  <c:v>07/02/2026 01:30</c:v>
                </c:pt>
                <c:pt idx="1096">
                  <c:v>07/02/2026 01:45</c:v>
                </c:pt>
                <c:pt idx="1097">
                  <c:v>07/02/2026 02:00</c:v>
                </c:pt>
                <c:pt idx="1098">
                  <c:v>07/02/2026 02:15</c:v>
                </c:pt>
                <c:pt idx="1099">
                  <c:v>07/02/2026 02:30</c:v>
                </c:pt>
                <c:pt idx="1100">
                  <c:v>07/02/2026 02:45</c:v>
                </c:pt>
                <c:pt idx="1101">
                  <c:v>07/02/2026 03:00</c:v>
                </c:pt>
                <c:pt idx="1102">
                  <c:v>07/02/2026 03:15</c:v>
                </c:pt>
                <c:pt idx="1103">
                  <c:v>07/02/2026 03:30</c:v>
                </c:pt>
                <c:pt idx="1104">
                  <c:v>07/02/2026 03:45</c:v>
                </c:pt>
                <c:pt idx="1105">
                  <c:v>07/02/2026 04:00</c:v>
                </c:pt>
                <c:pt idx="1106">
                  <c:v>07/02/2026 04:15</c:v>
                </c:pt>
                <c:pt idx="1107">
                  <c:v>07/02/2026 04:30</c:v>
                </c:pt>
                <c:pt idx="1108">
                  <c:v>07/02/2026 04:45</c:v>
                </c:pt>
                <c:pt idx="1109">
                  <c:v>07/02/2026 05:00</c:v>
                </c:pt>
                <c:pt idx="1110">
                  <c:v>07/02/2026 05:15</c:v>
                </c:pt>
                <c:pt idx="1111">
                  <c:v>07/02/2026 05:30</c:v>
                </c:pt>
                <c:pt idx="1112">
                  <c:v>07/02/2026 05:45</c:v>
                </c:pt>
                <c:pt idx="1113">
                  <c:v>07/02/2026 06:00</c:v>
                </c:pt>
                <c:pt idx="1114">
                  <c:v>07/02/2026 06:15</c:v>
                </c:pt>
                <c:pt idx="1115">
                  <c:v>07/02/2026 06:30</c:v>
                </c:pt>
                <c:pt idx="1116">
                  <c:v>07/02/2026 06:45</c:v>
                </c:pt>
                <c:pt idx="1117">
                  <c:v>07/02/2026 07:00</c:v>
                </c:pt>
                <c:pt idx="1118">
                  <c:v>07/02/2026 07:15</c:v>
                </c:pt>
                <c:pt idx="1119">
                  <c:v>07/02/2026 07:30</c:v>
                </c:pt>
                <c:pt idx="1120">
                  <c:v>07/02/2026 07:45</c:v>
                </c:pt>
                <c:pt idx="1121">
                  <c:v>07/02/2026 08:00</c:v>
                </c:pt>
                <c:pt idx="1122">
                  <c:v>07/02/2026 08:15</c:v>
                </c:pt>
                <c:pt idx="1123">
                  <c:v>07/02/2026 08:30</c:v>
                </c:pt>
                <c:pt idx="1124">
                  <c:v>07/02/2026 08:45</c:v>
                </c:pt>
                <c:pt idx="1125">
                  <c:v>07/02/2026 09:00</c:v>
                </c:pt>
                <c:pt idx="1126">
                  <c:v>07/02/2026 09:15</c:v>
                </c:pt>
                <c:pt idx="1127">
                  <c:v>07/02/2026 09:30</c:v>
                </c:pt>
                <c:pt idx="1128">
                  <c:v>07/02/2026 09:45</c:v>
                </c:pt>
                <c:pt idx="1129">
                  <c:v>07/02/2026 10:00</c:v>
                </c:pt>
                <c:pt idx="1130">
                  <c:v>07/02/2026 10:15</c:v>
                </c:pt>
                <c:pt idx="1131">
                  <c:v>07/02/2026 10:30</c:v>
                </c:pt>
                <c:pt idx="1132">
                  <c:v>07/02/2026 10:45</c:v>
                </c:pt>
                <c:pt idx="1133">
                  <c:v>07/02/2026 11:00</c:v>
                </c:pt>
                <c:pt idx="1134">
                  <c:v>07/02/2026 11:15</c:v>
                </c:pt>
                <c:pt idx="1135">
                  <c:v>07/02/2026 11:30</c:v>
                </c:pt>
                <c:pt idx="1136">
                  <c:v>07/02/2026 11:45</c:v>
                </c:pt>
                <c:pt idx="1137">
                  <c:v>07/02/2026 12:00</c:v>
                </c:pt>
                <c:pt idx="1138">
                  <c:v>07/02/2026 12:15</c:v>
                </c:pt>
                <c:pt idx="1139">
                  <c:v>07/02/2026 12:30</c:v>
                </c:pt>
                <c:pt idx="1140">
                  <c:v>07/02/2026 12:45</c:v>
                </c:pt>
                <c:pt idx="1141">
                  <c:v>07/02/2026 13:00</c:v>
                </c:pt>
                <c:pt idx="1142">
                  <c:v>07/02/2026 13:15</c:v>
                </c:pt>
                <c:pt idx="1143">
                  <c:v>07/02/2026 13:30</c:v>
                </c:pt>
                <c:pt idx="1144">
                  <c:v>07/02/2026 13:45</c:v>
                </c:pt>
                <c:pt idx="1145">
                  <c:v>07/02/2026 14:00</c:v>
                </c:pt>
                <c:pt idx="1146">
                  <c:v>07/02/2026 14:15</c:v>
                </c:pt>
                <c:pt idx="1147">
                  <c:v>07/02/2026 14:30</c:v>
                </c:pt>
                <c:pt idx="1148">
                  <c:v>07/02/2026 14:45</c:v>
                </c:pt>
                <c:pt idx="1149">
                  <c:v>07/02/2026 15:00</c:v>
                </c:pt>
                <c:pt idx="1150">
                  <c:v>07/02/2026 15:15</c:v>
                </c:pt>
                <c:pt idx="1151">
                  <c:v>07/02/2026 15:30</c:v>
                </c:pt>
                <c:pt idx="1152">
                  <c:v>07/02/2026 15:45</c:v>
                </c:pt>
                <c:pt idx="1153">
                  <c:v>07/02/2026 16:00</c:v>
                </c:pt>
                <c:pt idx="1154">
                  <c:v>07/02/2026 16:15</c:v>
                </c:pt>
                <c:pt idx="1155">
                  <c:v>07/02/2026 16:30</c:v>
                </c:pt>
                <c:pt idx="1156">
                  <c:v>07/02/2026 16:45</c:v>
                </c:pt>
                <c:pt idx="1157">
                  <c:v>07/02/2026 17:00</c:v>
                </c:pt>
                <c:pt idx="1158">
                  <c:v>07/02/2026 17:15</c:v>
                </c:pt>
                <c:pt idx="1159">
                  <c:v>07/02/2026 17:30</c:v>
                </c:pt>
                <c:pt idx="1160">
                  <c:v>07/02/2026 17:45</c:v>
                </c:pt>
                <c:pt idx="1161">
                  <c:v>07/02/2026 18:00</c:v>
                </c:pt>
                <c:pt idx="1162">
                  <c:v>07/02/2026 18:15</c:v>
                </c:pt>
                <c:pt idx="1163">
                  <c:v>07/02/2026 18:30</c:v>
                </c:pt>
                <c:pt idx="1164">
                  <c:v>07/02/2026 18:45</c:v>
                </c:pt>
                <c:pt idx="1165">
                  <c:v>07/02/2026 19:00</c:v>
                </c:pt>
                <c:pt idx="1166">
                  <c:v>07/02/2026 19:15</c:v>
                </c:pt>
                <c:pt idx="1167">
                  <c:v>07/02/2026 19:30</c:v>
                </c:pt>
                <c:pt idx="1168">
                  <c:v>07/02/2026 19:45</c:v>
                </c:pt>
                <c:pt idx="1169">
                  <c:v>07/02/2026 20:00</c:v>
                </c:pt>
                <c:pt idx="1170">
                  <c:v>07/02/2026 20:15</c:v>
                </c:pt>
                <c:pt idx="1171">
                  <c:v>07/02/2026 20:30</c:v>
                </c:pt>
                <c:pt idx="1172">
                  <c:v>07/02/2026 20:45</c:v>
                </c:pt>
                <c:pt idx="1173">
                  <c:v>07/02/2026 21:00</c:v>
                </c:pt>
                <c:pt idx="1174">
                  <c:v>07/02/2026 21:15</c:v>
                </c:pt>
                <c:pt idx="1175">
                  <c:v>07/02/2026 21:30</c:v>
                </c:pt>
                <c:pt idx="1176">
                  <c:v>07/02/2026 21:45</c:v>
                </c:pt>
                <c:pt idx="1177">
                  <c:v>07/02/2026 22:00</c:v>
                </c:pt>
                <c:pt idx="1178">
                  <c:v>07/02/2026 22:15</c:v>
                </c:pt>
                <c:pt idx="1179">
                  <c:v>07/02/2026 22:30</c:v>
                </c:pt>
                <c:pt idx="1180">
                  <c:v>07/02/2026 22:45</c:v>
                </c:pt>
                <c:pt idx="1181">
                  <c:v>07/02/2026 23:00</c:v>
                </c:pt>
                <c:pt idx="1182">
                  <c:v>07/02/2026 23:15</c:v>
                </c:pt>
                <c:pt idx="1183">
                  <c:v>07/02/2026 23:30</c:v>
                </c:pt>
                <c:pt idx="1184">
                  <c:v>07/02/2026 23:45</c:v>
                </c:pt>
                <c:pt idx="1185">
                  <c:v>07/02/2026 24:00</c:v>
                </c:pt>
                <c:pt idx="1186">
                  <c:v>08/02/2026 00:15</c:v>
                </c:pt>
                <c:pt idx="1187">
                  <c:v>08/02/2026 00:30</c:v>
                </c:pt>
                <c:pt idx="1188">
                  <c:v>08/02/2026 00:45</c:v>
                </c:pt>
                <c:pt idx="1189">
                  <c:v>08/02/2026 01:00</c:v>
                </c:pt>
                <c:pt idx="1190">
                  <c:v>08/02/2026 01:15</c:v>
                </c:pt>
                <c:pt idx="1191">
                  <c:v>08/02/2026 01:30</c:v>
                </c:pt>
                <c:pt idx="1192">
                  <c:v>08/02/2026 01:45</c:v>
                </c:pt>
                <c:pt idx="1193">
                  <c:v>08/02/2026 02:00</c:v>
                </c:pt>
                <c:pt idx="1194">
                  <c:v>08/02/2026 02:15</c:v>
                </c:pt>
                <c:pt idx="1195">
                  <c:v>08/02/2026 02:30</c:v>
                </c:pt>
                <c:pt idx="1196">
                  <c:v>08/02/2026 02:45</c:v>
                </c:pt>
                <c:pt idx="1197">
                  <c:v>08/02/2026 03:00</c:v>
                </c:pt>
                <c:pt idx="1198">
                  <c:v>08/02/2026 03:15</c:v>
                </c:pt>
                <c:pt idx="1199">
                  <c:v>08/02/2026 03:30</c:v>
                </c:pt>
                <c:pt idx="1200">
                  <c:v>08/02/2026 03:45</c:v>
                </c:pt>
                <c:pt idx="1201">
                  <c:v>08/02/2026 04:00</c:v>
                </c:pt>
                <c:pt idx="1202">
                  <c:v>08/02/2026 04:15</c:v>
                </c:pt>
                <c:pt idx="1203">
                  <c:v>08/02/2026 04:30</c:v>
                </c:pt>
                <c:pt idx="1204">
                  <c:v>08/02/2026 04:45</c:v>
                </c:pt>
                <c:pt idx="1205">
                  <c:v>08/02/2026 05:00</c:v>
                </c:pt>
                <c:pt idx="1206">
                  <c:v>08/02/2026 05:15</c:v>
                </c:pt>
                <c:pt idx="1207">
                  <c:v>08/02/2026 05:30</c:v>
                </c:pt>
                <c:pt idx="1208">
                  <c:v>08/02/2026 05:45</c:v>
                </c:pt>
                <c:pt idx="1209">
                  <c:v>08/02/2026 06:00</c:v>
                </c:pt>
                <c:pt idx="1210">
                  <c:v>08/02/2026 06:15</c:v>
                </c:pt>
                <c:pt idx="1211">
                  <c:v>08/02/2026 06:30</c:v>
                </c:pt>
                <c:pt idx="1212">
                  <c:v>08/02/2026 06:45</c:v>
                </c:pt>
                <c:pt idx="1213">
                  <c:v>08/02/2026 07:00</c:v>
                </c:pt>
                <c:pt idx="1214">
                  <c:v>08/02/2026 07:15</c:v>
                </c:pt>
                <c:pt idx="1215">
                  <c:v>08/02/2026 07:30</c:v>
                </c:pt>
                <c:pt idx="1216">
                  <c:v>08/02/2026 07:45</c:v>
                </c:pt>
                <c:pt idx="1217">
                  <c:v>08/02/2026 08:00</c:v>
                </c:pt>
                <c:pt idx="1218">
                  <c:v>08/02/2026 08:15</c:v>
                </c:pt>
                <c:pt idx="1219">
                  <c:v>08/02/2026 08:30</c:v>
                </c:pt>
                <c:pt idx="1220">
                  <c:v>08/02/2026 08:45</c:v>
                </c:pt>
                <c:pt idx="1221">
                  <c:v>08/02/2026 09:00</c:v>
                </c:pt>
                <c:pt idx="1222">
                  <c:v>08/02/2026 09:15</c:v>
                </c:pt>
                <c:pt idx="1223">
                  <c:v>08/02/2026 09:30</c:v>
                </c:pt>
                <c:pt idx="1224">
                  <c:v>08/02/2026 09:45</c:v>
                </c:pt>
                <c:pt idx="1225">
                  <c:v>08/02/2026 10:00</c:v>
                </c:pt>
                <c:pt idx="1226">
                  <c:v>08/02/2026 10:15</c:v>
                </c:pt>
                <c:pt idx="1227">
                  <c:v>08/02/2026 10:30</c:v>
                </c:pt>
                <c:pt idx="1228">
                  <c:v>08/02/2026 10:45</c:v>
                </c:pt>
                <c:pt idx="1229">
                  <c:v>08/02/2026 11:00</c:v>
                </c:pt>
                <c:pt idx="1230">
                  <c:v>08/02/2026 11:15</c:v>
                </c:pt>
                <c:pt idx="1231">
                  <c:v>08/02/2026 11:30</c:v>
                </c:pt>
                <c:pt idx="1232">
                  <c:v>08/02/2026 11:45</c:v>
                </c:pt>
                <c:pt idx="1233">
                  <c:v>08/02/2026 12:00</c:v>
                </c:pt>
                <c:pt idx="1234">
                  <c:v>08/02/2026 12:15</c:v>
                </c:pt>
                <c:pt idx="1235">
                  <c:v>08/02/2026 12:30</c:v>
                </c:pt>
                <c:pt idx="1236">
                  <c:v>08/02/2026 12:45</c:v>
                </c:pt>
                <c:pt idx="1237">
                  <c:v>08/02/2026 13:00</c:v>
                </c:pt>
                <c:pt idx="1238">
                  <c:v>08/02/2026 13:15</c:v>
                </c:pt>
                <c:pt idx="1239">
                  <c:v>08/02/2026 13:30</c:v>
                </c:pt>
                <c:pt idx="1240">
                  <c:v>08/02/2026 13:45</c:v>
                </c:pt>
                <c:pt idx="1241">
                  <c:v>08/02/2026 14:00</c:v>
                </c:pt>
                <c:pt idx="1242">
                  <c:v>08/02/2026 14:15</c:v>
                </c:pt>
                <c:pt idx="1243">
                  <c:v>08/02/2026 14:30</c:v>
                </c:pt>
                <c:pt idx="1244">
                  <c:v>08/02/2026 14:45</c:v>
                </c:pt>
                <c:pt idx="1245">
                  <c:v>08/02/2026 15:00</c:v>
                </c:pt>
                <c:pt idx="1246">
                  <c:v>08/02/2026 15:15</c:v>
                </c:pt>
                <c:pt idx="1247">
                  <c:v>08/02/2026 15:30</c:v>
                </c:pt>
                <c:pt idx="1248">
                  <c:v>08/02/2026 15:45</c:v>
                </c:pt>
                <c:pt idx="1249">
                  <c:v>08/02/2026 16:00</c:v>
                </c:pt>
                <c:pt idx="1250">
                  <c:v>08/02/2026 16:15</c:v>
                </c:pt>
                <c:pt idx="1251">
                  <c:v>08/02/2026 16:30</c:v>
                </c:pt>
                <c:pt idx="1252">
                  <c:v>08/02/2026 16:45</c:v>
                </c:pt>
                <c:pt idx="1253">
                  <c:v>08/02/2026 17:00</c:v>
                </c:pt>
                <c:pt idx="1254">
                  <c:v>08/02/2026 17:15</c:v>
                </c:pt>
                <c:pt idx="1255">
                  <c:v>08/02/2026 17:30</c:v>
                </c:pt>
                <c:pt idx="1256">
                  <c:v>08/02/2026 17:45</c:v>
                </c:pt>
                <c:pt idx="1257">
                  <c:v>08/02/2026 18:00</c:v>
                </c:pt>
                <c:pt idx="1258">
                  <c:v>08/02/2026 18:15</c:v>
                </c:pt>
                <c:pt idx="1259">
                  <c:v>08/02/2026 18:30</c:v>
                </c:pt>
                <c:pt idx="1260">
                  <c:v>08/02/2026 18:45</c:v>
                </c:pt>
                <c:pt idx="1261">
                  <c:v>08/02/2026 19:00</c:v>
                </c:pt>
                <c:pt idx="1262">
                  <c:v>08/02/2026 19:15</c:v>
                </c:pt>
                <c:pt idx="1263">
                  <c:v>08/02/2026 19:30</c:v>
                </c:pt>
                <c:pt idx="1264">
                  <c:v>08/02/2026 19:45</c:v>
                </c:pt>
                <c:pt idx="1265">
                  <c:v>08/02/2026 20:00</c:v>
                </c:pt>
                <c:pt idx="1266">
                  <c:v>08/02/2026 20:15</c:v>
                </c:pt>
                <c:pt idx="1267">
                  <c:v>08/02/2026 20:30</c:v>
                </c:pt>
                <c:pt idx="1268">
                  <c:v>08/02/2026 20:45</c:v>
                </c:pt>
                <c:pt idx="1269">
                  <c:v>08/02/2026 21:00</c:v>
                </c:pt>
                <c:pt idx="1270">
                  <c:v>08/02/2026 21:15</c:v>
                </c:pt>
                <c:pt idx="1271">
                  <c:v>08/02/2026 21:30</c:v>
                </c:pt>
                <c:pt idx="1272">
                  <c:v>08/02/2026 21:45</c:v>
                </c:pt>
                <c:pt idx="1273">
                  <c:v>08/02/2026 22:00</c:v>
                </c:pt>
                <c:pt idx="1274">
                  <c:v>08/02/2026 22:15</c:v>
                </c:pt>
                <c:pt idx="1275">
                  <c:v>08/02/2026 22:30</c:v>
                </c:pt>
                <c:pt idx="1276">
                  <c:v>08/02/2026 22:45</c:v>
                </c:pt>
                <c:pt idx="1277">
                  <c:v>08/02/2026 23:00</c:v>
                </c:pt>
                <c:pt idx="1278">
                  <c:v>08/02/2026 23:15</c:v>
                </c:pt>
                <c:pt idx="1279">
                  <c:v>08/02/2026 23:30</c:v>
                </c:pt>
                <c:pt idx="1280">
                  <c:v>08/02/2026 23:45</c:v>
                </c:pt>
                <c:pt idx="1281">
                  <c:v>08/02/2026 24:00</c:v>
                </c:pt>
                <c:pt idx="1282">
                  <c:v>09/02/2026 00:15</c:v>
                </c:pt>
                <c:pt idx="1283">
                  <c:v>09/02/2026 00:30</c:v>
                </c:pt>
                <c:pt idx="1284">
                  <c:v>09/02/2026 00:45</c:v>
                </c:pt>
                <c:pt idx="1285">
                  <c:v>09/02/2026 01:00</c:v>
                </c:pt>
                <c:pt idx="1286">
                  <c:v>09/02/2026 01:15</c:v>
                </c:pt>
                <c:pt idx="1287">
                  <c:v>09/02/2026 01:30</c:v>
                </c:pt>
                <c:pt idx="1288">
                  <c:v>09/02/2026 01:45</c:v>
                </c:pt>
                <c:pt idx="1289">
                  <c:v>09/02/2026 02:00</c:v>
                </c:pt>
                <c:pt idx="1290">
                  <c:v>09/02/2026 02:15</c:v>
                </c:pt>
                <c:pt idx="1291">
                  <c:v>09/02/2026 02:30</c:v>
                </c:pt>
                <c:pt idx="1292">
                  <c:v>09/02/2026 02:45</c:v>
                </c:pt>
                <c:pt idx="1293">
                  <c:v>09/02/2026 03:00</c:v>
                </c:pt>
                <c:pt idx="1294">
                  <c:v>09/02/2026 03:15</c:v>
                </c:pt>
                <c:pt idx="1295">
                  <c:v>09/02/2026 03:30</c:v>
                </c:pt>
                <c:pt idx="1296">
                  <c:v>09/02/2026 03:45</c:v>
                </c:pt>
                <c:pt idx="1297">
                  <c:v>09/02/2026 04:00</c:v>
                </c:pt>
                <c:pt idx="1298">
                  <c:v>09/02/2026 04:15</c:v>
                </c:pt>
                <c:pt idx="1299">
                  <c:v>09/02/2026 04:30</c:v>
                </c:pt>
                <c:pt idx="1300">
                  <c:v>09/02/2026 04:45</c:v>
                </c:pt>
                <c:pt idx="1301">
                  <c:v>09/02/2026 05:00</c:v>
                </c:pt>
                <c:pt idx="1302">
                  <c:v>09/02/2026 05:15</c:v>
                </c:pt>
                <c:pt idx="1303">
                  <c:v>09/02/2026 05:30</c:v>
                </c:pt>
                <c:pt idx="1304">
                  <c:v>09/02/2026 05:45</c:v>
                </c:pt>
                <c:pt idx="1305">
                  <c:v>09/02/2026 06:00</c:v>
                </c:pt>
                <c:pt idx="1306">
                  <c:v>09/02/2026 06:15</c:v>
                </c:pt>
                <c:pt idx="1307">
                  <c:v>09/02/2026 06:30</c:v>
                </c:pt>
                <c:pt idx="1308">
                  <c:v>09/02/2026 06:45</c:v>
                </c:pt>
                <c:pt idx="1309">
                  <c:v>09/02/2026 07:00</c:v>
                </c:pt>
                <c:pt idx="1310">
                  <c:v>09/02/2026 07:15</c:v>
                </c:pt>
                <c:pt idx="1311">
                  <c:v>09/02/2026 07:30</c:v>
                </c:pt>
                <c:pt idx="1312">
                  <c:v>09/02/2026 07:45</c:v>
                </c:pt>
                <c:pt idx="1313">
                  <c:v>09/02/2026 08:00</c:v>
                </c:pt>
                <c:pt idx="1314">
                  <c:v>09/02/2026 08:15</c:v>
                </c:pt>
                <c:pt idx="1315">
                  <c:v>09/02/2026 08:30</c:v>
                </c:pt>
                <c:pt idx="1316">
                  <c:v>09/02/2026 08:45</c:v>
                </c:pt>
                <c:pt idx="1317">
                  <c:v>09/02/2026 09:00</c:v>
                </c:pt>
                <c:pt idx="1318">
                  <c:v>09/02/2026 09:15</c:v>
                </c:pt>
                <c:pt idx="1319">
                  <c:v>09/02/2026 09:30</c:v>
                </c:pt>
                <c:pt idx="1320">
                  <c:v>09/02/2026 09:45</c:v>
                </c:pt>
                <c:pt idx="1321">
                  <c:v>09/02/2026 10:00</c:v>
                </c:pt>
                <c:pt idx="1322">
                  <c:v>09/02/2026 10:15</c:v>
                </c:pt>
                <c:pt idx="1323">
                  <c:v>09/02/2026 10:30</c:v>
                </c:pt>
                <c:pt idx="1324">
                  <c:v>09/02/2026 10:45</c:v>
                </c:pt>
                <c:pt idx="1325">
                  <c:v>09/02/2026 11:00</c:v>
                </c:pt>
                <c:pt idx="1326">
                  <c:v>09/02/2026 11:15</c:v>
                </c:pt>
                <c:pt idx="1327">
                  <c:v>09/02/2026 11:30</c:v>
                </c:pt>
                <c:pt idx="1328">
                  <c:v>09/02/2026 11:45</c:v>
                </c:pt>
                <c:pt idx="1329">
                  <c:v>09/02/2026 12:00</c:v>
                </c:pt>
                <c:pt idx="1330">
                  <c:v>09/02/2026 12:15</c:v>
                </c:pt>
                <c:pt idx="1331">
                  <c:v>09/02/2026 12:30</c:v>
                </c:pt>
                <c:pt idx="1332">
                  <c:v>09/02/2026 12:45</c:v>
                </c:pt>
                <c:pt idx="1333">
                  <c:v>09/02/2026 13:00</c:v>
                </c:pt>
                <c:pt idx="1334">
                  <c:v>09/02/2026 13:15</c:v>
                </c:pt>
                <c:pt idx="1335">
                  <c:v>09/02/2026 13:30</c:v>
                </c:pt>
                <c:pt idx="1336">
                  <c:v>09/02/2026 13:45</c:v>
                </c:pt>
                <c:pt idx="1337">
                  <c:v>09/02/2026 14:00</c:v>
                </c:pt>
                <c:pt idx="1338">
                  <c:v>09/02/2026 14:15</c:v>
                </c:pt>
                <c:pt idx="1339">
                  <c:v>09/02/2026 14:30</c:v>
                </c:pt>
                <c:pt idx="1340">
                  <c:v>09/02/2026 14:45</c:v>
                </c:pt>
                <c:pt idx="1341">
                  <c:v>09/02/2026 15:00</c:v>
                </c:pt>
                <c:pt idx="1342">
                  <c:v>09/02/2026 15:15</c:v>
                </c:pt>
                <c:pt idx="1343">
                  <c:v>09/02/2026 15:30</c:v>
                </c:pt>
                <c:pt idx="1344">
                  <c:v>09/02/2026 15:45</c:v>
                </c:pt>
                <c:pt idx="1345">
                  <c:v>09/02/2026 16:00</c:v>
                </c:pt>
                <c:pt idx="1346">
                  <c:v>09/02/2026 16:15</c:v>
                </c:pt>
              </c:strCache>
            </c:strRef>
          </c:xVal>
          <c:yVal>
            <c:numRef>
              <c:f>Comparaison!$C$1:$C$1046</c:f>
              <c:numCache>
                <c:formatCode>0.00</c:formatCode>
                <c:ptCount val="1046"/>
                <c:pt idx="0">
                  <c:v>0</c:v>
                </c:pt>
                <c:pt idx="1">
                  <c:v>2.6766666666666601</c:v>
                </c:pt>
                <c:pt idx="2">
                  <c:v>3.1566666666666601</c:v>
                </c:pt>
                <c:pt idx="3">
                  <c:v>2.1733333333333298</c:v>
                </c:pt>
                <c:pt idx="4">
                  <c:v>2.1566666666666601</c:v>
                </c:pt>
                <c:pt idx="5">
                  <c:v>1.97</c:v>
                </c:pt>
                <c:pt idx="6">
                  <c:v>3.1566666666666601</c:v>
                </c:pt>
                <c:pt idx="7">
                  <c:v>3.0933333333333302</c:v>
                </c:pt>
                <c:pt idx="8">
                  <c:v>3.9466666666666601</c:v>
                </c:pt>
                <c:pt idx="9">
                  <c:v>4.7699999999999898</c:v>
                </c:pt>
                <c:pt idx="10">
                  <c:v>3.79</c:v>
                </c:pt>
                <c:pt idx="11">
                  <c:v>3.5733333333333301</c:v>
                </c:pt>
                <c:pt idx="12">
                  <c:v>3.8966666666666598</c:v>
                </c:pt>
                <c:pt idx="13">
                  <c:v>4.1933333333333298</c:v>
                </c:pt>
                <c:pt idx="14">
                  <c:v>5.7433333333333296</c:v>
                </c:pt>
                <c:pt idx="15">
                  <c:v>6.3566666666666602</c:v>
                </c:pt>
                <c:pt idx="16">
                  <c:v>4.5466666666666598</c:v>
                </c:pt>
                <c:pt idx="17">
                  <c:v>15.646666666666601</c:v>
                </c:pt>
                <c:pt idx="18">
                  <c:v>19.559999999999999</c:v>
                </c:pt>
                <c:pt idx="19">
                  <c:v>20.216666666666601</c:v>
                </c:pt>
                <c:pt idx="20">
                  <c:v>19.8533333333333</c:v>
                </c:pt>
                <c:pt idx="21">
                  <c:v>19.119999999999902</c:v>
                </c:pt>
                <c:pt idx="22">
                  <c:v>12.466666666666599</c:v>
                </c:pt>
                <c:pt idx="23">
                  <c:v>14.8499999999999</c:v>
                </c:pt>
                <c:pt idx="24">
                  <c:v>17.849999999999898</c:v>
                </c:pt>
                <c:pt idx="25">
                  <c:v>18.323333333333299</c:v>
                </c:pt>
                <c:pt idx="26">
                  <c:v>18.286666666666601</c:v>
                </c:pt>
                <c:pt idx="27">
                  <c:v>18.046666666666599</c:v>
                </c:pt>
                <c:pt idx="28">
                  <c:v>18.78</c:v>
                </c:pt>
                <c:pt idx="29">
                  <c:v>14.2866666666666</c:v>
                </c:pt>
                <c:pt idx="30">
                  <c:v>16.77</c:v>
                </c:pt>
                <c:pt idx="31">
                  <c:v>14.0966666666666</c:v>
                </c:pt>
                <c:pt idx="32">
                  <c:v>12.5833333333333</c:v>
                </c:pt>
                <c:pt idx="33">
                  <c:v>9.5633333333333308</c:v>
                </c:pt>
                <c:pt idx="34">
                  <c:v>7.7066666666666599</c:v>
                </c:pt>
                <c:pt idx="35">
                  <c:v>8.8466666666666605</c:v>
                </c:pt>
                <c:pt idx="36">
                  <c:v>9.4533333333333296</c:v>
                </c:pt>
                <c:pt idx="37">
                  <c:v>9.17</c:v>
                </c:pt>
                <c:pt idx="38">
                  <c:v>8.1766666666666605</c:v>
                </c:pt>
                <c:pt idx="39">
                  <c:v>6.36666666666666</c:v>
                </c:pt>
                <c:pt idx="40">
                  <c:v>5.4466666666666601</c:v>
                </c:pt>
                <c:pt idx="41">
                  <c:v>5.32666666666666</c:v>
                </c:pt>
                <c:pt idx="42">
                  <c:v>3.66333333333333</c:v>
                </c:pt>
                <c:pt idx="43">
                  <c:v>3.7366666666666601</c:v>
                </c:pt>
                <c:pt idx="44">
                  <c:v>4.7366666666666601</c:v>
                </c:pt>
                <c:pt idx="45">
                  <c:v>3.62</c:v>
                </c:pt>
                <c:pt idx="46">
                  <c:v>2.7933333333333299</c:v>
                </c:pt>
                <c:pt idx="47">
                  <c:v>2.6466666666666598</c:v>
                </c:pt>
                <c:pt idx="48">
                  <c:v>2.3033333333333301</c:v>
                </c:pt>
                <c:pt idx="49">
                  <c:v>2.7899999999999898</c:v>
                </c:pt>
                <c:pt idx="50">
                  <c:v>2.8766666666666598</c:v>
                </c:pt>
                <c:pt idx="51">
                  <c:v>3.1033333333333299</c:v>
                </c:pt>
                <c:pt idx="52">
                  <c:v>3.03666666666666</c:v>
                </c:pt>
                <c:pt idx="53">
                  <c:v>2.96999999999999</c:v>
                </c:pt>
                <c:pt idx="54">
                  <c:v>4.3033333333333301</c:v>
                </c:pt>
                <c:pt idx="55">
                  <c:v>3.5466666666666602</c:v>
                </c:pt>
                <c:pt idx="56">
                  <c:v>3.8433333333333302</c:v>
                </c:pt>
                <c:pt idx="57">
                  <c:v>3.29</c:v>
                </c:pt>
                <c:pt idx="58">
                  <c:v>3.88</c:v>
                </c:pt>
                <c:pt idx="59">
                  <c:v>3.99</c:v>
                </c:pt>
                <c:pt idx="60">
                  <c:v>3.4666666666666601</c:v>
                </c:pt>
                <c:pt idx="61">
                  <c:v>3.87</c:v>
                </c:pt>
                <c:pt idx="62">
                  <c:v>3.41333333333333</c:v>
                </c:pt>
                <c:pt idx="63">
                  <c:v>3.9833333333333298</c:v>
                </c:pt>
                <c:pt idx="64">
                  <c:v>3.37</c:v>
                </c:pt>
                <c:pt idx="65">
                  <c:v>3.3433333333333302</c:v>
                </c:pt>
                <c:pt idx="66">
                  <c:v>2.9799999999999902</c:v>
                </c:pt>
                <c:pt idx="67">
                  <c:v>1.8099999999999901</c:v>
                </c:pt>
                <c:pt idx="68">
                  <c:v>1.3999999999999899</c:v>
                </c:pt>
                <c:pt idx="69">
                  <c:v>1.7366666666666599</c:v>
                </c:pt>
                <c:pt idx="70">
                  <c:v>1.5166666666666599</c:v>
                </c:pt>
                <c:pt idx="71">
                  <c:v>1.6566666666666601</c:v>
                </c:pt>
                <c:pt idx="72">
                  <c:v>1.41333333333333</c:v>
                </c:pt>
                <c:pt idx="73">
                  <c:v>1.4166666666666601</c:v>
                </c:pt>
                <c:pt idx="74">
                  <c:v>1.8999999999999899</c:v>
                </c:pt>
                <c:pt idx="75">
                  <c:v>2.4966666666666599</c:v>
                </c:pt>
                <c:pt idx="76">
                  <c:v>2.4033333333333302</c:v>
                </c:pt>
                <c:pt idx="77">
                  <c:v>2.96999999999999</c:v>
                </c:pt>
                <c:pt idx="78">
                  <c:v>3.28</c:v>
                </c:pt>
                <c:pt idx="79">
                  <c:v>4.8899999999999997</c:v>
                </c:pt>
                <c:pt idx="80">
                  <c:v>4.0666666666666602</c:v>
                </c:pt>
                <c:pt idx="81">
                  <c:v>4.75</c:v>
                </c:pt>
                <c:pt idx="82">
                  <c:v>6.0933333333333302</c:v>
                </c:pt>
                <c:pt idx="83">
                  <c:v>8.0433333333333294</c:v>
                </c:pt>
                <c:pt idx="84">
                  <c:v>11.133333333333301</c:v>
                </c:pt>
                <c:pt idx="85">
                  <c:v>11.3366666666666</c:v>
                </c:pt>
                <c:pt idx="86">
                  <c:v>10.7666666666666</c:v>
                </c:pt>
                <c:pt idx="87">
                  <c:v>11.136666666666599</c:v>
                </c:pt>
                <c:pt idx="88">
                  <c:v>11.81</c:v>
                </c:pt>
                <c:pt idx="89">
                  <c:v>14.19</c:v>
                </c:pt>
                <c:pt idx="90">
                  <c:v>11.6766666666666</c:v>
                </c:pt>
                <c:pt idx="91">
                  <c:v>13.42</c:v>
                </c:pt>
                <c:pt idx="92">
                  <c:v>16.3666666666666</c:v>
                </c:pt>
                <c:pt idx="93">
                  <c:v>16.283333333333299</c:v>
                </c:pt>
                <c:pt idx="94">
                  <c:v>15.233333333333301</c:v>
                </c:pt>
                <c:pt idx="95">
                  <c:v>15.58</c:v>
                </c:pt>
                <c:pt idx="96">
                  <c:v>15.5266666666666</c:v>
                </c:pt>
                <c:pt idx="97">
                  <c:v>13.386666666666599</c:v>
                </c:pt>
                <c:pt idx="98">
                  <c:v>13.0833333333333</c:v>
                </c:pt>
                <c:pt idx="99">
                  <c:v>14.453333333333299</c:v>
                </c:pt>
                <c:pt idx="100">
                  <c:v>15.01</c:v>
                </c:pt>
                <c:pt idx="101">
                  <c:v>13.329999999999901</c:v>
                </c:pt>
                <c:pt idx="102">
                  <c:v>13.546666666666599</c:v>
                </c:pt>
                <c:pt idx="103">
                  <c:v>14.22</c:v>
                </c:pt>
                <c:pt idx="104">
                  <c:v>14.07</c:v>
                </c:pt>
                <c:pt idx="105">
                  <c:v>12.8533333333333</c:v>
                </c:pt>
                <c:pt idx="106">
                  <c:v>12.1966666666666</c:v>
                </c:pt>
                <c:pt idx="107">
                  <c:v>11.223333333333301</c:v>
                </c:pt>
                <c:pt idx="108">
                  <c:v>9.8699999999999992</c:v>
                </c:pt>
                <c:pt idx="109">
                  <c:v>9.7733333333333299</c:v>
                </c:pt>
                <c:pt idx="110">
                  <c:v>10.627586206896501</c:v>
                </c:pt>
                <c:pt idx="111">
                  <c:v>8.4999999999999893</c:v>
                </c:pt>
                <c:pt idx="112">
                  <c:v>6.4466666666666601</c:v>
                </c:pt>
                <c:pt idx="113">
                  <c:v>6.74482758620689</c:v>
                </c:pt>
                <c:pt idx="114">
                  <c:v>8.2612903225806402</c:v>
                </c:pt>
                <c:pt idx="115">
                  <c:v>7.7566666666666597</c:v>
                </c:pt>
                <c:pt idx="116">
                  <c:v>8.5666666666666593</c:v>
                </c:pt>
                <c:pt idx="117">
                  <c:v>8.2733333333333299</c:v>
                </c:pt>
                <c:pt idx="118">
                  <c:v>5.8466666666666596</c:v>
                </c:pt>
                <c:pt idx="119">
                  <c:v>5.84</c:v>
                </c:pt>
                <c:pt idx="120">
                  <c:v>5.0166666666666604</c:v>
                </c:pt>
                <c:pt idx="121">
                  <c:v>4.86666666666666</c:v>
                </c:pt>
                <c:pt idx="122">
                  <c:v>3.88</c:v>
                </c:pt>
                <c:pt idx="123">
                  <c:v>4.59</c:v>
                </c:pt>
                <c:pt idx="124">
                  <c:v>4.6933333333333298</c:v>
                </c:pt>
                <c:pt idx="125">
                  <c:v>5.0299999999999896</c:v>
                </c:pt>
                <c:pt idx="126">
                  <c:v>4.4366666666666603</c:v>
                </c:pt>
                <c:pt idx="127">
                  <c:v>7.6133333333333297</c:v>
                </c:pt>
                <c:pt idx="128">
                  <c:v>5.0533333333333301</c:v>
                </c:pt>
                <c:pt idx="129">
                  <c:v>4.6766666666666596</c:v>
                </c:pt>
                <c:pt idx="130">
                  <c:v>4.38</c:v>
                </c:pt>
                <c:pt idx="131">
                  <c:v>5.57</c:v>
                </c:pt>
                <c:pt idx="132">
                  <c:v>4.6566666666666601</c:v>
                </c:pt>
                <c:pt idx="133">
                  <c:v>4.2066666666666599</c:v>
                </c:pt>
                <c:pt idx="134">
                  <c:v>2.7766666666666602</c:v>
                </c:pt>
                <c:pt idx="135">
                  <c:v>2.0066666666666602</c:v>
                </c:pt>
                <c:pt idx="136">
                  <c:v>1.6033333333333299</c:v>
                </c:pt>
                <c:pt idx="137">
                  <c:v>1.05666666666666</c:v>
                </c:pt>
                <c:pt idx="138">
                  <c:v>1.9666666666666599</c:v>
                </c:pt>
                <c:pt idx="139">
                  <c:v>2.4700000000000002</c:v>
                </c:pt>
                <c:pt idx="140">
                  <c:v>2.87333333333333</c:v>
                </c:pt>
                <c:pt idx="141">
                  <c:v>0.84666666666666601</c:v>
                </c:pt>
                <c:pt idx="142">
                  <c:v>0.76333333333333298</c:v>
                </c:pt>
                <c:pt idx="143">
                  <c:v>0.543333333333333</c:v>
                </c:pt>
                <c:pt idx="144">
                  <c:v>0.63333333333333297</c:v>
                </c:pt>
                <c:pt idx="145">
                  <c:v>0.61333333333333295</c:v>
                </c:pt>
                <c:pt idx="146">
                  <c:v>0.39333333333333298</c:v>
                </c:pt>
                <c:pt idx="147">
                  <c:v>0.42666666666666597</c:v>
                </c:pt>
                <c:pt idx="148">
                  <c:v>0.41666666666666602</c:v>
                </c:pt>
                <c:pt idx="149">
                  <c:v>0.51666666666666605</c:v>
                </c:pt>
                <c:pt idx="150">
                  <c:v>0.51666666666666605</c:v>
                </c:pt>
                <c:pt idx="151">
                  <c:v>0.43333333333333302</c:v>
                </c:pt>
                <c:pt idx="152">
                  <c:v>0.40333333333333299</c:v>
                </c:pt>
                <c:pt idx="153">
                  <c:v>0.53</c:v>
                </c:pt>
                <c:pt idx="154">
                  <c:v>0.78333333333333299</c:v>
                </c:pt>
                <c:pt idx="155">
                  <c:v>0.69666666666666599</c:v>
                </c:pt>
                <c:pt idx="156">
                  <c:v>0.61666666666666603</c:v>
                </c:pt>
                <c:pt idx="157">
                  <c:v>1.68999999999999</c:v>
                </c:pt>
                <c:pt idx="158">
                  <c:v>1.39333333333333</c:v>
                </c:pt>
                <c:pt idx="159">
                  <c:v>0.80333333333333301</c:v>
                </c:pt>
                <c:pt idx="160">
                  <c:v>0.86333333333333295</c:v>
                </c:pt>
                <c:pt idx="161">
                  <c:v>0.81666666666666599</c:v>
                </c:pt>
                <c:pt idx="162">
                  <c:v>0.94333333333333302</c:v>
                </c:pt>
                <c:pt idx="163">
                  <c:v>1.0899999999999901</c:v>
                </c:pt>
                <c:pt idx="164">
                  <c:v>1.86333333333333</c:v>
                </c:pt>
                <c:pt idx="165">
                  <c:v>1.4066666666666601</c:v>
                </c:pt>
                <c:pt idx="166">
                  <c:v>2.4833333333333298</c:v>
                </c:pt>
                <c:pt idx="167">
                  <c:v>1.75</c:v>
                </c:pt>
                <c:pt idx="168">
                  <c:v>1.9933333333333301</c:v>
                </c:pt>
                <c:pt idx="169">
                  <c:v>2.0833333333333299</c:v>
                </c:pt>
                <c:pt idx="170">
                  <c:v>1.6966666666666601</c:v>
                </c:pt>
                <c:pt idx="171">
                  <c:v>2.08</c:v>
                </c:pt>
                <c:pt idx="172">
                  <c:v>2.0733333333333301</c:v>
                </c:pt>
                <c:pt idx="173">
                  <c:v>1.44333333333333</c:v>
                </c:pt>
                <c:pt idx="174">
                  <c:v>1.79666666666666</c:v>
                </c:pt>
                <c:pt idx="175">
                  <c:v>1.8966666666666601</c:v>
                </c:pt>
                <c:pt idx="176">
                  <c:v>2.42</c:v>
                </c:pt>
                <c:pt idx="177">
                  <c:v>2.3033333333333301</c:v>
                </c:pt>
                <c:pt idx="178">
                  <c:v>1.8966666666666601</c:v>
                </c:pt>
                <c:pt idx="179">
                  <c:v>2.3166666666666602</c:v>
                </c:pt>
                <c:pt idx="180">
                  <c:v>2.1266666666666598</c:v>
                </c:pt>
                <c:pt idx="181">
                  <c:v>2.9466666666666601</c:v>
                </c:pt>
                <c:pt idx="182">
                  <c:v>1.9</c:v>
                </c:pt>
                <c:pt idx="183">
                  <c:v>2.0733333333333301</c:v>
                </c:pt>
                <c:pt idx="184">
                  <c:v>1.1666666666666601</c:v>
                </c:pt>
                <c:pt idx="185">
                  <c:v>1.4199999999999899</c:v>
                </c:pt>
                <c:pt idx="186">
                  <c:v>1.8</c:v>
                </c:pt>
                <c:pt idx="187">
                  <c:v>1.3399999999999901</c:v>
                </c:pt>
                <c:pt idx="188">
                  <c:v>1.4666666666666599</c:v>
                </c:pt>
                <c:pt idx="189">
                  <c:v>1.36333333333333</c:v>
                </c:pt>
                <c:pt idx="190">
                  <c:v>1.8333333333333299</c:v>
                </c:pt>
                <c:pt idx="191">
                  <c:v>1.46999999999999</c:v>
                </c:pt>
                <c:pt idx="192">
                  <c:v>1.25</c:v>
                </c:pt>
                <c:pt idx="193">
                  <c:v>2.0866666666666598</c:v>
                </c:pt>
                <c:pt idx="194">
                  <c:v>1.72999999999999</c:v>
                </c:pt>
                <c:pt idx="195">
                  <c:v>1.6966666666666601</c:v>
                </c:pt>
                <c:pt idx="196">
                  <c:v>1.89333333333333</c:v>
                </c:pt>
                <c:pt idx="197">
                  <c:v>2.6866666666666599</c:v>
                </c:pt>
                <c:pt idx="198">
                  <c:v>2.8633333333333302</c:v>
                </c:pt>
                <c:pt idx="199">
                  <c:v>3.4433333333333298</c:v>
                </c:pt>
                <c:pt idx="200">
                  <c:v>2.5666666666666602</c:v>
                </c:pt>
                <c:pt idx="201">
                  <c:v>3.6499999999999901</c:v>
                </c:pt>
                <c:pt idx="202">
                  <c:v>6.0466666666666598</c:v>
                </c:pt>
                <c:pt idx="203">
                  <c:v>4.0266666666666602</c:v>
                </c:pt>
                <c:pt idx="204">
                  <c:v>4.42</c:v>
                </c:pt>
                <c:pt idx="205">
                  <c:v>3.8133333333333299</c:v>
                </c:pt>
                <c:pt idx="206">
                  <c:v>3.12333333333333</c:v>
                </c:pt>
                <c:pt idx="207">
                  <c:v>2.6566666666666601</c:v>
                </c:pt>
                <c:pt idx="208">
                  <c:v>2.2133333333333298</c:v>
                </c:pt>
                <c:pt idx="209">
                  <c:v>3.8</c:v>
                </c:pt>
                <c:pt idx="210">
                  <c:v>3.7233333333333301</c:v>
                </c:pt>
                <c:pt idx="211">
                  <c:v>3.8833333333333302</c:v>
                </c:pt>
                <c:pt idx="212">
                  <c:v>3.0133333333333301</c:v>
                </c:pt>
                <c:pt idx="213">
                  <c:v>3.03</c:v>
                </c:pt>
                <c:pt idx="214">
                  <c:v>2.72</c:v>
                </c:pt>
                <c:pt idx="215">
                  <c:v>2.9366666666666599</c:v>
                </c:pt>
                <c:pt idx="216">
                  <c:v>2.69</c:v>
                </c:pt>
                <c:pt idx="217">
                  <c:v>2.6099999999999901</c:v>
                </c:pt>
                <c:pt idx="218">
                  <c:v>2.7633333333333301</c:v>
                </c:pt>
                <c:pt idx="219">
                  <c:v>2.6533333333333302</c:v>
                </c:pt>
                <c:pt idx="220">
                  <c:v>2.8</c:v>
                </c:pt>
                <c:pt idx="221">
                  <c:v>2.6533333333333302</c:v>
                </c:pt>
                <c:pt idx="222">
                  <c:v>2.5</c:v>
                </c:pt>
                <c:pt idx="223">
                  <c:v>2.39</c:v>
                </c:pt>
                <c:pt idx="224">
                  <c:v>3.16333333333333</c:v>
                </c:pt>
                <c:pt idx="225">
                  <c:v>2.59666666666666</c:v>
                </c:pt>
                <c:pt idx="226">
                  <c:v>2.66333333333333</c:v>
                </c:pt>
                <c:pt idx="227">
                  <c:v>2.99</c:v>
                </c:pt>
                <c:pt idx="228">
                  <c:v>2.94</c:v>
                </c:pt>
                <c:pt idx="229">
                  <c:v>3.5133333333333301</c:v>
                </c:pt>
                <c:pt idx="230">
                  <c:v>2.5999999999999899</c:v>
                </c:pt>
                <c:pt idx="231">
                  <c:v>3.09666666666666</c:v>
                </c:pt>
                <c:pt idx="232">
                  <c:v>2.9633333333333298</c:v>
                </c:pt>
                <c:pt idx="233">
                  <c:v>3.36666666666666</c:v>
                </c:pt>
                <c:pt idx="234">
                  <c:v>4.5533333333333301</c:v>
                </c:pt>
                <c:pt idx="235">
                  <c:v>3.95333333333333</c:v>
                </c:pt>
                <c:pt idx="236">
                  <c:v>4.8333333333333304</c:v>
                </c:pt>
                <c:pt idx="237">
                  <c:v>3.88</c:v>
                </c:pt>
                <c:pt idx="238">
                  <c:v>3.8566666666666598</c:v>
                </c:pt>
                <c:pt idx="239">
                  <c:v>3.6333333333333302</c:v>
                </c:pt>
                <c:pt idx="240">
                  <c:v>3.5866666666666598</c:v>
                </c:pt>
                <c:pt idx="241">
                  <c:v>3.4266666666666601</c:v>
                </c:pt>
                <c:pt idx="242">
                  <c:v>3.3699999999999899</c:v>
                </c:pt>
                <c:pt idx="243">
                  <c:v>3.07666666666666</c:v>
                </c:pt>
                <c:pt idx="244">
                  <c:v>2.9299999999999899</c:v>
                </c:pt>
                <c:pt idx="245">
                  <c:v>2.5833333333333299</c:v>
                </c:pt>
                <c:pt idx="246">
                  <c:v>3.8533333333333299</c:v>
                </c:pt>
                <c:pt idx="247">
                  <c:v>3.6366666666666601</c:v>
                </c:pt>
                <c:pt idx="248">
                  <c:v>3.3099999999999898</c:v>
                </c:pt>
                <c:pt idx="249">
                  <c:v>3.5466666666666602</c:v>
                </c:pt>
                <c:pt idx="250">
                  <c:v>3.2733333333333299</c:v>
                </c:pt>
                <c:pt idx="251">
                  <c:v>2.9866666666666601</c:v>
                </c:pt>
                <c:pt idx="252">
                  <c:v>4.0133333333333301</c:v>
                </c:pt>
                <c:pt idx="253">
                  <c:v>3.84</c:v>
                </c:pt>
                <c:pt idx="254">
                  <c:v>4.07666666666666</c:v>
                </c:pt>
                <c:pt idx="255">
                  <c:v>4.2366666666666601</c:v>
                </c:pt>
                <c:pt idx="256">
                  <c:v>2.7233333333333301</c:v>
                </c:pt>
                <c:pt idx="257">
                  <c:v>3.2733333333333299</c:v>
                </c:pt>
                <c:pt idx="258">
                  <c:v>3.18</c:v>
                </c:pt>
                <c:pt idx="259">
                  <c:v>3.73999999999999</c:v>
                </c:pt>
                <c:pt idx="260">
                  <c:v>3.56</c:v>
                </c:pt>
                <c:pt idx="261">
                  <c:v>4.9033333333333298</c:v>
                </c:pt>
                <c:pt idx="262">
                  <c:v>4.8499999999999996</c:v>
                </c:pt>
                <c:pt idx="263">
                  <c:v>3.9</c:v>
                </c:pt>
                <c:pt idx="264">
                  <c:v>4.1333333333333302</c:v>
                </c:pt>
                <c:pt idx="265">
                  <c:v>3.95</c:v>
                </c:pt>
                <c:pt idx="266">
                  <c:v>4.0433333333333303</c:v>
                </c:pt>
                <c:pt idx="267">
                  <c:v>3.7833333333333301</c:v>
                </c:pt>
                <c:pt idx="268">
                  <c:v>3.59666666666666</c:v>
                </c:pt>
                <c:pt idx="269">
                  <c:v>2.96999999999999</c:v>
                </c:pt>
                <c:pt idx="270">
                  <c:v>2.4766666666666599</c:v>
                </c:pt>
                <c:pt idx="271">
                  <c:v>2.92</c:v>
                </c:pt>
                <c:pt idx="272">
                  <c:v>3.11666666666666</c:v>
                </c:pt>
                <c:pt idx="273">
                  <c:v>3.5266666666666602</c:v>
                </c:pt>
                <c:pt idx="274">
                  <c:v>3.2466666666666599</c:v>
                </c:pt>
                <c:pt idx="275">
                  <c:v>3.03</c:v>
                </c:pt>
                <c:pt idx="276">
                  <c:v>2.8233333333333301</c:v>
                </c:pt>
                <c:pt idx="277">
                  <c:v>2.14</c:v>
                </c:pt>
                <c:pt idx="278">
                  <c:v>2.42</c:v>
                </c:pt>
                <c:pt idx="279">
                  <c:v>1.87333333333333</c:v>
                </c:pt>
                <c:pt idx="280">
                  <c:v>2.31</c:v>
                </c:pt>
                <c:pt idx="281">
                  <c:v>2.9166666666666599</c:v>
                </c:pt>
                <c:pt idx="282">
                  <c:v>1.77</c:v>
                </c:pt>
                <c:pt idx="283">
                  <c:v>2.05666666666666</c:v>
                </c:pt>
                <c:pt idx="284">
                  <c:v>1.78666666666666</c:v>
                </c:pt>
                <c:pt idx="285">
                  <c:v>1.8199999999999901</c:v>
                </c:pt>
                <c:pt idx="286">
                  <c:v>2.1566666666666601</c:v>
                </c:pt>
                <c:pt idx="287">
                  <c:v>2.2433333333333301</c:v>
                </c:pt>
                <c:pt idx="288">
                  <c:v>2.0499999999999901</c:v>
                </c:pt>
                <c:pt idx="289">
                  <c:v>2.6033333333333299</c:v>
                </c:pt>
                <c:pt idx="290">
                  <c:v>2.2799999999999998</c:v>
                </c:pt>
                <c:pt idx="291">
                  <c:v>3.08</c:v>
                </c:pt>
                <c:pt idx="292">
                  <c:v>2.93</c:v>
                </c:pt>
                <c:pt idx="293">
                  <c:v>3.1766666666666601</c:v>
                </c:pt>
                <c:pt idx="294">
                  <c:v>2.9866666666666601</c:v>
                </c:pt>
                <c:pt idx="295">
                  <c:v>4.86666666666666</c:v>
                </c:pt>
                <c:pt idx="296">
                  <c:v>3.3166666666666602</c:v>
                </c:pt>
                <c:pt idx="297">
                  <c:v>3.6</c:v>
                </c:pt>
                <c:pt idx="298">
                  <c:v>3.5833333333333299</c:v>
                </c:pt>
                <c:pt idx="299">
                  <c:v>3.9866666666666601</c:v>
                </c:pt>
                <c:pt idx="300">
                  <c:v>5.28</c:v>
                </c:pt>
                <c:pt idx="301">
                  <c:v>8.77</c:v>
                </c:pt>
                <c:pt idx="302">
                  <c:v>16.023333333333301</c:v>
                </c:pt>
                <c:pt idx="303">
                  <c:v>11.983333333333301</c:v>
                </c:pt>
                <c:pt idx="304">
                  <c:v>5.43333333333333</c:v>
                </c:pt>
                <c:pt idx="305">
                  <c:v>7.94</c:v>
                </c:pt>
                <c:pt idx="306">
                  <c:v>3.6333333333333302</c:v>
                </c:pt>
                <c:pt idx="307">
                  <c:v>4.9433333333333298</c:v>
                </c:pt>
                <c:pt idx="308">
                  <c:v>10.9266666666666</c:v>
                </c:pt>
                <c:pt idx="309">
                  <c:v>10.723333333333301</c:v>
                </c:pt>
                <c:pt idx="310">
                  <c:v>10.703333333333299</c:v>
                </c:pt>
                <c:pt idx="311">
                  <c:v>8.8000000000000007</c:v>
                </c:pt>
                <c:pt idx="312">
                  <c:v>15.65</c:v>
                </c:pt>
                <c:pt idx="313">
                  <c:v>15.02</c:v>
                </c:pt>
                <c:pt idx="314">
                  <c:v>13.3466666666666</c:v>
                </c:pt>
                <c:pt idx="315">
                  <c:v>14.126666666666599</c:v>
                </c:pt>
                <c:pt idx="316">
                  <c:v>14.5133333333333</c:v>
                </c:pt>
                <c:pt idx="317">
                  <c:v>15.466666666666599</c:v>
                </c:pt>
                <c:pt idx="318">
                  <c:v>19.7</c:v>
                </c:pt>
                <c:pt idx="319">
                  <c:v>22.343333333333302</c:v>
                </c:pt>
                <c:pt idx="320">
                  <c:v>17.8799999999999</c:v>
                </c:pt>
                <c:pt idx="321">
                  <c:v>16.963333333333299</c:v>
                </c:pt>
                <c:pt idx="322">
                  <c:v>12.0033333333333</c:v>
                </c:pt>
                <c:pt idx="323">
                  <c:v>9.0533333333333292</c:v>
                </c:pt>
                <c:pt idx="324">
                  <c:v>7.8733333333333304</c:v>
                </c:pt>
                <c:pt idx="325">
                  <c:v>6.9533333333333296</c:v>
                </c:pt>
                <c:pt idx="326">
                  <c:v>9.02</c:v>
                </c:pt>
                <c:pt idx="327">
                  <c:v>14.3266666666666</c:v>
                </c:pt>
                <c:pt idx="328">
                  <c:v>7.7566666666666597</c:v>
                </c:pt>
                <c:pt idx="329">
                  <c:v>7.3866666666666596</c:v>
                </c:pt>
                <c:pt idx="330">
                  <c:v>7.2833333333333297</c:v>
                </c:pt>
                <c:pt idx="331">
                  <c:v>8.18333333333333</c:v>
                </c:pt>
                <c:pt idx="332">
                  <c:v>5.7299999999999898</c:v>
                </c:pt>
                <c:pt idx="333">
                  <c:v>8.82</c:v>
                </c:pt>
                <c:pt idx="334">
                  <c:v>6.75</c:v>
                </c:pt>
                <c:pt idx="335">
                  <c:v>6.6499999999999897</c:v>
                </c:pt>
                <c:pt idx="336">
                  <c:v>6.34</c:v>
                </c:pt>
                <c:pt idx="337">
                  <c:v>4.9166666666666599</c:v>
                </c:pt>
                <c:pt idx="338">
                  <c:v>4.5833333333333304</c:v>
                </c:pt>
                <c:pt idx="339">
                  <c:v>5.5066666666666597</c:v>
                </c:pt>
                <c:pt idx="340">
                  <c:v>3.7133333333333298</c:v>
                </c:pt>
                <c:pt idx="341">
                  <c:v>4.75</c:v>
                </c:pt>
                <c:pt idx="342">
                  <c:v>3.5499999999999901</c:v>
                </c:pt>
                <c:pt idx="343">
                  <c:v>3.5866666666666598</c:v>
                </c:pt>
                <c:pt idx="344">
                  <c:v>4.83</c:v>
                </c:pt>
                <c:pt idx="345">
                  <c:v>3.7499999999999898</c:v>
                </c:pt>
                <c:pt idx="346">
                  <c:v>3.99</c:v>
                </c:pt>
                <c:pt idx="347">
                  <c:v>4.12</c:v>
                </c:pt>
                <c:pt idx="348">
                  <c:v>2.4366666666666599</c:v>
                </c:pt>
                <c:pt idx="349">
                  <c:v>4.3733333333333304</c:v>
                </c:pt>
                <c:pt idx="350">
                  <c:v>4.6533333333333298</c:v>
                </c:pt>
                <c:pt idx="351">
                  <c:v>3.7533333333333299</c:v>
                </c:pt>
                <c:pt idx="352">
                  <c:v>3.28666666666666</c:v>
                </c:pt>
                <c:pt idx="353">
                  <c:v>4.5333333333333297</c:v>
                </c:pt>
                <c:pt idx="354">
                  <c:v>4.9966666666666599</c:v>
                </c:pt>
                <c:pt idx="355">
                  <c:v>6.4366666666666603</c:v>
                </c:pt>
                <c:pt idx="356">
                  <c:v>4.4366666666666603</c:v>
                </c:pt>
                <c:pt idx="357">
                  <c:v>4.6633333333333304</c:v>
                </c:pt>
                <c:pt idx="358">
                  <c:v>4.9233333333333302</c:v>
                </c:pt>
                <c:pt idx="359">
                  <c:v>3.5666666666666602</c:v>
                </c:pt>
                <c:pt idx="360">
                  <c:v>3.6566666666666601</c:v>
                </c:pt>
                <c:pt idx="361">
                  <c:v>4.3499999999999996</c:v>
                </c:pt>
                <c:pt idx="362">
                  <c:v>3.2333333333333298</c:v>
                </c:pt>
                <c:pt idx="363">
                  <c:v>3.2533333333333299</c:v>
                </c:pt>
                <c:pt idx="364">
                  <c:v>3.03666666666666</c:v>
                </c:pt>
                <c:pt idx="365">
                  <c:v>2.5233333333333299</c:v>
                </c:pt>
                <c:pt idx="366">
                  <c:v>2.2999999999999998</c:v>
                </c:pt>
                <c:pt idx="367">
                  <c:v>2.27</c:v>
                </c:pt>
                <c:pt idx="368">
                  <c:v>2.2466666666666599</c:v>
                </c:pt>
                <c:pt idx="369">
                  <c:v>2.0433333333333299</c:v>
                </c:pt>
                <c:pt idx="370">
                  <c:v>1.28666666666666</c:v>
                </c:pt>
                <c:pt idx="371">
                  <c:v>1.96333333333333</c:v>
                </c:pt>
                <c:pt idx="372">
                  <c:v>2.86</c:v>
                </c:pt>
                <c:pt idx="373">
                  <c:v>2.8033333333333301</c:v>
                </c:pt>
                <c:pt idx="374">
                  <c:v>2.6366666666666601</c:v>
                </c:pt>
                <c:pt idx="375">
                  <c:v>3.61</c:v>
                </c:pt>
                <c:pt idx="376">
                  <c:v>6.4866666666666601</c:v>
                </c:pt>
                <c:pt idx="377">
                  <c:v>5.6566666666666601</c:v>
                </c:pt>
                <c:pt idx="378">
                  <c:v>5.6266666666666598</c:v>
                </c:pt>
                <c:pt idx="379">
                  <c:v>5.3299999999999903</c:v>
                </c:pt>
                <c:pt idx="380">
                  <c:v>5.3966666666666603</c:v>
                </c:pt>
                <c:pt idx="381">
                  <c:v>4.7766666666666602</c:v>
                </c:pt>
                <c:pt idx="382">
                  <c:v>5.7933333333333303</c:v>
                </c:pt>
                <c:pt idx="383">
                  <c:v>6.5733333333333297</c:v>
                </c:pt>
                <c:pt idx="384">
                  <c:v>5.8133333333333299</c:v>
                </c:pt>
                <c:pt idx="385">
                  <c:v>6.55</c:v>
                </c:pt>
                <c:pt idx="386">
                  <c:v>6.9266666666666596</c:v>
                </c:pt>
                <c:pt idx="387">
                  <c:v>8.4466666666666601</c:v>
                </c:pt>
                <c:pt idx="388">
                  <c:v>8.78666666666666</c:v>
                </c:pt>
                <c:pt idx="389">
                  <c:v>10.3366666666666</c:v>
                </c:pt>
                <c:pt idx="390">
                  <c:v>9.5533333333333292</c:v>
                </c:pt>
                <c:pt idx="391">
                  <c:v>8.6466666666666594</c:v>
                </c:pt>
                <c:pt idx="392">
                  <c:v>6.9</c:v>
                </c:pt>
                <c:pt idx="393">
                  <c:v>5.8566666666666602</c:v>
                </c:pt>
                <c:pt idx="394">
                  <c:v>7.4266666666666596</c:v>
                </c:pt>
                <c:pt idx="395">
                  <c:v>11.046666666666599</c:v>
                </c:pt>
                <c:pt idx="396">
                  <c:v>14.6133333333333</c:v>
                </c:pt>
                <c:pt idx="397">
                  <c:v>18.0766666666666</c:v>
                </c:pt>
                <c:pt idx="398">
                  <c:v>20.783333333333299</c:v>
                </c:pt>
                <c:pt idx="399">
                  <c:v>22.569999999999901</c:v>
                </c:pt>
                <c:pt idx="400">
                  <c:v>18.286666666666601</c:v>
                </c:pt>
                <c:pt idx="401">
                  <c:v>18.556666666666601</c:v>
                </c:pt>
                <c:pt idx="402">
                  <c:v>25.146666666666601</c:v>
                </c:pt>
                <c:pt idx="403">
                  <c:v>23.25</c:v>
                </c:pt>
                <c:pt idx="404">
                  <c:v>21.803333333333299</c:v>
                </c:pt>
                <c:pt idx="405">
                  <c:v>22.473333333333301</c:v>
                </c:pt>
                <c:pt idx="406">
                  <c:v>22.959999999999901</c:v>
                </c:pt>
                <c:pt idx="407">
                  <c:v>20.996666666666599</c:v>
                </c:pt>
                <c:pt idx="408">
                  <c:v>17.709999999999901</c:v>
                </c:pt>
                <c:pt idx="409">
                  <c:v>18.876666666666601</c:v>
                </c:pt>
                <c:pt idx="410">
                  <c:v>15.983333333333301</c:v>
                </c:pt>
                <c:pt idx="411">
                  <c:v>16.0766666666666</c:v>
                </c:pt>
                <c:pt idx="412">
                  <c:v>18.803333333333299</c:v>
                </c:pt>
                <c:pt idx="413">
                  <c:v>14.066666666666601</c:v>
                </c:pt>
                <c:pt idx="414">
                  <c:v>15.0366666666666</c:v>
                </c:pt>
                <c:pt idx="415">
                  <c:v>10.0066666666666</c:v>
                </c:pt>
                <c:pt idx="416">
                  <c:v>10.2633333333333</c:v>
                </c:pt>
                <c:pt idx="417">
                  <c:v>13.1933333333333</c:v>
                </c:pt>
                <c:pt idx="418">
                  <c:v>13.1866666666666</c:v>
                </c:pt>
                <c:pt idx="419">
                  <c:v>10.18</c:v>
                </c:pt>
                <c:pt idx="420">
                  <c:v>10.3466666666666</c:v>
                </c:pt>
                <c:pt idx="421">
                  <c:v>10.5233333333333</c:v>
                </c:pt>
                <c:pt idx="422">
                  <c:v>9.5500000000000007</c:v>
                </c:pt>
                <c:pt idx="423">
                  <c:v>8.0466666666666598</c:v>
                </c:pt>
                <c:pt idx="424">
                  <c:v>7.5033333333333303</c:v>
                </c:pt>
                <c:pt idx="425">
                  <c:v>5.9033333333333298</c:v>
                </c:pt>
                <c:pt idx="426">
                  <c:v>6.5733333333333297</c:v>
                </c:pt>
                <c:pt idx="427">
                  <c:v>7.1666666666666599</c:v>
                </c:pt>
                <c:pt idx="428">
                  <c:v>7.78</c:v>
                </c:pt>
                <c:pt idx="429">
                  <c:v>6.2566666666666597</c:v>
                </c:pt>
                <c:pt idx="430">
                  <c:v>6.3066666666666604</c:v>
                </c:pt>
                <c:pt idx="431">
                  <c:v>4.4566666666666599</c:v>
                </c:pt>
                <c:pt idx="432">
                  <c:v>4.9166666666666599</c:v>
                </c:pt>
                <c:pt idx="433">
                  <c:v>4.61666666666666</c:v>
                </c:pt>
                <c:pt idx="434">
                  <c:v>4.43</c:v>
                </c:pt>
                <c:pt idx="435">
                  <c:v>4.13</c:v>
                </c:pt>
                <c:pt idx="436">
                  <c:v>3.3966666666666598</c:v>
                </c:pt>
                <c:pt idx="437">
                  <c:v>3.1466666666666598</c:v>
                </c:pt>
                <c:pt idx="438">
                  <c:v>2.4866666666666601</c:v>
                </c:pt>
                <c:pt idx="439">
                  <c:v>2.3766666666666598</c:v>
                </c:pt>
                <c:pt idx="440">
                  <c:v>2.09</c:v>
                </c:pt>
                <c:pt idx="441">
                  <c:v>2.12</c:v>
                </c:pt>
                <c:pt idx="442">
                  <c:v>1.4166666666666601</c:v>
                </c:pt>
                <c:pt idx="443">
                  <c:v>1.4299999999999899</c:v>
                </c:pt>
                <c:pt idx="444">
                  <c:v>1.90333333333333</c:v>
                </c:pt>
                <c:pt idx="445">
                  <c:v>2.03666666666666</c:v>
                </c:pt>
                <c:pt idx="446">
                  <c:v>2.5166666666666599</c:v>
                </c:pt>
                <c:pt idx="447">
                  <c:v>2.8366666666666598</c:v>
                </c:pt>
                <c:pt idx="448">
                  <c:v>2.7733333333333299</c:v>
                </c:pt>
                <c:pt idx="449">
                  <c:v>4.03666666666666</c:v>
                </c:pt>
                <c:pt idx="450">
                  <c:v>2.8966666666666598</c:v>
                </c:pt>
                <c:pt idx="451">
                  <c:v>3.18333333333333</c:v>
                </c:pt>
                <c:pt idx="452">
                  <c:v>2.7666666666666599</c:v>
                </c:pt>
                <c:pt idx="453">
                  <c:v>2.2766666666666602</c:v>
                </c:pt>
                <c:pt idx="454">
                  <c:v>2.7466666666666599</c:v>
                </c:pt>
                <c:pt idx="455">
                  <c:v>2.7366666666666601</c:v>
                </c:pt>
                <c:pt idx="456">
                  <c:v>1.55666666666666</c:v>
                </c:pt>
                <c:pt idx="457">
                  <c:v>1.5499999999999901</c:v>
                </c:pt>
                <c:pt idx="458">
                  <c:v>1.67333333333333</c:v>
                </c:pt>
                <c:pt idx="459">
                  <c:v>1.9466666666666601</c:v>
                </c:pt>
                <c:pt idx="460">
                  <c:v>2.8333333333333299</c:v>
                </c:pt>
                <c:pt idx="461">
                  <c:v>2.9933333333333301</c:v>
                </c:pt>
                <c:pt idx="462">
                  <c:v>2.7566666666666602</c:v>
                </c:pt>
                <c:pt idx="463">
                  <c:v>3.7433333333333301</c:v>
                </c:pt>
                <c:pt idx="464">
                  <c:v>3.8766666666666598</c:v>
                </c:pt>
                <c:pt idx="465">
                  <c:v>4.25</c:v>
                </c:pt>
                <c:pt idx="466">
                  <c:v>5.3366666666666598</c:v>
                </c:pt>
                <c:pt idx="467">
                  <c:v>5.2833333333333297</c:v>
                </c:pt>
                <c:pt idx="468">
                  <c:v>3.6966666666666601</c:v>
                </c:pt>
                <c:pt idx="469">
                  <c:v>3.3833333333333302</c:v>
                </c:pt>
                <c:pt idx="470">
                  <c:v>2.9933333333333301</c:v>
                </c:pt>
                <c:pt idx="471">
                  <c:v>4.1899999999999897</c:v>
                </c:pt>
                <c:pt idx="472">
                  <c:v>5.36</c:v>
                </c:pt>
                <c:pt idx="473">
                  <c:v>6.2433333333333296</c:v>
                </c:pt>
                <c:pt idx="474">
                  <c:v>6.7166666666666597</c:v>
                </c:pt>
                <c:pt idx="475">
                  <c:v>6.56</c:v>
                </c:pt>
                <c:pt idx="476">
                  <c:v>7.0966666666666596</c:v>
                </c:pt>
                <c:pt idx="477">
                  <c:v>5.59</c:v>
                </c:pt>
                <c:pt idx="478">
                  <c:v>6.3399999999999901</c:v>
                </c:pt>
                <c:pt idx="479">
                  <c:v>6.2233333333333301</c:v>
                </c:pt>
                <c:pt idx="480">
                  <c:v>3.70333333333333</c:v>
                </c:pt>
                <c:pt idx="481">
                  <c:v>5.1733333333333302</c:v>
                </c:pt>
                <c:pt idx="482">
                  <c:v>4.5133333333333301</c:v>
                </c:pt>
                <c:pt idx="483">
                  <c:v>4.6233333333333304</c:v>
                </c:pt>
                <c:pt idx="484">
                  <c:v>4.3899999999999997</c:v>
                </c:pt>
                <c:pt idx="485">
                  <c:v>4.87</c:v>
                </c:pt>
                <c:pt idx="486">
                  <c:v>4.6933333333333298</c:v>
                </c:pt>
                <c:pt idx="487">
                  <c:v>4.2333333333333298</c:v>
                </c:pt>
                <c:pt idx="488">
                  <c:v>5.41</c:v>
                </c:pt>
                <c:pt idx="489">
                  <c:v>5.4599999999999902</c:v>
                </c:pt>
                <c:pt idx="490">
                  <c:v>5.4166666666666599</c:v>
                </c:pt>
                <c:pt idx="491">
                  <c:v>8.0833333333333304</c:v>
                </c:pt>
                <c:pt idx="492">
                  <c:v>9.1633333333333304</c:v>
                </c:pt>
                <c:pt idx="493">
                  <c:v>15.8266666666666</c:v>
                </c:pt>
                <c:pt idx="494">
                  <c:v>20.599999999999898</c:v>
                </c:pt>
                <c:pt idx="495">
                  <c:v>22.976666666666599</c:v>
                </c:pt>
                <c:pt idx="496">
                  <c:v>13.796666666666599</c:v>
                </c:pt>
                <c:pt idx="497">
                  <c:v>8.5399999999999991</c:v>
                </c:pt>
                <c:pt idx="498">
                  <c:v>8.8499999999999908</c:v>
                </c:pt>
                <c:pt idx="499">
                  <c:v>9.8699999999999903</c:v>
                </c:pt>
                <c:pt idx="500">
                  <c:v>9.2933333333333294</c:v>
                </c:pt>
                <c:pt idx="501">
                  <c:v>8.7366666666666593</c:v>
                </c:pt>
                <c:pt idx="502">
                  <c:v>6.9</c:v>
                </c:pt>
                <c:pt idx="503">
                  <c:v>5.4399999999999897</c:v>
                </c:pt>
                <c:pt idx="504">
                  <c:v>4.57666666666666</c:v>
                </c:pt>
                <c:pt idx="505">
                  <c:v>4.6733333333333302</c:v>
                </c:pt>
                <c:pt idx="506">
                  <c:v>4.0033333333333303</c:v>
                </c:pt>
                <c:pt idx="507">
                  <c:v>2.9233333333333298</c:v>
                </c:pt>
                <c:pt idx="508">
                  <c:v>4.5033333333333303</c:v>
                </c:pt>
                <c:pt idx="509">
                  <c:v>3.7899999999999898</c:v>
                </c:pt>
                <c:pt idx="510">
                  <c:v>2.5466666666666602</c:v>
                </c:pt>
                <c:pt idx="511">
                  <c:v>2.7633333333333301</c:v>
                </c:pt>
                <c:pt idx="512">
                  <c:v>2.0499999999999998</c:v>
                </c:pt>
                <c:pt idx="513">
                  <c:v>2.7133333333333298</c:v>
                </c:pt>
                <c:pt idx="514">
                  <c:v>2.63</c:v>
                </c:pt>
                <c:pt idx="515">
                  <c:v>2.3566666666666598</c:v>
                </c:pt>
                <c:pt idx="516">
                  <c:v>2.04</c:v>
                </c:pt>
                <c:pt idx="517">
                  <c:v>2.3099999999999898</c:v>
                </c:pt>
                <c:pt idx="518">
                  <c:v>2.3433333333333302</c:v>
                </c:pt>
                <c:pt idx="519">
                  <c:v>2.16</c:v>
                </c:pt>
                <c:pt idx="520">
                  <c:v>2.41333333333333</c:v>
                </c:pt>
                <c:pt idx="521">
                  <c:v>2.21</c:v>
                </c:pt>
                <c:pt idx="522">
                  <c:v>2.8966666666666598</c:v>
                </c:pt>
                <c:pt idx="523">
                  <c:v>2.0699999999999998</c:v>
                </c:pt>
                <c:pt idx="524">
                  <c:v>3.33</c:v>
                </c:pt>
                <c:pt idx="525">
                  <c:v>3.9933333333333301</c:v>
                </c:pt>
                <c:pt idx="526">
                  <c:v>4.8499999999999996</c:v>
                </c:pt>
                <c:pt idx="527">
                  <c:v>5.7066666666666599</c:v>
                </c:pt>
                <c:pt idx="528">
                  <c:v>7.4233333333333302</c:v>
                </c:pt>
                <c:pt idx="529">
                  <c:v>6.28666666666666</c:v>
                </c:pt>
                <c:pt idx="530">
                  <c:v>5.8866666666666596</c:v>
                </c:pt>
                <c:pt idx="531">
                  <c:v>5.94</c:v>
                </c:pt>
                <c:pt idx="532">
                  <c:v>5.6366666666666596</c:v>
                </c:pt>
                <c:pt idx="533">
                  <c:v>5.3499999999999899</c:v>
                </c:pt>
                <c:pt idx="534">
                  <c:v>4.8766666666666598</c:v>
                </c:pt>
                <c:pt idx="535">
                  <c:v>4.5999999999999899</c:v>
                </c:pt>
                <c:pt idx="536">
                  <c:v>5.5666666666666602</c:v>
                </c:pt>
                <c:pt idx="537">
                  <c:v>5.9099999999999904</c:v>
                </c:pt>
                <c:pt idx="538">
                  <c:v>6.46999999999999</c:v>
                </c:pt>
                <c:pt idx="539">
                  <c:v>7.2066666666666599</c:v>
                </c:pt>
                <c:pt idx="540">
                  <c:v>5.7</c:v>
                </c:pt>
                <c:pt idx="541">
                  <c:v>5.1566666666666601</c:v>
                </c:pt>
                <c:pt idx="542">
                  <c:v>5.69</c:v>
                </c:pt>
                <c:pt idx="543">
                  <c:v>5.7266666666666604</c:v>
                </c:pt>
                <c:pt idx="544">
                  <c:v>6.53</c:v>
                </c:pt>
                <c:pt idx="545">
                  <c:v>4.76</c:v>
                </c:pt>
                <c:pt idx="546">
                  <c:v>7.53666666666666</c:v>
                </c:pt>
                <c:pt idx="547">
                  <c:v>5.8533333333333299</c:v>
                </c:pt>
                <c:pt idx="548">
                  <c:v>4.6666666666666599</c:v>
                </c:pt>
                <c:pt idx="549">
                  <c:v>4.2633333333333301</c:v>
                </c:pt>
                <c:pt idx="550">
                  <c:v>3.64333333333333</c:v>
                </c:pt>
                <c:pt idx="551">
                  <c:v>3.6666666666666599</c:v>
                </c:pt>
                <c:pt idx="552">
                  <c:v>2.7233333333333301</c:v>
                </c:pt>
                <c:pt idx="553">
                  <c:v>3.5533333333333301</c:v>
                </c:pt>
                <c:pt idx="554">
                  <c:v>3.62333333333333</c:v>
                </c:pt>
                <c:pt idx="555">
                  <c:v>2.8399999999999901</c:v>
                </c:pt>
                <c:pt idx="556">
                  <c:v>3.66333333333333</c:v>
                </c:pt>
                <c:pt idx="557">
                  <c:v>3.2133333333333298</c:v>
                </c:pt>
                <c:pt idx="558">
                  <c:v>2.2999999999999998</c:v>
                </c:pt>
                <c:pt idx="559">
                  <c:v>2.9033333333333302</c:v>
                </c:pt>
                <c:pt idx="560">
                  <c:v>2.4300000000000002</c:v>
                </c:pt>
                <c:pt idx="561">
                  <c:v>2.1466666666666598</c:v>
                </c:pt>
                <c:pt idx="562">
                  <c:v>1.9266666666666601</c:v>
                </c:pt>
                <c:pt idx="563">
                  <c:v>1.7066666666666599</c:v>
                </c:pt>
                <c:pt idx="564">
                  <c:v>1.1766666666666601</c:v>
                </c:pt>
                <c:pt idx="565">
                  <c:v>1.1599999999999999</c:v>
                </c:pt>
                <c:pt idx="566">
                  <c:v>0.93333333333333302</c:v>
                </c:pt>
                <c:pt idx="567">
                  <c:v>0.88999999999999901</c:v>
                </c:pt>
                <c:pt idx="568">
                  <c:v>1.0900000000000001</c:v>
                </c:pt>
                <c:pt idx="569">
                  <c:v>1.5</c:v>
                </c:pt>
                <c:pt idx="570">
                  <c:v>1.1366666666666601</c:v>
                </c:pt>
                <c:pt idx="571">
                  <c:v>0.94666666666666599</c:v>
                </c:pt>
                <c:pt idx="572">
                  <c:v>1.13333333333333</c:v>
                </c:pt>
                <c:pt idx="573">
                  <c:v>0.88333333333333297</c:v>
                </c:pt>
                <c:pt idx="574">
                  <c:v>1.6666666666666601</c:v>
                </c:pt>
                <c:pt idx="575">
                  <c:v>1.5333333333333301</c:v>
                </c:pt>
                <c:pt idx="576">
                  <c:v>1.53666666666666</c:v>
                </c:pt>
                <c:pt idx="577">
                  <c:v>1.61333333333333</c:v>
                </c:pt>
                <c:pt idx="578">
                  <c:v>1.38</c:v>
                </c:pt>
                <c:pt idx="579">
                  <c:v>1.44</c:v>
                </c:pt>
                <c:pt idx="580">
                  <c:v>2.65</c:v>
                </c:pt>
                <c:pt idx="581">
                  <c:v>1.6566666666666601</c:v>
                </c:pt>
                <c:pt idx="582">
                  <c:v>1.68</c:v>
                </c:pt>
                <c:pt idx="583">
                  <c:v>1.52</c:v>
                </c:pt>
                <c:pt idx="584">
                  <c:v>2.67</c:v>
                </c:pt>
                <c:pt idx="585">
                  <c:v>2.7666666666666599</c:v>
                </c:pt>
                <c:pt idx="586">
                  <c:v>4.2033333333333296</c:v>
                </c:pt>
                <c:pt idx="587">
                  <c:v>5.0333333333333297</c:v>
                </c:pt>
                <c:pt idx="588">
                  <c:v>3.34666666666666</c:v>
                </c:pt>
                <c:pt idx="589">
                  <c:v>4.7833333333333297</c:v>
                </c:pt>
                <c:pt idx="590">
                  <c:v>5.6066666666666602</c:v>
                </c:pt>
                <c:pt idx="591">
                  <c:v>18.68</c:v>
                </c:pt>
                <c:pt idx="592">
                  <c:v>22.213333333333299</c:v>
                </c:pt>
                <c:pt idx="593">
                  <c:v>16.286666666666601</c:v>
                </c:pt>
                <c:pt idx="594">
                  <c:v>16.3266666666666</c:v>
                </c:pt>
                <c:pt idx="595">
                  <c:v>16.1866666666666</c:v>
                </c:pt>
                <c:pt idx="596">
                  <c:v>20.8266666666666</c:v>
                </c:pt>
                <c:pt idx="597">
                  <c:v>20.023333333333301</c:v>
                </c:pt>
                <c:pt idx="598">
                  <c:v>20.856666666666602</c:v>
                </c:pt>
                <c:pt idx="599">
                  <c:v>21.043333333333301</c:v>
                </c:pt>
                <c:pt idx="600">
                  <c:v>19.8466666666666</c:v>
                </c:pt>
                <c:pt idx="601">
                  <c:v>19.989999999999998</c:v>
                </c:pt>
                <c:pt idx="602">
                  <c:v>20.079999999999998</c:v>
                </c:pt>
                <c:pt idx="603">
                  <c:v>20.6933333333333</c:v>
                </c:pt>
                <c:pt idx="604">
                  <c:v>23.523333333333301</c:v>
                </c:pt>
                <c:pt idx="605">
                  <c:v>19.91</c:v>
                </c:pt>
                <c:pt idx="606">
                  <c:v>34.213333333333303</c:v>
                </c:pt>
                <c:pt idx="607">
                  <c:v>33.056666666666601</c:v>
                </c:pt>
                <c:pt idx="608">
                  <c:v>26.82</c:v>
                </c:pt>
                <c:pt idx="609">
                  <c:v>25.843333333333302</c:v>
                </c:pt>
                <c:pt idx="610">
                  <c:v>30.286666666666601</c:v>
                </c:pt>
                <c:pt idx="611">
                  <c:v>16.53</c:v>
                </c:pt>
                <c:pt idx="612">
                  <c:v>10.9299999999999</c:v>
                </c:pt>
                <c:pt idx="613">
                  <c:v>10.9166666666666</c:v>
                </c:pt>
                <c:pt idx="614">
                  <c:v>10.466666666666599</c:v>
                </c:pt>
                <c:pt idx="615">
                  <c:v>12.0233333333333</c:v>
                </c:pt>
                <c:pt idx="616">
                  <c:v>11.963333333333299</c:v>
                </c:pt>
                <c:pt idx="617">
                  <c:v>8.9266666666666694</c:v>
                </c:pt>
                <c:pt idx="618">
                  <c:v>7.5899999999999901</c:v>
                </c:pt>
                <c:pt idx="619">
                  <c:v>6.4933333333333296</c:v>
                </c:pt>
                <c:pt idx="620">
                  <c:v>7.9866666666666601</c:v>
                </c:pt>
                <c:pt idx="621">
                  <c:v>8.3766666666666598</c:v>
                </c:pt>
                <c:pt idx="622">
                  <c:v>6.82666666666666</c:v>
                </c:pt>
                <c:pt idx="623">
                  <c:v>8.8566666666666602</c:v>
                </c:pt>
                <c:pt idx="624">
                  <c:v>6.8699999999999903</c:v>
                </c:pt>
                <c:pt idx="625">
                  <c:v>9.4600000000000009</c:v>
                </c:pt>
                <c:pt idx="626">
                  <c:v>7.5433333333333303</c:v>
                </c:pt>
                <c:pt idx="627">
                  <c:v>5.9266666666666596</c:v>
                </c:pt>
                <c:pt idx="628">
                  <c:v>6.4366666666666603</c:v>
                </c:pt>
                <c:pt idx="629">
                  <c:v>5.7066666666666599</c:v>
                </c:pt>
                <c:pt idx="630">
                  <c:v>6.8033333333333301</c:v>
                </c:pt>
                <c:pt idx="631">
                  <c:v>8.0233333333333299</c:v>
                </c:pt>
                <c:pt idx="632">
                  <c:v>7.95</c:v>
                </c:pt>
                <c:pt idx="633">
                  <c:v>5.7</c:v>
                </c:pt>
                <c:pt idx="634">
                  <c:v>6.0533333333333301</c:v>
                </c:pt>
                <c:pt idx="635">
                  <c:v>5.8733333333333304</c:v>
                </c:pt>
                <c:pt idx="636">
                  <c:v>5.9666666666666597</c:v>
                </c:pt>
                <c:pt idx="637">
                  <c:v>5.7333333333333298</c:v>
                </c:pt>
                <c:pt idx="638">
                  <c:v>5.7666666666666604</c:v>
                </c:pt>
                <c:pt idx="639">
                  <c:v>7.08</c:v>
                </c:pt>
                <c:pt idx="640">
                  <c:v>7.69</c:v>
                </c:pt>
                <c:pt idx="641">
                  <c:v>7.1899999999999897</c:v>
                </c:pt>
                <c:pt idx="642">
                  <c:v>7.9966666666666599</c:v>
                </c:pt>
                <c:pt idx="643">
                  <c:v>7.5166666666666604</c:v>
                </c:pt>
                <c:pt idx="644">
                  <c:v>8.4766666666666595</c:v>
                </c:pt>
                <c:pt idx="645">
                  <c:v>7.06</c:v>
                </c:pt>
                <c:pt idx="646">
                  <c:v>6.1733333333333302</c:v>
                </c:pt>
                <c:pt idx="647">
                  <c:v>5.1266666666666598</c:v>
                </c:pt>
                <c:pt idx="648">
                  <c:v>5.2133333333333303</c:v>
                </c:pt>
                <c:pt idx="649">
                  <c:v>6.22</c:v>
                </c:pt>
                <c:pt idx="650">
                  <c:v>7.1033333333333299</c:v>
                </c:pt>
                <c:pt idx="651">
                  <c:v>6.1033333333333299</c:v>
                </c:pt>
                <c:pt idx="652">
                  <c:v>6.6299999999999901</c:v>
                </c:pt>
                <c:pt idx="653">
                  <c:v>6.5266666666666602</c:v>
                </c:pt>
                <c:pt idx="654">
                  <c:v>7.36</c:v>
                </c:pt>
                <c:pt idx="655">
                  <c:v>7.39</c:v>
                </c:pt>
                <c:pt idx="656">
                  <c:v>7.3333333333333304</c:v>
                </c:pt>
                <c:pt idx="657">
                  <c:v>7.86</c:v>
                </c:pt>
                <c:pt idx="658">
                  <c:v>7.8533333333333299</c:v>
                </c:pt>
                <c:pt idx="659">
                  <c:v>7.83</c:v>
                </c:pt>
                <c:pt idx="660">
                  <c:v>7.1599999999999904</c:v>
                </c:pt>
                <c:pt idx="661">
                  <c:v>8.2933333333333294</c:v>
                </c:pt>
                <c:pt idx="662">
                  <c:v>8.4066666666666592</c:v>
                </c:pt>
                <c:pt idx="663">
                  <c:v>9.3866666666666596</c:v>
                </c:pt>
                <c:pt idx="664">
                  <c:v>8.2899999999999991</c:v>
                </c:pt>
                <c:pt idx="665">
                  <c:v>9.6233333333333295</c:v>
                </c:pt>
                <c:pt idx="666">
                  <c:v>9.3000000000000007</c:v>
                </c:pt>
                <c:pt idx="667">
                  <c:v>9.77</c:v>
                </c:pt>
                <c:pt idx="668">
                  <c:v>9.2466666666666608</c:v>
                </c:pt>
                <c:pt idx="669">
                  <c:v>10.476666666666601</c:v>
                </c:pt>
                <c:pt idx="670">
                  <c:v>5.9466666666666601</c:v>
                </c:pt>
                <c:pt idx="671">
                  <c:v>5.4666666666666597</c:v>
                </c:pt>
                <c:pt idx="672">
                  <c:v>5.4966666666666599</c:v>
                </c:pt>
                <c:pt idx="673">
                  <c:v>6.0033333333333303</c:v>
                </c:pt>
                <c:pt idx="674">
                  <c:v>4.8533333333333299</c:v>
                </c:pt>
                <c:pt idx="675">
                  <c:v>3.48</c:v>
                </c:pt>
                <c:pt idx="676">
                  <c:v>3.11666666666666</c:v>
                </c:pt>
                <c:pt idx="677">
                  <c:v>4.4633333333333303</c:v>
                </c:pt>
                <c:pt idx="678">
                  <c:v>4.4666666666666597</c:v>
                </c:pt>
                <c:pt idx="679">
                  <c:v>4.3466666666666596</c:v>
                </c:pt>
                <c:pt idx="680">
                  <c:v>4.1866666666666603</c:v>
                </c:pt>
                <c:pt idx="681">
                  <c:v>4.4666666666666597</c:v>
                </c:pt>
                <c:pt idx="682">
                  <c:v>3.68333333333333</c:v>
                </c:pt>
                <c:pt idx="683">
                  <c:v>2.86666666666666</c:v>
                </c:pt>
                <c:pt idx="684">
                  <c:v>3.11666666666666</c:v>
                </c:pt>
                <c:pt idx="685">
                  <c:v>4.43</c:v>
                </c:pt>
                <c:pt idx="686">
                  <c:v>7.18</c:v>
                </c:pt>
                <c:pt idx="687">
                  <c:v>5.9366666666666603</c:v>
                </c:pt>
                <c:pt idx="688">
                  <c:v>10.3533333333333</c:v>
                </c:pt>
                <c:pt idx="689">
                  <c:v>10.3433333333333</c:v>
                </c:pt>
                <c:pt idx="690">
                  <c:v>9.5266666666666602</c:v>
                </c:pt>
                <c:pt idx="691">
                  <c:v>11.1299999999999</c:v>
                </c:pt>
                <c:pt idx="692">
                  <c:v>9.68</c:v>
                </c:pt>
                <c:pt idx="693">
                  <c:v>12.2099999999999</c:v>
                </c:pt>
                <c:pt idx="694">
                  <c:v>9.93</c:v>
                </c:pt>
                <c:pt idx="695">
                  <c:v>14.5266666666666</c:v>
                </c:pt>
                <c:pt idx="696">
                  <c:v>15.236666666666601</c:v>
                </c:pt>
                <c:pt idx="697">
                  <c:v>16.873333333333299</c:v>
                </c:pt>
                <c:pt idx="698">
                  <c:v>16.3333333333333</c:v>
                </c:pt>
                <c:pt idx="699">
                  <c:v>14.98</c:v>
                </c:pt>
                <c:pt idx="700">
                  <c:v>13.8233333333333</c:v>
                </c:pt>
                <c:pt idx="701">
                  <c:v>13.393333333333301</c:v>
                </c:pt>
                <c:pt idx="702">
                  <c:v>13.793333333333299</c:v>
                </c:pt>
                <c:pt idx="703">
                  <c:v>8.0033333333333303</c:v>
                </c:pt>
                <c:pt idx="704">
                  <c:v>13.566666666666601</c:v>
                </c:pt>
                <c:pt idx="705">
                  <c:v>14.706666666666599</c:v>
                </c:pt>
                <c:pt idx="706">
                  <c:v>15.386666666666599</c:v>
                </c:pt>
                <c:pt idx="707">
                  <c:v>13.706666666666599</c:v>
                </c:pt>
                <c:pt idx="708">
                  <c:v>11.3566666666666</c:v>
                </c:pt>
                <c:pt idx="709">
                  <c:v>11.6766666666666</c:v>
                </c:pt>
                <c:pt idx="710">
                  <c:v>15.906666666666601</c:v>
                </c:pt>
                <c:pt idx="711">
                  <c:v>14.39</c:v>
                </c:pt>
                <c:pt idx="712">
                  <c:v>13.0033333333333</c:v>
                </c:pt>
                <c:pt idx="713">
                  <c:v>18.586666666666599</c:v>
                </c:pt>
                <c:pt idx="714">
                  <c:v>12.386666666666599</c:v>
                </c:pt>
                <c:pt idx="715">
                  <c:v>8.9733333333333292</c:v>
                </c:pt>
                <c:pt idx="716">
                  <c:v>11.4233333333333</c:v>
                </c:pt>
                <c:pt idx="717">
                  <c:v>3.0433333333333299</c:v>
                </c:pt>
                <c:pt idx="718">
                  <c:v>1.2233333333333301</c:v>
                </c:pt>
                <c:pt idx="719">
                  <c:v>1.06666666666666</c:v>
                </c:pt>
                <c:pt idx="720">
                  <c:v>0.69333333333333302</c:v>
                </c:pt>
                <c:pt idx="721">
                  <c:v>0.8</c:v>
                </c:pt>
                <c:pt idx="722">
                  <c:v>1.1299999999999999</c:v>
                </c:pt>
                <c:pt idx="723">
                  <c:v>1.0033333333333301</c:v>
                </c:pt>
                <c:pt idx="724">
                  <c:v>1.0899999999999901</c:v>
                </c:pt>
                <c:pt idx="725">
                  <c:v>1.14333333333333</c:v>
                </c:pt>
                <c:pt idx="726">
                  <c:v>1.5066666666666599</c:v>
                </c:pt>
                <c:pt idx="727">
                  <c:v>1.4</c:v>
                </c:pt>
                <c:pt idx="728">
                  <c:v>1.4199999999999899</c:v>
                </c:pt>
                <c:pt idx="729">
                  <c:v>1.7233333333333301</c:v>
                </c:pt>
                <c:pt idx="730">
                  <c:v>1.86666666666666</c:v>
                </c:pt>
                <c:pt idx="731">
                  <c:v>2.09666666666666</c:v>
                </c:pt>
                <c:pt idx="732">
                  <c:v>2.4233333333333298</c:v>
                </c:pt>
                <c:pt idx="733">
                  <c:v>2.5499999999999998</c:v>
                </c:pt>
                <c:pt idx="734">
                  <c:v>2.8366666666666598</c:v>
                </c:pt>
                <c:pt idx="735">
                  <c:v>3.0333333333333301</c:v>
                </c:pt>
                <c:pt idx="736">
                  <c:v>3.7766666666666602</c:v>
                </c:pt>
                <c:pt idx="737">
                  <c:v>4.14333333333333</c:v>
                </c:pt>
                <c:pt idx="738">
                  <c:v>3.27999999999999</c:v>
                </c:pt>
                <c:pt idx="739">
                  <c:v>2.6533333333333302</c:v>
                </c:pt>
                <c:pt idx="740">
                  <c:v>2.3866666666666601</c:v>
                </c:pt>
                <c:pt idx="741">
                  <c:v>2.6133333333333302</c:v>
                </c:pt>
                <c:pt idx="742">
                  <c:v>3.6566666666666601</c:v>
                </c:pt>
                <c:pt idx="743">
                  <c:v>3.49</c:v>
                </c:pt>
                <c:pt idx="744">
                  <c:v>3.53666666666666</c:v>
                </c:pt>
                <c:pt idx="745">
                  <c:v>4.96999999999999</c:v>
                </c:pt>
                <c:pt idx="746">
                  <c:v>5.9999999999999902</c:v>
                </c:pt>
                <c:pt idx="747">
                  <c:v>5.83</c:v>
                </c:pt>
                <c:pt idx="748">
                  <c:v>6.2733333333333299</c:v>
                </c:pt>
                <c:pt idx="749">
                  <c:v>6.11</c:v>
                </c:pt>
                <c:pt idx="750">
                  <c:v>3.68333333333333</c:v>
                </c:pt>
                <c:pt idx="751">
                  <c:v>3.7966666666666602</c:v>
                </c:pt>
                <c:pt idx="752">
                  <c:v>4.3866666666666596</c:v>
                </c:pt>
                <c:pt idx="753">
                  <c:v>3.5833333333333299</c:v>
                </c:pt>
                <c:pt idx="754">
                  <c:v>3.5599999999999898</c:v>
                </c:pt>
                <c:pt idx="755">
                  <c:v>4.0733333333333297</c:v>
                </c:pt>
                <c:pt idx="756">
                  <c:v>3.2433333333333301</c:v>
                </c:pt>
                <c:pt idx="757">
                  <c:v>3.75</c:v>
                </c:pt>
                <c:pt idx="758">
                  <c:v>2.9266666666666601</c:v>
                </c:pt>
                <c:pt idx="759">
                  <c:v>2.8433333333333302</c:v>
                </c:pt>
                <c:pt idx="760">
                  <c:v>2.2599999999999998</c:v>
                </c:pt>
                <c:pt idx="761">
                  <c:v>2.5666666666666602</c:v>
                </c:pt>
                <c:pt idx="762">
                  <c:v>2.9266666666666601</c:v>
                </c:pt>
                <c:pt idx="763">
                  <c:v>2.2733333333333299</c:v>
                </c:pt>
                <c:pt idx="764">
                  <c:v>3.28666666666666</c:v>
                </c:pt>
                <c:pt idx="765">
                  <c:v>4.37</c:v>
                </c:pt>
                <c:pt idx="766">
                  <c:v>6.5999999999999899</c:v>
                </c:pt>
                <c:pt idx="767">
                  <c:v>6.8966666666666603</c:v>
                </c:pt>
                <c:pt idx="768">
                  <c:v>7.1866666666666603</c:v>
                </c:pt>
                <c:pt idx="769">
                  <c:v>8.7566666666666606</c:v>
                </c:pt>
                <c:pt idx="770">
                  <c:v>7.9466666666666601</c:v>
                </c:pt>
                <c:pt idx="771">
                  <c:v>8.9600000000000009</c:v>
                </c:pt>
                <c:pt idx="772">
                  <c:v>8.6433333333333202</c:v>
                </c:pt>
                <c:pt idx="773">
                  <c:v>9.32</c:v>
                </c:pt>
                <c:pt idx="774">
                  <c:v>8.6666666666666607</c:v>
                </c:pt>
                <c:pt idx="775">
                  <c:v>8.9833333333333307</c:v>
                </c:pt>
                <c:pt idx="776">
                  <c:v>8.3966666666666594</c:v>
                </c:pt>
                <c:pt idx="777">
                  <c:v>7.2933333333333303</c:v>
                </c:pt>
                <c:pt idx="778">
                  <c:v>7.2333333333333298</c:v>
                </c:pt>
                <c:pt idx="779">
                  <c:v>6.7133333333333303</c:v>
                </c:pt>
                <c:pt idx="780">
                  <c:v>8.4266666666666605</c:v>
                </c:pt>
                <c:pt idx="781">
                  <c:v>5.9866666666666601</c:v>
                </c:pt>
                <c:pt idx="782">
                  <c:v>6.0799999999999903</c:v>
                </c:pt>
                <c:pt idx="783">
                  <c:v>7.9833333333333298</c:v>
                </c:pt>
                <c:pt idx="784">
                  <c:v>6.1233333333333304</c:v>
                </c:pt>
                <c:pt idx="785">
                  <c:v>8.3366666666666607</c:v>
                </c:pt>
                <c:pt idx="786">
                  <c:v>6.4133333333333304</c:v>
                </c:pt>
                <c:pt idx="787">
                  <c:v>6.4966666666666599</c:v>
                </c:pt>
                <c:pt idx="788">
                  <c:v>6.4166666666666599</c:v>
                </c:pt>
                <c:pt idx="789">
                  <c:v>6.07666666666666</c:v>
                </c:pt>
                <c:pt idx="790">
                  <c:v>7.2499999999999902</c:v>
                </c:pt>
                <c:pt idx="791">
                  <c:v>6.3566666666666602</c:v>
                </c:pt>
                <c:pt idx="792">
                  <c:v>4.93333333333333</c:v>
                </c:pt>
                <c:pt idx="793">
                  <c:v>6.58</c:v>
                </c:pt>
                <c:pt idx="794">
                  <c:v>4.68333333333333</c:v>
                </c:pt>
                <c:pt idx="795">
                  <c:v>5.7066666666666599</c:v>
                </c:pt>
                <c:pt idx="796">
                  <c:v>6.03666666666666</c:v>
                </c:pt>
                <c:pt idx="797">
                  <c:v>5.9833333333333298</c:v>
                </c:pt>
                <c:pt idx="798">
                  <c:v>6.4366666666666603</c:v>
                </c:pt>
                <c:pt idx="799">
                  <c:v>6.39</c:v>
                </c:pt>
                <c:pt idx="800">
                  <c:v>6.54</c:v>
                </c:pt>
                <c:pt idx="801">
                  <c:v>7.71999999999999</c:v>
                </c:pt>
                <c:pt idx="802">
                  <c:v>6.3366666666666598</c:v>
                </c:pt>
                <c:pt idx="803">
                  <c:v>6.3799999999999901</c:v>
                </c:pt>
                <c:pt idx="804">
                  <c:v>6.1966666666666601</c:v>
                </c:pt>
                <c:pt idx="805">
                  <c:v>5.08</c:v>
                </c:pt>
                <c:pt idx="806">
                  <c:v>3.6199999999999899</c:v>
                </c:pt>
                <c:pt idx="807">
                  <c:v>3.8366666666666598</c:v>
                </c:pt>
                <c:pt idx="808">
                  <c:v>3.7833333333333301</c:v>
                </c:pt>
                <c:pt idx="809">
                  <c:v>3.2066666666666599</c:v>
                </c:pt>
                <c:pt idx="810">
                  <c:v>3.21999999999999</c:v>
                </c:pt>
                <c:pt idx="811">
                  <c:v>2.7533333333333299</c:v>
                </c:pt>
                <c:pt idx="812">
                  <c:v>2.6933333333333298</c:v>
                </c:pt>
                <c:pt idx="813">
                  <c:v>2.6733333333333298</c:v>
                </c:pt>
                <c:pt idx="814">
                  <c:v>2.3966666666666598</c:v>
                </c:pt>
                <c:pt idx="815">
                  <c:v>2.28666666666666</c:v>
                </c:pt>
                <c:pt idx="816">
                  <c:v>1.9</c:v>
                </c:pt>
                <c:pt idx="817">
                  <c:v>2.0633333333333299</c:v>
                </c:pt>
                <c:pt idx="818">
                  <c:v>2.3966666666666598</c:v>
                </c:pt>
                <c:pt idx="819">
                  <c:v>2.1066666666666598</c:v>
                </c:pt>
                <c:pt idx="820">
                  <c:v>2.2433333333333301</c:v>
                </c:pt>
                <c:pt idx="821">
                  <c:v>2.1133333333333302</c:v>
                </c:pt>
                <c:pt idx="822">
                  <c:v>2.1866666666666599</c:v>
                </c:pt>
                <c:pt idx="823">
                  <c:v>1.9666666666666599</c:v>
                </c:pt>
                <c:pt idx="824">
                  <c:v>1.9366666666666601</c:v>
                </c:pt>
                <c:pt idx="825">
                  <c:v>1.8699999999999899</c:v>
                </c:pt>
                <c:pt idx="826">
                  <c:v>1.58</c:v>
                </c:pt>
                <c:pt idx="827">
                  <c:v>1.54666666666666</c:v>
                </c:pt>
                <c:pt idx="828">
                  <c:v>1.78</c:v>
                </c:pt>
                <c:pt idx="829">
                  <c:v>1.66333333333333</c:v>
                </c:pt>
                <c:pt idx="830">
                  <c:v>1.45</c:v>
                </c:pt>
                <c:pt idx="831">
                  <c:v>1.72</c:v>
                </c:pt>
                <c:pt idx="832">
                  <c:v>1.87333333333333</c:v>
                </c:pt>
                <c:pt idx="833">
                  <c:v>1.87333333333333</c:v>
                </c:pt>
                <c:pt idx="834">
                  <c:v>1.96333333333333</c:v>
                </c:pt>
                <c:pt idx="835">
                  <c:v>2.14</c:v>
                </c:pt>
                <c:pt idx="836">
                  <c:v>1.73</c:v>
                </c:pt>
                <c:pt idx="837">
                  <c:v>3.06</c:v>
                </c:pt>
                <c:pt idx="838">
                  <c:v>2.5866666666666598</c:v>
                </c:pt>
                <c:pt idx="839">
                  <c:v>2.7233333333333301</c:v>
                </c:pt>
                <c:pt idx="840">
                  <c:v>2.98999999999999</c:v>
                </c:pt>
                <c:pt idx="841">
                  <c:v>2.1533333333333302</c:v>
                </c:pt>
                <c:pt idx="842">
                  <c:v>2.3866666666666601</c:v>
                </c:pt>
                <c:pt idx="843">
                  <c:v>1.51</c:v>
                </c:pt>
                <c:pt idx="844">
                  <c:v>1.86333333333333</c:v>
                </c:pt>
                <c:pt idx="845">
                  <c:v>2.59666666666666</c:v>
                </c:pt>
                <c:pt idx="846">
                  <c:v>3.2133333333333298</c:v>
                </c:pt>
                <c:pt idx="847">
                  <c:v>2.68333333333333</c:v>
                </c:pt>
                <c:pt idx="848">
                  <c:v>1.3799999999999899</c:v>
                </c:pt>
                <c:pt idx="849">
                  <c:v>1.9933333333333301</c:v>
                </c:pt>
                <c:pt idx="850">
                  <c:v>1.7366666666666599</c:v>
                </c:pt>
                <c:pt idx="851">
                  <c:v>1.7433333333333301</c:v>
                </c:pt>
                <c:pt idx="852">
                  <c:v>1.5799999999999901</c:v>
                </c:pt>
                <c:pt idx="853">
                  <c:v>1.4099999999999899</c:v>
                </c:pt>
                <c:pt idx="854">
                  <c:v>1.6</c:v>
                </c:pt>
                <c:pt idx="855">
                  <c:v>1.84666666666666</c:v>
                </c:pt>
                <c:pt idx="856">
                  <c:v>2.2099999999999902</c:v>
                </c:pt>
                <c:pt idx="857">
                  <c:v>3.02999999999999</c:v>
                </c:pt>
                <c:pt idx="858">
                  <c:v>3.36</c:v>
                </c:pt>
                <c:pt idx="859">
                  <c:v>3.1199999999999899</c:v>
                </c:pt>
                <c:pt idx="860">
                  <c:v>3.2666666666666599</c:v>
                </c:pt>
                <c:pt idx="861">
                  <c:v>4.28666666666666</c:v>
                </c:pt>
                <c:pt idx="862">
                  <c:v>5.0166666666666604</c:v>
                </c:pt>
                <c:pt idx="863">
                  <c:v>4.0999999999999996</c:v>
                </c:pt>
                <c:pt idx="864">
                  <c:v>3.4099999999999899</c:v>
                </c:pt>
                <c:pt idx="865">
                  <c:v>3.2099999999999902</c:v>
                </c:pt>
                <c:pt idx="866">
                  <c:v>4.5966666666666596</c:v>
                </c:pt>
                <c:pt idx="867">
                  <c:v>3.2966666666666602</c:v>
                </c:pt>
                <c:pt idx="868">
                  <c:v>4.1533333333333298</c:v>
                </c:pt>
                <c:pt idx="869">
                  <c:v>3.4433333333333298</c:v>
                </c:pt>
                <c:pt idx="870">
                  <c:v>3.9366666666666599</c:v>
                </c:pt>
                <c:pt idx="871">
                  <c:v>3.4733333333333301</c:v>
                </c:pt>
                <c:pt idx="872">
                  <c:v>2.8633333333333302</c:v>
                </c:pt>
                <c:pt idx="873">
                  <c:v>3.7299999999999902</c:v>
                </c:pt>
                <c:pt idx="874">
                  <c:v>3.39</c:v>
                </c:pt>
                <c:pt idx="875">
                  <c:v>2.6099999999999901</c:v>
                </c:pt>
                <c:pt idx="876">
                  <c:v>4.42</c:v>
                </c:pt>
                <c:pt idx="877">
                  <c:v>6.91</c:v>
                </c:pt>
                <c:pt idx="878">
                  <c:v>5.7266666666666604</c:v>
                </c:pt>
                <c:pt idx="879">
                  <c:v>6.2999999999999901</c:v>
                </c:pt>
                <c:pt idx="880">
                  <c:v>4.8133333333333299</c:v>
                </c:pt>
                <c:pt idx="881">
                  <c:v>3.65</c:v>
                </c:pt>
                <c:pt idx="882">
                  <c:v>4.4466666666666601</c:v>
                </c:pt>
                <c:pt idx="883">
                  <c:v>3.9566666666666599</c:v>
                </c:pt>
                <c:pt idx="884">
                  <c:v>2.67</c:v>
                </c:pt>
                <c:pt idx="885">
                  <c:v>2.77</c:v>
                </c:pt>
                <c:pt idx="886">
                  <c:v>2.8233333333333301</c:v>
                </c:pt>
                <c:pt idx="887">
                  <c:v>3.0433333333333299</c:v>
                </c:pt>
                <c:pt idx="888">
                  <c:v>3.4366666666666599</c:v>
                </c:pt>
                <c:pt idx="889">
                  <c:v>5.6366666666666596</c:v>
                </c:pt>
                <c:pt idx="890">
                  <c:v>4.39333333333333</c:v>
                </c:pt>
                <c:pt idx="891">
                  <c:v>5.4866666666666601</c:v>
                </c:pt>
                <c:pt idx="892">
                  <c:v>7.8433333333333302</c:v>
                </c:pt>
                <c:pt idx="893">
                  <c:v>6.9166666666666599</c:v>
                </c:pt>
                <c:pt idx="894">
                  <c:v>6.2433333333333296</c:v>
                </c:pt>
                <c:pt idx="895">
                  <c:v>3.9866666666666601</c:v>
                </c:pt>
                <c:pt idx="896">
                  <c:v>5.5899999999999901</c:v>
                </c:pt>
                <c:pt idx="897">
                  <c:v>7.0933333333333302</c:v>
                </c:pt>
                <c:pt idx="898">
                  <c:v>8.8933333333333309</c:v>
                </c:pt>
                <c:pt idx="899">
                  <c:v>7.9233333333333302</c:v>
                </c:pt>
                <c:pt idx="900">
                  <c:v>4.8466666666666596</c:v>
                </c:pt>
                <c:pt idx="901">
                  <c:v>3.3033333333333301</c:v>
                </c:pt>
                <c:pt idx="902">
                  <c:v>1.9</c:v>
                </c:pt>
                <c:pt idx="903">
                  <c:v>3.36</c:v>
                </c:pt>
                <c:pt idx="904">
                  <c:v>6.7966666666666598</c:v>
                </c:pt>
                <c:pt idx="905">
                  <c:v>6.2633333333333301</c:v>
                </c:pt>
                <c:pt idx="906">
                  <c:v>5.8633333333333297</c:v>
                </c:pt>
                <c:pt idx="907">
                  <c:v>6.2266666666666604</c:v>
                </c:pt>
                <c:pt idx="908">
                  <c:v>6.11666666666666</c:v>
                </c:pt>
                <c:pt idx="909">
                  <c:v>5.89</c:v>
                </c:pt>
                <c:pt idx="910">
                  <c:v>4.5533333333333301</c:v>
                </c:pt>
                <c:pt idx="911">
                  <c:v>4.0133333333333301</c:v>
                </c:pt>
                <c:pt idx="912">
                  <c:v>3.54</c:v>
                </c:pt>
                <c:pt idx="913">
                  <c:v>3.27</c:v>
                </c:pt>
                <c:pt idx="914">
                  <c:v>3.2266666666666599</c:v>
                </c:pt>
                <c:pt idx="915">
                  <c:v>3.6</c:v>
                </c:pt>
                <c:pt idx="916">
                  <c:v>3.4599999999999902</c:v>
                </c:pt>
                <c:pt idx="917">
                  <c:v>2.6133333333333302</c:v>
                </c:pt>
                <c:pt idx="918">
                  <c:v>3.6033333333333299</c:v>
                </c:pt>
                <c:pt idx="919">
                  <c:v>3.73</c:v>
                </c:pt>
                <c:pt idx="920">
                  <c:v>3.18333333333333</c:v>
                </c:pt>
                <c:pt idx="921">
                  <c:v>3.07</c:v>
                </c:pt>
                <c:pt idx="922">
                  <c:v>3.14333333333333</c:v>
                </c:pt>
                <c:pt idx="923">
                  <c:v>3.4766666666666599</c:v>
                </c:pt>
                <c:pt idx="924">
                  <c:v>2.91333333333333</c:v>
                </c:pt>
                <c:pt idx="925">
                  <c:v>3.98</c:v>
                </c:pt>
                <c:pt idx="926">
                  <c:v>4.7933333333333303</c:v>
                </c:pt>
                <c:pt idx="927">
                  <c:v>4.3866666666666596</c:v>
                </c:pt>
                <c:pt idx="928">
                  <c:v>3.7066666666666599</c:v>
                </c:pt>
                <c:pt idx="929">
                  <c:v>6.5533333333333301</c:v>
                </c:pt>
                <c:pt idx="930">
                  <c:v>3.0866666666666598</c:v>
                </c:pt>
                <c:pt idx="931">
                  <c:v>3.68333333333333</c:v>
                </c:pt>
                <c:pt idx="932">
                  <c:v>4.68333333333333</c:v>
                </c:pt>
                <c:pt idx="933">
                  <c:v>6.9733333333333301</c:v>
                </c:pt>
                <c:pt idx="934">
                  <c:v>5.5933333333333302</c:v>
                </c:pt>
                <c:pt idx="935">
                  <c:v>3.64333333333333</c:v>
                </c:pt>
                <c:pt idx="936">
                  <c:v>4.8733333333333304</c:v>
                </c:pt>
                <c:pt idx="937">
                  <c:v>4.96</c:v>
                </c:pt>
                <c:pt idx="938">
                  <c:v>3.2233333333333301</c:v>
                </c:pt>
                <c:pt idx="939">
                  <c:v>3.1733333333333298</c:v>
                </c:pt>
                <c:pt idx="940">
                  <c:v>3.2833333333333301</c:v>
                </c:pt>
                <c:pt idx="941">
                  <c:v>4.6466666666666603</c:v>
                </c:pt>
                <c:pt idx="942">
                  <c:v>3.6199999999999899</c:v>
                </c:pt>
                <c:pt idx="943">
                  <c:v>5.4433333333333298</c:v>
                </c:pt>
                <c:pt idx="944">
                  <c:v>4.1533333333333298</c:v>
                </c:pt>
                <c:pt idx="945">
                  <c:v>3.07</c:v>
                </c:pt>
                <c:pt idx="946">
                  <c:v>3.80666666666666</c:v>
                </c:pt>
                <c:pt idx="947">
                  <c:v>2.89333333333333</c:v>
                </c:pt>
                <c:pt idx="948">
                  <c:v>3.4099999999999899</c:v>
                </c:pt>
                <c:pt idx="949">
                  <c:v>3.71999999999999</c:v>
                </c:pt>
                <c:pt idx="950">
                  <c:v>4.1733333333333302</c:v>
                </c:pt>
                <c:pt idx="951">
                  <c:v>5.1699999999999902</c:v>
                </c:pt>
                <c:pt idx="952">
                  <c:v>4.9833333333333298</c:v>
                </c:pt>
                <c:pt idx="953">
                  <c:v>4.46</c:v>
                </c:pt>
                <c:pt idx="954">
                  <c:v>5.6133333333333297</c:v>
                </c:pt>
                <c:pt idx="955">
                  <c:v>5.78</c:v>
                </c:pt>
                <c:pt idx="956">
                  <c:v>4.4233333333333302</c:v>
                </c:pt>
                <c:pt idx="957">
                  <c:v>3.6566666666666601</c:v>
                </c:pt>
                <c:pt idx="958">
                  <c:v>3.1</c:v>
                </c:pt>
                <c:pt idx="959">
                  <c:v>2.9033333333333302</c:v>
                </c:pt>
                <c:pt idx="960">
                  <c:v>2.93</c:v>
                </c:pt>
                <c:pt idx="961">
                  <c:v>1.92333333333333</c:v>
                </c:pt>
                <c:pt idx="962">
                  <c:v>1.15333333333333</c:v>
                </c:pt>
                <c:pt idx="963">
                  <c:v>1.4466666666666601</c:v>
                </c:pt>
                <c:pt idx="964">
                  <c:v>0.75666666666666604</c:v>
                </c:pt>
                <c:pt idx="965">
                  <c:v>0.5</c:v>
                </c:pt>
                <c:pt idx="966">
                  <c:v>0.73999999999999899</c:v>
                </c:pt>
                <c:pt idx="967">
                  <c:v>0.69666666666666599</c:v>
                </c:pt>
                <c:pt idx="968">
                  <c:v>0.76666666666666605</c:v>
                </c:pt>
                <c:pt idx="969">
                  <c:v>0.74</c:v>
                </c:pt>
                <c:pt idx="970">
                  <c:v>0.71333333333333304</c:v>
                </c:pt>
                <c:pt idx="971">
                  <c:v>1.0899999999999901</c:v>
                </c:pt>
                <c:pt idx="972">
                  <c:v>2.5533333333333301</c:v>
                </c:pt>
                <c:pt idx="973">
                  <c:v>18.8266666666666</c:v>
                </c:pt>
                <c:pt idx="974">
                  <c:v>17.149999999999999</c:v>
                </c:pt>
                <c:pt idx="975">
                  <c:v>12.533333333333299</c:v>
                </c:pt>
                <c:pt idx="976">
                  <c:v>9.2233333333333292</c:v>
                </c:pt>
                <c:pt idx="977">
                  <c:v>5.8</c:v>
                </c:pt>
                <c:pt idx="978">
                  <c:v>3.23999999999999</c:v>
                </c:pt>
                <c:pt idx="979">
                  <c:v>3.09666666666666</c:v>
                </c:pt>
                <c:pt idx="980">
                  <c:v>1.99</c:v>
                </c:pt>
                <c:pt idx="981">
                  <c:v>1.9566666666666599</c:v>
                </c:pt>
                <c:pt idx="982">
                  <c:v>1.8299999999999901</c:v>
                </c:pt>
                <c:pt idx="983">
                  <c:v>2.2833333333333301</c:v>
                </c:pt>
                <c:pt idx="984">
                  <c:v>3.9866666666666601</c:v>
                </c:pt>
                <c:pt idx="985">
                  <c:v>3.7099999999999902</c:v>
                </c:pt>
                <c:pt idx="986">
                  <c:v>2.9199999999999902</c:v>
                </c:pt>
                <c:pt idx="987">
                  <c:v>3.4266666666666601</c:v>
                </c:pt>
                <c:pt idx="988">
                  <c:v>3.5499999999999901</c:v>
                </c:pt>
                <c:pt idx="989">
                  <c:v>3.8133333333333299</c:v>
                </c:pt>
                <c:pt idx="990">
                  <c:v>2.09666666666666</c:v>
                </c:pt>
                <c:pt idx="991">
                  <c:v>1.86666666666666</c:v>
                </c:pt>
                <c:pt idx="992">
                  <c:v>2.21</c:v>
                </c:pt>
                <c:pt idx="993">
                  <c:v>1.93</c:v>
                </c:pt>
                <c:pt idx="994">
                  <c:v>1.45</c:v>
                </c:pt>
                <c:pt idx="995">
                  <c:v>1.7266666666666599</c:v>
                </c:pt>
                <c:pt idx="996">
                  <c:v>2.0299999999999998</c:v>
                </c:pt>
                <c:pt idx="997">
                  <c:v>2.38</c:v>
                </c:pt>
                <c:pt idx="998">
                  <c:v>1.7933333333333299</c:v>
                </c:pt>
                <c:pt idx="999">
                  <c:v>1.2066666666666599</c:v>
                </c:pt>
                <c:pt idx="1000">
                  <c:v>1.6566666666666601</c:v>
                </c:pt>
                <c:pt idx="1001">
                  <c:v>5.4133333333333304</c:v>
                </c:pt>
                <c:pt idx="1002">
                  <c:v>4.5499999999999901</c:v>
                </c:pt>
                <c:pt idx="1003">
                  <c:v>4.9666666666666597</c:v>
                </c:pt>
                <c:pt idx="1004">
                  <c:v>4.2966666666666598</c:v>
                </c:pt>
                <c:pt idx="1005">
                  <c:v>1.7566666666666599</c:v>
                </c:pt>
                <c:pt idx="1006">
                  <c:v>1.2</c:v>
                </c:pt>
                <c:pt idx="1007">
                  <c:v>0.90666666666666595</c:v>
                </c:pt>
                <c:pt idx="1008">
                  <c:v>1.3033333333333299</c:v>
                </c:pt>
                <c:pt idx="1009">
                  <c:v>1.90333333333333</c:v>
                </c:pt>
                <c:pt idx="1010">
                  <c:v>2.5533333333333301</c:v>
                </c:pt>
                <c:pt idx="1011">
                  <c:v>1.09666666666666</c:v>
                </c:pt>
                <c:pt idx="1012">
                  <c:v>1.03666666666666</c:v>
                </c:pt>
                <c:pt idx="1013">
                  <c:v>1.66</c:v>
                </c:pt>
                <c:pt idx="1014">
                  <c:v>1.1399999999999999</c:v>
                </c:pt>
                <c:pt idx="1015">
                  <c:v>1.2999999999999901</c:v>
                </c:pt>
                <c:pt idx="1016">
                  <c:v>1.64333333333333</c:v>
                </c:pt>
                <c:pt idx="1017">
                  <c:v>1.7666666666666599</c:v>
                </c:pt>
                <c:pt idx="1018">
                  <c:v>1.9166666666666601</c:v>
                </c:pt>
                <c:pt idx="1019">
                  <c:v>1.1866666666666601</c:v>
                </c:pt>
                <c:pt idx="1020">
                  <c:v>1.41</c:v>
                </c:pt>
                <c:pt idx="1021">
                  <c:v>1.77</c:v>
                </c:pt>
                <c:pt idx="1022">
                  <c:v>1.6866666666666601</c:v>
                </c:pt>
                <c:pt idx="1023">
                  <c:v>2.8333333333333299</c:v>
                </c:pt>
                <c:pt idx="1024">
                  <c:v>3.27</c:v>
                </c:pt>
                <c:pt idx="1025">
                  <c:v>3.64</c:v>
                </c:pt>
                <c:pt idx="1026">
                  <c:v>4.2433333333333296</c:v>
                </c:pt>
                <c:pt idx="1027">
                  <c:v>2.8566666666666598</c:v>
                </c:pt>
                <c:pt idx="1028">
                  <c:v>3.3833333333333302</c:v>
                </c:pt>
                <c:pt idx="1029">
                  <c:v>4.2533333333333303</c:v>
                </c:pt>
                <c:pt idx="1030">
                  <c:v>3.73999999999999</c:v>
                </c:pt>
                <c:pt idx="1031">
                  <c:v>3.4799999999999902</c:v>
                </c:pt>
                <c:pt idx="1032">
                  <c:v>3.75</c:v>
                </c:pt>
                <c:pt idx="1033">
                  <c:v>3.75</c:v>
                </c:pt>
                <c:pt idx="1034">
                  <c:v>3.47</c:v>
                </c:pt>
                <c:pt idx="1035">
                  <c:v>3.9566666666666599</c:v>
                </c:pt>
                <c:pt idx="1036">
                  <c:v>4.0833333333333304</c:v>
                </c:pt>
                <c:pt idx="1037">
                  <c:v>4.2799999999999896</c:v>
                </c:pt>
                <c:pt idx="1038">
                  <c:v>3.26</c:v>
                </c:pt>
                <c:pt idx="1039">
                  <c:v>3.17</c:v>
                </c:pt>
                <c:pt idx="1040">
                  <c:v>4.5566666666666604</c:v>
                </c:pt>
                <c:pt idx="1041">
                  <c:v>4.9933333333333296</c:v>
                </c:pt>
                <c:pt idx="1042">
                  <c:v>5.7966666666666598</c:v>
                </c:pt>
                <c:pt idx="1043">
                  <c:v>5.9366666666666603</c:v>
                </c:pt>
                <c:pt idx="1044">
                  <c:v>6.3833333333333302</c:v>
                </c:pt>
                <c:pt idx="1045">
                  <c:v>4.0666666666666602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DE-4D90-B381-00083533BB85}"/>
            </c:ext>
          </c:extLst>
        </c:ser>
        <c:ser>
          <c:idx val="2"/>
          <c:order val="1"/>
          <c:tx>
            <c:v>corrigé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Correction!$A$1:$A$1046</c:f>
              <c:strCache>
                <c:ptCount val="1046"/>
                <c:pt idx="0">
                  <c:v>Corrigé</c:v>
                </c:pt>
                <c:pt idx="1">
                  <c:v>26/01/2026 16:00</c:v>
                </c:pt>
                <c:pt idx="2">
                  <c:v>26/01/2026 16:15</c:v>
                </c:pt>
                <c:pt idx="3">
                  <c:v>26/01/2026 16:30</c:v>
                </c:pt>
                <c:pt idx="4">
                  <c:v>26/01/2026 16:45</c:v>
                </c:pt>
                <c:pt idx="5">
                  <c:v>26/01/2026 17:00</c:v>
                </c:pt>
                <c:pt idx="6">
                  <c:v>26/01/2026 17:15</c:v>
                </c:pt>
                <c:pt idx="7">
                  <c:v>26/01/2026 17:30</c:v>
                </c:pt>
                <c:pt idx="8">
                  <c:v>26/01/2026 17:45</c:v>
                </c:pt>
                <c:pt idx="9">
                  <c:v>26/01/2026 18:00</c:v>
                </c:pt>
                <c:pt idx="10">
                  <c:v>26/01/2026 18:15</c:v>
                </c:pt>
                <c:pt idx="11">
                  <c:v>26/01/2026 18:30</c:v>
                </c:pt>
                <c:pt idx="12">
                  <c:v>26/01/2026 18:45</c:v>
                </c:pt>
                <c:pt idx="13">
                  <c:v>26/01/2026 19:00</c:v>
                </c:pt>
                <c:pt idx="14">
                  <c:v>26/01/2026 19:15</c:v>
                </c:pt>
                <c:pt idx="15">
                  <c:v>26/01/2026 19:30</c:v>
                </c:pt>
                <c:pt idx="16">
                  <c:v>26/01/2026 19:45</c:v>
                </c:pt>
                <c:pt idx="17">
                  <c:v>26/01/2026 20:00</c:v>
                </c:pt>
                <c:pt idx="18">
                  <c:v>26/01/2026 20:15</c:v>
                </c:pt>
                <c:pt idx="19">
                  <c:v>26/01/2026 20:30</c:v>
                </c:pt>
                <c:pt idx="20">
                  <c:v>26/01/2026 20:45</c:v>
                </c:pt>
                <c:pt idx="21">
                  <c:v>26/01/2026 21:00</c:v>
                </c:pt>
                <c:pt idx="22">
                  <c:v>26/01/2026 21:15</c:v>
                </c:pt>
                <c:pt idx="23">
                  <c:v>26/01/2026 21:30</c:v>
                </c:pt>
                <c:pt idx="24">
                  <c:v>26/01/2026 21:45</c:v>
                </c:pt>
                <c:pt idx="25">
                  <c:v>26/01/2026 22:00</c:v>
                </c:pt>
                <c:pt idx="26">
                  <c:v>26/01/2026 22:15</c:v>
                </c:pt>
                <c:pt idx="27">
                  <c:v>26/01/2026 22:30</c:v>
                </c:pt>
                <c:pt idx="28">
                  <c:v>26/01/2026 22:45</c:v>
                </c:pt>
                <c:pt idx="29">
                  <c:v>26/01/2026 23:00</c:v>
                </c:pt>
                <c:pt idx="30">
                  <c:v>26/01/2026 23:15</c:v>
                </c:pt>
                <c:pt idx="31">
                  <c:v>26/01/2026 23:30</c:v>
                </c:pt>
                <c:pt idx="32">
                  <c:v>26/01/2026 23:45</c:v>
                </c:pt>
                <c:pt idx="33">
                  <c:v>26/01/2026 24:00</c:v>
                </c:pt>
                <c:pt idx="34">
                  <c:v>27/01/2026 00:15</c:v>
                </c:pt>
                <c:pt idx="35">
                  <c:v>27/01/2026 00:30</c:v>
                </c:pt>
                <c:pt idx="36">
                  <c:v>27/01/2026 00:45</c:v>
                </c:pt>
                <c:pt idx="37">
                  <c:v>27/01/2026 01:00</c:v>
                </c:pt>
                <c:pt idx="38">
                  <c:v>27/01/2026 01:15</c:v>
                </c:pt>
                <c:pt idx="39">
                  <c:v>27/01/2026 01:30</c:v>
                </c:pt>
                <c:pt idx="40">
                  <c:v>27/01/2026 01:45</c:v>
                </c:pt>
                <c:pt idx="41">
                  <c:v>27/01/2026 02:00</c:v>
                </c:pt>
                <c:pt idx="42">
                  <c:v>27/01/2026 02:15</c:v>
                </c:pt>
                <c:pt idx="43">
                  <c:v>27/01/2026 02:30</c:v>
                </c:pt>
                <c:pt idx="44">
                  <c:v>27/01/2026 02:45</c:v>
                </c:pt>
                <c:pt idx="45">
                  <c:v>27/01/2026 03:00</c:v>
                </c:pt>
                <c:pt idx="46">
                  <c:v>27/01/2026 03:15</c:v>
                </c:pt>
                <c:pt idx="47">
                  <c:v>27/01/2026 03:30</c:v>
                </c:pt>
                <c:pt idx="48">
                  <c:v>27/01/2026 03:45</c:v>
                </c:pt>
                <c:pt idx="49">
                  <c:v>27/01/2026 04:00</c:v>
                </c:pt>
                <c:pt idx="50">
                  <c:v>27/01/2026 04:15</c:v>
                </c:pt>
                <c:pt idx="51">
                  <c:v>27/01/2026 04:30</c:v>
                </c:pt>
                <c:pt idx="52">
                  <c:v>27/01/2026 04:45</c:v>
                </c:pt>
                <c:pt idx="53">
                  <c:v>27/01/2026 05:00</c:v>
                </c:pt>
                <c:pt idx="54">
                  <c:v>27/01/2026 05:15</c:v>
                </c:pt>
                <c:pt idx="55">
                  <c:v>27/01/2026 05:30</c:v>
                </c:pt>
                <c:pt idx="56">
                  <c:v>27/01/2026 05:45</c:v>
                </c:pt>
                <c:pt idx="57">
                  <c:v>27/01/2026 06:00</c:v>
                </c:pt>
                <c:pt idx="58">
                  <c:v>27/01/2026 06:15</c:v>
                </c:pt>
                <c:pt idx="59">
                  <c:v>27/01/2026 06:30</c:v>
                </c:pt>
                <c:pt idx="60">
                  <c:v>27/01/2026 06:45</c:v>
                </c:pt>
                <c:pt idx="61">
                  <c:v>27/01/2026 07:00</c:v>
                </c:pt>
                <c:pt idx="62">
                  <c:v>27/01/2026 07:15</c:v>
                </c:pt>
                <c:pt idx="63">
                  <c:v>27/01/2026 07:30</c:v>
                </c:pt>
                <c:pt idx="64">
                  <c:v>27/01/2026 07:45</c:v>
                </c:pt>
                <c:pt idx="65">
                  <c:v>27/01/2026 08:00</c:v>
                </c:pt>
                <c:pt idx="66">
                  <c:v>27/01/2026 08:15</c:v>
                </c:pt>
                <c:pt idx="67">
                  <c:v>27/01/2026 08:30</c:v>
                </c:pt>
                <c:pt idx="68">
                  <c:v>27/01/2026 08:45</c:v>
                </c:pt>
                <c:pt idx="69">
                  <c:v>27/01/2026 09:00</c:v>
                </c:pt>
                <c:pt idx="70">
                  <c:v>27/01/2026 09:15</c:v>
                </c:pt>
                <c:pt idx="71">
                  <c:v>27/01/2026 09:30</c:v>
                </c:pt>
                <c:pt idx="72">
                  <c:v>27/01/2026 09:45</c:v>
                </c:pt>
                <c:pt idx="73">
                  <c:v>27/01/2026 10:00</c:v>
                </c:pt>
                <c:pt idx="74">
                  <c:v>27/01/2026 10:15</c:v>
                </c:pt>
                <c:pt idx="75">
                  <c:v>27/01/2026 10:30</c:v>
                </c:pt>
                <c:pt idx="76">
                  <c:v>27/01/2026 10:45</c:v>
                </c:pt>
                <c:pt idx="77">
                  <c:v>27/01/2026 11:00</c:v>
                </c:pt>
                <c:pt idx="78">
                  <c:v>27/01/2026 11:15</c:v>
                </c:pt>
                <c:pt idx="79">
                  <c:v>27/01/2026 11:30</c:v>
                </c:pt>
                <c:pt idx="80">
                  <c:v>27/01/2026 11:45</c:v>
                </c:pt>
                <c:pt idx="81">
                  <c:v>27/01/2026 12:00</c:v>
                </c:pt>
                <c:pt idx="82">
                  <c:v>27/01/2026 12:15</c:v>
                </c:pt>
                <c:pt idx="83">
                  <c:v>27/01/2026 12:30</c:v>
                </c:pt>
                <c:pt idx="84">
                  <c:v>27/01/2026 12:45</c:v>
                </c:pt>
                <c:pt idx="85">
                  <c:v>27/01/2026 13:00</c:v>
                </c:pt>
                <c:pt idx="86">
                  <c:v>27/01/2026 13:15</c:v>
                </c:pt>
                <c:pt idx="87">
                  <c:v>27/01/2026 13:30</c:v>
                </c:pt>
                <c:pt idx="88">
                  <c:v>27/01/2026 13:45</c:v>
                </c:pt>
                <c:pt idx="89">
                  <c:v>27/01/2026 14:00</c:v>
                </c:pt>
                <c:pt idx="90">
                  <c:v>27/01/2026 14:15</c:v>
                </c:pt>
                <c:pt idx="91">
                  <c:v>27/01/2026 14:30</c:v>
                </c:pt>
                <c:pt idx="92">
                  <c:v>27/01/2026 14:45</c:v>
                </c:pt>
                <c:pt idx="93">
                  <c:v>27/01/2026 15:00</c:v>
                </c:pt>
                <c:pt idx="94">
                  <c:v>27/01/2026 15:15</c:v>
                </c:pt>
                <c:pt idx="95">
                  <c:v>27/01/2026 15:30</c:v>
                </c:pt>
                <c:pt idx="96">
                  <c:v>27/01/2026 15:45</c:v>
                </c:pt>
                <c:pt idx="97">
                  <c:v>27/01/2026 16:00</c:v>
                </c:pt>
                <c:pt idx="98">
                  <c:v>27/01/2026 16:15</c:v>
                </c:pt>
                <c:pt idx="99">
                  <c:v>27/01/2026 16:30</c:v>
                </c:pt>
                <c:pt idx="100">
                  <c:v>27/01/2026 16:45</c:v>
                </c:pt>
                <c:pt idx="101">
                  <c:v>27/01/2026 17:00</c:v>
                </c:pt>
                <c:pt idx="102">
                  <c:v>27/01/2026 17:15</c:v>
                </c:pt>
                <c:pt idx="103">
                  <c:v>27/01/2026 17:30</c:v>
                </c:pt>
                <c:pt idx="104">
                  <c:v>27/01/2026 17:45</c:v>
                </c:pt>
                <c:pt idx="105">
                  <c:v>27/01/2026 18:00</c:v>
                </c:pt>
                <c:pt idx="106">
                  <c:v>27/01/2026 18:15</c:v>
                </c:pt>
                <c:pt idx="107">
                  <c:v>27/01/2026 18:30</c:v>
                </c:pt>
                <c:pt idx="108">
                  <c:v>27/01/2026 18:45</c:v>
                </c:pt>
                <c:pt idx="109">
                  <c:v>27/01/2026 19:00</c:v>
                </c:pt>
                <c:pt idx="110">
                  <c:v>27/01/2026 19:15</c:v>
                </c:pt>
                <c:pt idx="111">
                  <c:v>27/01/2026 19:30</c:v>
                </c:pt>
                <c:pt idx="112">
                  <c:v>27/01/2026 19:45</c:v>
                </c:pt>
                <c:pt idx="113">
                  <c:v>27/01/2026 20:00</c:v>
                </c:pt>
                <c:pt idx="114">
                  <c:v>27/01/2026 20:15</c:v>
                </c:pt>
                <c:pt idx="115">
                  <c:v>27/01/2026 20:30</c:v>
                </c:pt>
                <c:pt idx="116">
                  <c:v>27/01/2026 20:45</c:v>
                </c:pt>
                <c:pt idx="117">
                  <c:v>27/01/2026 21:00</c:v>
                </c:pt>
                <c:pt idx="118">
                  <c:v>27/01/2026 21:15</c:v>
                </c:pt>
                <c:pt idx="119">
                  <c:v>27/01/2026 21:30</c:v>
                </c:pt>
                <c:pt idx="120">
                  <c:v>27/01/2026 21:45</c:v>
                </c:pt>
                <c:pt idx="121">
                  <c:v>27/01/2026 22:00</c:v>
                </c:pt>
                <c:pt idx="122">
                  <c:v>27/01/2026 22:15</c:v>
                </c:pt>
                <c:pt idx="123">
                  <c:v>27/01/2026 22:30</c:v>
                </c:pt>
                <c:pt idx="124">
                  <c:v>27/01/2026 22:45</c:v>
                </c:pt>
                <c:pt idx="125">
                  <c:v>27/01/2026 23:00</c:v>
                </c:pt>
                <c:pt idx="126">
                  <c:v>27/01/2026 23:15</c:v>
                </c:pt>
                <c:pt idx="127">
                  <c:v>27/01/2026 23:30</c:v>
                </c:pt>
                <c:pt idx="128">
                  <c:v>27/01/2026 23:45</c:v>
                </c:pt>
                <c:pt idx="129">
                  <c:v>27/01/2026 24:00</c:v>
                </c:pt>
                <c:pt idx="130">
                  <c:v>28/01/2026 00:15</c:v>
                </c:pt>
                <c:pt idx="131">
                  <c:v>28/01/2026 00:30</c:v>
                </c:pt>
                <c:pt idx="132">
                  <c:v>28/01/2026 00:45</c:v>
                </c:pt>
                <c:pt idx="133">
                  <c:v>28/01/2026 01:00</c:v>
                </c:pt>
                <c:pt idx="134">
                  <c:v>28/01/2026 01:15</c:v>
                </c:pt>
                <c:pt idx="135">
                  <c:v>28/01/2026 01:30</c:v>
                </c:pt>
                <c:pt idx="136">
                  <c:v>28/01/2026 01:45</c:v>
                </c:pt>
                <c:pt idx="137">
                  <c:v>28/01/2026 02:00</c:v>
                </c:pt>
                <c:pt idx="138">
                  <c:v>28/01/2026 02:15</c:v>
                </c:pt>
                <c:pt idx="139">
                  <c:v>28/01/2026 02:30</c:v>
                </c:pt>
                <c:pt idx="140">
                  <c:v>28/01/2026 02:45</c:v>
                </c:pt>
                <c:pt idx="141">
                  <c:v>28/01/2026 03:00</c:v>
                </c:pt>
                <c:pt idx="142">
                  <c:v>28/01/2026 03:15</c:v>
                </c:pt>
                <c:pt idx="143">
                  <c:v>28/01/2026 03:30</c:v>
                </c:pt>
                <c:pt idx="144">
                  <c:v>28/01/2026 03:45</c:v>
                </c:pt>
                <c:pt idx="145">
                  <c:v>28/01/2026 04:00</c:v>
                </c:pt>
                <c:pt idx="146">
                  <c:v>28/01/2026 04:15</c:v>
                </c:pt>
                <c:pt idx="147">
                  <c:v>28/01/2026 04:30</c:v>
                </c:pt>
                <c:pt idx="148">
                  <c:v>28/01/2026 04:45</c:v>
                </c:pt>
                <c:pt idx="149">
                  <c:v>28/01/2026 05:00</c:v>
                </c:pt>
                <c:pt idx="150">
                  <c:v>28/01/2026 05:15</c:v>
                </c:pt>
                <c:pt idx="151">
                  <c:v>28/01/2026 05:30</c:v>
                </c:pt>
                <c:pt idx="152">
                  <c:v>28/01/2026 05:45</c:v>
                </c:pt>
                <c:pt idx="153">
                  <c:v>28/01/2026 06:00</c:v>
                </c:pt>
                <c:pt idx="154">
                  <c:v>28/01/2026 06:15</c:v>
                </c:pt>
                <c:pt idx="155">
                  <c:v>28/01/2026 06:30</c:v>
                </c:pt>
                <c:pt idx="156">
                  <c:v>28/01/2026 06:45</c:v>
                </c:pt>
                <c:pt idx="157">
                  <c:v>28/01/2026 07:00</c:v>
                </c:pt>
                <c:pt idx="158">
                  <c:v>28/01/2026 07:15</c:v>
                </c:pt>
                <c:pt idx="159">
                  <c:v>28/01/2026 07:30</c:v>
                </c:pt>
                <c:pt idx="160">
                  <c:v>28/01/2026 07:45</c:v>
                </c:pt>
                <c:pt idx="161">
                  <c:v>28/01/2026 08:00</c:v>
                </c:pt>
                <c:pt idx="162">
                  <c:v>28/01/2026 08:15</c:v>
                </c:pt>
                <c:pt idx="163">
                  <c:v>28/01/2026 08:30</c:v>
                </c:pt>
                <c:pt idx="164">
                  <c:v>28/01/2026 08:45</c:v>
                </c:pt>
                <c:pt idx="165">
                  <c:v>28/01/2026 09:00</c:v>
                </c:pt>
                <c:pt idx="166">
                  <c:v>28/01/2026 09:15</c:v>
                </c:pt>
                <c:pt idx="167">
                  <c:v>28/01/2026 09:30</c:v>
                </c:pt>
                <c:pt idx="168">
                  <c:v>28/01/2026 09:45</c:v>
                </c:pt>
                <c:pt idx="169">
                  <c:v>28/01/2026 10:00</c:v>
                </c:pt>
                <c:pt idx="170">
                  <c:v>28/01/2026 10:15</c:v>
                </c:pt>
                <c:pt idx="171">
                  <c:v>28/01/2026 10:30</c:v>
                </c:pt>
                <c:pt idx="172">
                  <c:v>28/01/2026 10:45</c:v>
                </c:pt>
                <c:pt idx="173">
                  <c:v>28/01/2026 11:00</c:v>
                </c:pt>
                <c:pt idx="174">
                  <c:v>28/01/2026 11:15</c:v>
                </c:pt>
                <c:pt idx="175">
                  <c:v>28/01/2026 11:30</c:v>
                </c:pt>
                <c:pt idx="176">
                  <c:v>28/01/2026 11:45</c:v>
                </c:pt>
                <c:pt idx="177">
                  <c:v>28/01/2026 12:00</c:v>
                </c:pt>
                <c:pt idx="178">
                  <c:v>28/01/2026 12:15</c:v>
                </c:pt>
                <c:pt idx="179">
                  <c:v>28/01/2026 12:30</c:v>
                </c:pt>
                <c:pt idx="180">
                  <c:v>28/01/2026 12:45</c:v>
                </c:pt>
                <c:pt idx="181">
                  <c:v>28/01/2026 13:00</c:v>
                </c:pt>
                <c:pt idx="182">
                  <c:v>28/01/2026 13:15</c:v>
                </c:pt>
                <c:pt idx="183">
                  <c:v>28/01/2026 13:30</c:v>
                </c:pt>
                <c:pt idx="184">
                  <c:v>28/01/2026 13:45</c:v>
                </c:pt>
                <c:pt idx="185">
                  <c:v>28/01/2026 14:00</c:v>
                </c:pt>
                <c:pt idx="186">
                  <c:v>28/01/2026 14:15</c:v>
                </c:pt>
                <c:pt idx="187">
                  <c:v>28/01/2026 14:30</c:v>
                </c:pt>
                <c:pt idx="188">
                  <c:v>28/01/2026 14:45</c:v>
                </c:pt>
                <c:pt idx="189">
                  <c:v>28/01/2026 15:00</c:v>
                </c:pt>
                <c:pt idx="190">
                  <c:v>28/01/2026 15:15</c:v>
                </c:pt>
                <c:pt idx="191">
                  <c:v>28/01/2026 15:30</c:v>
                </c:pt>
                <c:pt idx="192">
                  <c:v>28/01/2026 15:45</c:v>
                </c:pt>
                <c:pt idx="193">
                  <c:v>28/01/2026 16:00</c:v>
                </c:pt>
                <c:pt idx="194">
                  <c:v>28/01/2026 16:15</c:v>
                </c:pt>
                <c:pt idx="195">
                  <c:v>28/01/2026 16:30</c:v>
                </c:pt>
                <c:pt idx="196">
                  <c:v>28/01/2026 16:45</c:v>
                </c:pt>
                <c:pt idx="197">
                  <c:v>28/01/2026 17:00</c:v>
                </c:pt>
                <c:pt idx="198">
                  <c:v>28/01/2026 17:15</c:v>
                </c:pt>
                <c:pt idx="199">
                  <c:v>28/01/2026 17:30</c:v>
                </c:pt>
                <c:pt idx="200">
                  <c:v>28/01/2026 17:45</c:v>
                </c:pt>
                <c:pt idx="201">
                  <c:v>28/01/2026 18:00</c:v>
                </c:pt>
                <c:pt idx="202">
                  <c:v>28/01/2026 18:15</c:v>
                </c:pt>
                <c:pt idx="203">
                  <c:v>28/01/2026 18:30</c:v>
                </c:pt>
                <c:pt idx="204">
                  <c:v>28/01/2026 18:45</c:v>
                </c:pt>
                <c:pt idx="205">
                  <c:v>28/01/2026 19:00</c:v>
                </c:pt>
                <c:pt idx="206">
                  <c:v>28/01/2026 19:15</c:v>
                </c:pt>
                <c:pt idx="207">
                  <c:v>28/01/2026 19:30</c:v>
                </c:pt>
                <c:pt idx="208">
                  <c:v>28/01/2026 19:45</c:v>
                </c:pt>
                <c:pt idx="209">
                  <c:v>28/01/2026 20:00</c:v>
                </c:pt>
                <c:pt idx="210">
                  <c:v>28/01/2026 20:15</c:v>
                </c:pt>
                <c:pt idx="211">
                  <c:v>28/01/2026 20:30</c:v>
                </c:pt>
                <c:pt idx="212">
                  <c:v>28/01/2026 20:45</c:v>
                </c:pt>
                <c:pt idx="213">
                  <c:v>28/01/2026 21:00</c:v>
                </c:pt>
                <c:pt idx="214">
                  <c:v>28/01/2026 21:15</c:v>
                </c:pt>
                <c:pt idx="215">
                  <c:v>28/01/2026 21:30</c:v>
                </c:pt>
                <c:pt idx="216">
                  <c:v>28/01/2026 21:45</c:v>
                </c:pt>
                <c:pt idx="217">
                  <c:v>28/01/2026 22:00</c:v>
                </c:pt>
                <c:pt idx="218">
                  <c:v>28/01/2026 22:15</c:v>
                </c:pt>
                <c:pt idx="219">
                  <c:v>28/01/2026 22:30</c:v>
                </c:pt>
                <c:pt idx="220">
                  <c:v>28/01/2026 22:45</c:v>
                </c:pt>
                <c:pt idx="221">
                  <c:v>28/01/2026 23:00</c:v>
                </c:pt>
                <c:pt idx="222">
                  <c:v>28/01/2026 23:15</c:v>
                </c:pt>
                <c:pt idx="223">
                  <c:v>28/01/2026 23:30</c:v>
                </c:pt>
                <c:pt idx="224">
                  <c:v>28/01/2026 23:45</c:v>
                </c:pt>
                <c:pt idx="225">
                  <c:v>28/01/2026 24:00</c:v>
                </c:pt>
                <c:pt idx="226">
                  <c:v>29/01/2026 00:15</c:v>
                </c:pt>
                <c:pt idx="227">
                  <c:v>29/01/2026 00:30</c:v>
                </c:pt>
                <c:pt idx="228">
                  <c:v>29/01/2026 00:45</c:v>
                </c:pt>
                <c:pt idx="229">
                  <c:v>29/01/2026 01:00</c:v>
                </c:pt>
                <c:pt idx="230">
                  <c:v>29/01/2026 01:15</c:v>
                </c:pt>
                <c:pt idx="231">
                  <c:v>29/01/2026 01:30</c:v>
                </c:pt>
                <c:pt idx="232">
                  <c:v>29/01/2026 01:45</c:v>
                </c:pt>
                <c:pt idx="233">
                  <c:v>29/01/2026 02:00</c:v>
                </c:pt>
                <c:pt idx="234">
                  <c:v>29/01/2026 02:15</c:v>
                </c:pt>
                <c:pt idx="235">
                  <c:v>29/01/2026 02:30</c:v>
                </c:pt>
                <c:pt idx="236">
                  <c:v>29/01/2026 02:45</c:v>
                </c:pt>
                <c:pt idx="237">
                  <c:v>29/01/2026 03:00</c:v>
                </c:pt>
                <c:pt idx="238">
                  <c:v>29/01/2026 03:15</c:v>
                </c:pt>
                <c:pt idx="239">
                  <c:v>29/01/2026 03:30</c:v>
                </c:pt>
                <c:pt idx="240">
                  <c:v>29/01/2026 03:45</c:v>
                </c:pt>
                <c:pt idx="241">
                  <c:v>29/01/2026 04:00</c:v>
                </c:pt>
                <c:pt idx="242">
                  <c:v>29/01/2026 04:15</c:v>
                </c:pt>
                <c:pt idx="243">
                  <c:v>29/01/2026 04:30</c:v>
                </c:pt>
                <c:pt idx="244">
                  <c:v>29/01/2026 04:45</c:v>
                </c:pt>
                <c:pt idx="245">
                  <c:v>29/01/2026 05:00</c:v>
                </c:pt>
                <c:pt idx="246">
                  <c:v>29/01/2026 05:15</c:v>
                </c:pt>
                <c:pt idx="247">
                  <c:v>29/01/2026 05:30</c:v>
                </c:pt>
                <c:pt idx="248">
                  <c:v>29/01/2026 05:45</c:v>
                </c:pt>
                <c:pt idx="249">
                  <c:v>29/01/2026 06:00</c:v>
                </c:pt>
                <c:pt idx="250">
                  <c:v>29/01/2026 06:15</c:v>
                </c:pt>
                <c:pt idx="251">
                  <c:v>29/01/2026 06:30</c:v>
                </c:pt>
                <c:pt idx="252">
                  <c:v>29/01/2026 06:45</c:v>
                </c:pt>
                <c:pt idx="253">
                  <c:v>29/01/2026 07:00</c:v>
                </c:pt>
                <c:pt idx="254">
                  <c:v>29/01/2026 07:15</c:v>
                </c:pt>
                <c:pt idx="255">
                  <c:v>29/01/2026 07:30</c:v>
                </c:pt>
                <c:pt idx="256">
                  <c:v>29/01/2026 07:45</c:v>
                </c:pt>
                <c:pt idx="257">
                  <c:v>29/01/2026 08:00</c:v>
                </c:pt>
                <c:pt idx="258">
                  <c:v>29/01/2026 08:15</c:v>
                </c:pt>
                <c:pt idx="259">
                  <c:v>29/01/2026 08:30</c:v>
                </c:pt>
                <c:pt idx="260">
                  <c:v>29/01/2026 08:45</c:v>
                </c:pt>
                <c:pt idx="261">
                  <c:v>29/01/2026 09:00</c:v>
                </c:pt>
                <c:pt idx="262">
                  <c:v>29/01/2026 09:15</c:v>
                </c:pt>
                <c:pt idx="263">
                  <c:v>29/01/2026 09:30</c:v>
                </c:pt>
                <c:pt idx="264">
                  <c:v>29/01/2026 09:45</c:v>
                </c:pt>
                <c:pt idx="265">
                  <c:v>29/01/2026 10:00</c:v>
                </c:pt>
                <c:pt idx="266">
                  <c:v>29/01/2026 10:15</c:v>
                </c:pt>
                <c:pt idx="267">
                  <c:v>29/01/2026 10:30</c:v>
                </c:pt>
                <c:pt idx="268">
                  <c:v>29/01/2026 10:45</c:v>
                </c:pt>
                <c:pt idx="269">
                  <c:v>29/01/2026 11:00</c:v>
                </c:pt>
                <c:pt idx="270">
                  <c:v>29/01/2026 11:15</c:v>
                </c:pt>
                <c:pt idx="271">
                  <c:v>29/01/2026 11:30</c:v>
                </c:pt>
                <c:pt idx="272">
                  <c:v>29/01/2026 11:45</c:v>
                </c:pt>
                <c:pt idx="273">
                  <c:v>29/01/2026 12:00</c:v>
                </c:pt>
                <c:pt idx="274">
                  <c:v>29/01/2026 12:15</c:v>
                </c:pt>
                <c:pt idx="275">
                  <c:v>29/01/2026 12:30</c:v>
                </c:pt>
                <c:pt idx="276">
                  <c:v>29/01/2026 12:45</c:v>
                </c:pt>
                <c:pt idx="277">
                  <c:v>29/01/2026 13:00</c:v>
                </c:pt>
                <c:pt idx="278">
                  <c:v>29/01/2026 13:15</c:v>
                </c:pt>
                <c:pt idx="279">
                  <c:v>29/01/2026 13:30</c:v>
                </c:pt>
                <c:pt idx="280">
                  <c:v>29/01/2026 13:45</c:v>
                </c:pt>
                <c:pt idx="281">
                  <c:v>29/01/2026 14:00</c:v>
                </c:pt>
                <c:pt idx="282">
                  <c:v>29/01/2026 14:15</c:v>
                </c:pt>
                <c:pt idx="283">
                  <c:v>29/01/2026 14:30</c:v>
                </c:pt>
                <c:pt idx="284">
                  <c:v>29/01/2026 14:45</c:v>
                </c:pt>
                <c:pt idx="285">
                  <c:v>29/01/2026 15:00</c:v>
                </c:pt>
                <c:pt idx="286">
                  <c:v>29/01/2026 15:15</c:v>
                </c:pt>
                <c:pt idx="287">
                  <c:v>29/01/2026 15:30</c:v>
                </c:pt>
                <c:pt idx="288">
                  <c:v>29/01/2026 15:45</c:v>
                </c:pt>
                <c:pt idx="289">
                  <c:v>29/01/2026 16:00</c:v>
                </c:pt>
                <c:pt idx="290">
                  <c:v>29/01/2026 16:15</c:v>
                </c:pt>
                <c:pt idx="291">
                  <c:v>29/01/2026 16:30</c:v>
                </c:pt>
                <c:pt idx="292">
                  <c:v>29/01/2026 16:45</c:v>
                </c:pt>
                <c:pt idx="293">
                  <c:v>29/01/2026 17:00</c:v>
                </c:pt>
                <c:pt idx="294">
                  <c:v>29/01/2026 17:15</c:v>
                </c:pt>
                <c:pt idx="295">
                  <c:v>29/01/2026 17:30</c:v>
                </c:pt>
                <c:pt idx="296">
                  <c:v>29/01/2026 17:45</c:v>
                </c:pt>
                <c:pt idx="297">
                  <c:v>29/01/2026 18:00</c:v>
                </c:pt>
                <c:pt idx="298">
                  <c:v>29/01/2026 18:15</c:v>
                </c:pt>
                <c:pt idx="299">
                  <c:v>29/01/2026 18:30</c:v>
                </c:pt>
                <c:pt idx="300">
                  <c:v>29/01/2026 18:45</c:v>
                </c:pt>
                <c:pt idx="301">
                  <c:v>29/01/2026 19:00</c:v>
                </c:pt>
                <c:pt idx="302">
                  <c:v>29/01/2026 19:15</c:v>
                </c:pt>
                <c:pt idx="303">
                  <c:v>29/01/2026 19:30</c:v>
                </c:pt>
                <c:pt idx="304">
                  <c:v>29/01/2026 19:45</c:v>
                </c:pt>
                <c:pt idx="305">
                  <c:v>29/01/2026 20:00</c:v>
                </c:pt>
                <c:pt idx="306">
                  <c:v>29/01/2026 20:15</c:v>
                </c:pt>
                <c:pt idx="307">
                  <c:v>29/01/2026 20:30</c:v>
                </c:pt>
                <c:pt idx="308">
                  <c:v>29/01/2026 20:45</c:v>
                </c:pt>
                <c:pt idx="309">
                  <c:v>29/01/2026 21:00</c:v>
                </c:pt>
                <c:pt idx="310">
                  <c:v>29/01/2026 21:15</c:v>
                </c:pt>
                <c:pt idx="311">
                  <c:v>29/01/2026 21:30</c:v>
                </c:pt>
                <c:pt idx="312">
                  <c:v>29/01/2026 21:45</c:v>
                </c:pt>
                <c:pt idx="313">
                  <c:v>29/01/2026 22:00</c:v>
                </c:pt>
                <c:pt idx="314">
                  <c:v>29/01/2026 22:15</c:v>
                </c:pt>
                <c:pt idx="315">
                  <c:v>29/01/2026 22:30</c:v>
                </c:pt>
                <c:pt idx="316">
                  <c:v>29/01/2026 22:45</c:v>
                </c:pt>
                <c:pt idx="317">
                  <c:v>29/01/2026 23:00</c:v>
                </c:pt>
                <c:pt idx="318">
                  <c:v>29/01/2026 23:15</c:v>
                </c:pt>
                <c:pt idx="319">
                  <c:v>29/01/2026 23:30</c:v>
                </c:pt>
                <c:pt idx="320">
                  <c:v>29/01/2026 23:45</c:v>
                </c:pt>
                <c:pt idx="321">
                  <c:v>29/01/2026 24:00</c:v>
                </c:pt>
                <c:pt idx="322">
                  <c:v>30/01/2026 00:15</c:v>
                </c:pt>
                <c:pt idx="323">
                  <c:v>30/01/2026 00:30</c:v>
                </c:pt>
                <c:pt idx="324">
                  <c:v>30/01/2026 00:45</c:v>
                </c:pt>
                <c:pt idx="325">
                  <c:v>30/01/2026 01:00</c:v>
                </c:pt>
                <c:pt idx="326">
                  <c:v>30/01/2026 01:15</c:v>
                </c:pt>
                <c:pt idx="327">
                  <c:v>30/01/2026 01:30</c:v>
                </c:pt>
                <c:pt idx="328">
                  <c:v>30/01/2026 01:45</c:v>
                </c:pt>
                <c:pt idx="329">
                  <c:v>30/01/2026 02:00</c:v>
                </c:pt>
                <c:pt idx="330">
                  <c:v>30/01/2026 02:15</c:v>
                </c:pt>
                <c:pt idx="331">
                  <c:v>30/01/2026 02:30</c:v>
                </c:pt>
                <c:pt idx="332">
                  <c:v>30/01/2026 02:45</c:v>
                </c:pt>
                <c:pt idx="333">
                  <c:v>30/01/2026 03:00</c:v>
                </c:pt>
                <c:pt idx="334">
                  <c:v>30/01/2026 03:15</c:v>
                </c:pt>
                <c:pt idx="335">
                  <c:v>30/01/2026 03:30</c:v>
                </c:pt>
                <c:pt idx="336">
                  <c:v>30/01/2026 03:45</c:v>
                </c:pt>
                <c:pt idx="337">
                  <c:v>30/01/2026 04:00</c:v>
                </c:pt>
                <c:pt idx="338">
                  <c:v>30/01/2026 04:15</c:v>
                </c:pt>
                <c:pt idx="339">
                  <c:v>30/01/2026 04:30</c:v>
                </c:pt>
                <c:pt idx="340">
                  <c:v>30/01/2026 04:45</c:v>
                </c:pt>
                <c:pt idx="341">
                  <c:v>30/01/2026 05:00</c:v>
                </c:pt>
                <c:pt idx="342">
                  <c:v>30/01/2026 05:15</c:v>
                </c:pt>
                <c:pt idx="343">
                  <c:v>30/01/2026 05:30</c:v>
                </c:pt>
                <c:pt idx="344">
                  <c:v>30/01/2026 05:45</c:v>
                </c:pt>
                <c:pt idx="345">
                  <c:v>30/01/2026 06:00</c:v>
                </c:pt>
                <c:pt idx="346">
                  <c:v>30/01/2026 06:15</c:v>
                </c:pt>
                <c:pt idx="347">
                  <c:v>30/01/2026 06:30</c:v>
                </c:pt>
                <c:pt idx="348">
                  <c:v>30/01/2026 06:45</c:v>
                </c:pt>
                <c:pt idx="349">
                  <c:v>30/01/2026 07:00</c:v>
                </c:pt>
                <c:pt idx="350">
                  <c:v>30/01/2026 07:15</c:v>
                </c:pt>
                <c:pt idx="351">
                  <c:v>30/01/2026 07:30</c:v>
                </c:pt>
                <c:pt idx="352">
                  <c:v>30/01/2026 07:45</c:v>
                </c:pt>
                <c:pt idx="353">
                  <c:v>30/01/2026 08:00</c:v>
                </c:pt>
                <c:pt idx="354">
                  <c:v>30/01/2026 08:15</c:v>
                </c:pt>
                <c:pt idx="355">
                  <c:v>30/01/2026 08:30</c:v>
                </c:pt>
                <c:pt idx="356">
                  <c:v>30/01/2026 08:45</c:v>
                </c:pt>
                <c:pt idx="357">
                  <c:v>30/01/2026 09:00</c:v>
                </c:pt>
                <c:pt idx="358">
                  <c:v>30/01/2026 09:15</c:v>
                </c:pt>
                <c:pt idx="359">
                  <c:v>30/01/2026 09:30</c:v>
                </c:pt>
                <c:pt idx="360">
                  <c:v>30/01/2026 09:45</c:v>
                </c:pt>
                <c:pt idx="361">
                  <c:v>30/01/2026 10:00</c:v>
                </c:pt>
                <c:pt idx="362">
                  <c:v>30/01/2026 10:15</c:v>
                </c:pt>
                <c:pt idx="363">
                  <c:v>30/01/2026 10:30</c:v>
                </c:pt>
                <c:pt idx="364">
                  <c:v>30/01/2026 10:45</c:v>
                </c:pt>
                <c:pt idx="365">
                  <c:v>30/01/2026 11:00</c:v>
                </c:pt>
                <c:pt idx="366">
                  <c:v>30/01/2026 11:15</c:v>
                </c:pt>
                <c:pt idx="367">
                  <c:v>30/01/2026 11:30</c:v>
                </c:pt>
                <c:pt idx="368">
                  <c:v>30/01/2026 11:45</c:v>
                </c:pt>
                <c:pt idx="369">
                  <c:v>30/01/2026 12:00</c:v>
                </c:pt>
                <c:pt idx="370">
                  <c:v>30/01/2026 12:15</c:v>
                </c:pt>
                <c:pt idx="371">
                  <c:v>30/01/2026 12:30</c:v>
                </c:pt>
                <c:pt idx="372">
                  <c:v>30/01/2026 12:45</c:v>
                </c:pt>
                <c:pt idx="373">
                  <c:v>30/01/2026 13:00</c:v>
                </c:pt>
                <c:pt idx="374">
                  <c:v>30/01/2026 13:15</c:v>
                </c:pt>
                <c:pt idx="375">
                  <c:v>30/01/2026 13:30</c:v>
                </c:pt>
                <c:pt idx="376">
                  <c:v>30/01/2026 13:45</c:v>
                </c:pt>
                <c:pt idx="377">
                  <c:v>30/01/2026 14:00</c:v>
                </c:pt>
                <c:pt idx="378">
                  <c:v>30/01/2026 14:15</c:v>
                </c:pt>
                <c:pt idx="379">
                  <c:v>30/01/2026 14:30</c:v>
                </c:pt>
                <c:pt idx="380">
                  <c:v>30/01/2026 14:45</c:v>
                </c:pt>
                <c:pt idx="381">
                  <c:v>30/01/2026 15:00</c:v>
                </c:pt>
                <c:pt idx="382">
                  <c:v>30/01/2026 15:15</c:v>
                </c:pt>
                <c:pt idx="383">
                  <c:v>30/01/2026 15:30</c:v>
                </c:pt>
                <c:pt idx="384">
                  <c:v>30/01/2026 15:45</c:v>
                </c:pt>
                <c:pt idx="385">
                  <c:v>30/01/2026 16:00</c:v>
                </c:pt>
                <c:pt idx="386">
                  <c:v>30/01/2026 16:15</c:v>
                </c:pt>
                <c:pt idx="387">
                  <c:v>30/01/2026 16:30</c:v>
                </c:pt>
                <c:pt idx="388">
                  <c:v>30/01/2026 16:45</c:v>
                </c:pt>
                <c:pt idx="389">
                  <c:v>30/01/2026 17:00</c:v>
                </c:pt>
                <c:pt idx="390">
                  <c:v>30/01/2026 17:15</c:v>
                </c:pt>
                <c:pt idx="391">
                  <c:v>30/01/2026 17:30</c:v>
                </c:pt>
                <c:pt idx="392">
                  <c:v>30/01/2026 17:45</c:v>
                </c:pt>
                <c:pt idx="393">
                  <c:v>30/01/2026 18:00</c:v>
                </c:pt>
                <c:pt idx="394">
                  <c:v>30/01/2026 18:15</c:v>
                </c:pt>
                <c:pt idx="395">
                  <c:v>30/01/2026 18:30</c:v>
                </c:pt>
                <c:pt idx="396">
                  <c:v>30/01/2026 18:45</c:v>
                </c:pt>
                <c:pt idx="397">
                  <c:v>30/01/2026 19:00</c:v>
                </c:pt>
                <c:pt idx="398">
                  <c:v>30/01/2026 19:15</c:v>
                </c:pt>
                <c:pt idx="399">
                  <c:v>30/01/2026 19:30</c:v>
                </c:pt>
                <c:pt idx="400">
                  <c:v>30/01/2026 19:45</c:v>
                </c:pt>
                <c:pt idx="401">
                  <c:v>30/01/2026 20:00</c:v>
                </c:pt>
                <c:pt idx="402">
                  <c:v>30/01/2026 20:15</c:v>
                </c:pt>
                <c:pt idx="403">
                  <c:v>30/01/2026 20:30</c:v>
                </c:pt>
                <c:pt idx="404">
                  <c:v>30/01/2026 20:45</c:v>
                </c:pt>
                <c:pt idx="405">
                  <c:v>30/01/2026 21:00</c:v>
                </c:pt>
                <c:pt idx="406">
                  <c:v>30/01/2026 21:15</c:v>
                </c:pt>
                <c:pt idx="407">
                  <c:v>30/01/2026 21:30</c:v>
                </c:pt>
                <c:pt idx="408">
                  <c:v>30/01/2026 21:45</c:v>
                </c:pt>
                <c:pt idx="409">
                  <c:v>30/01/2026 22:00</c:v>
                </c:pt>
                <c:pt idx="410">
                  <c:v>30/01/2026 22:15</c:v>
                </c:pt>
                <c:pt idx="411">
                  <c:v>30/01/2026 22:30</c:v>
                </c:pt>
                <c:pt idx="412">
                  <c:v>30/01/2026 22:45</c:v>
                </c:pt>
                <c:pt idx="413">
                  <c:v>30/01/2026 23:00</c:v>
                </c:pt>
                <c:pt idx="414">
                  <c:v>30/01/2026 23:15</c:v>
                </c:pt>
                <c:pt idx="415">
                  <c:v>30/01/2026 23:30</c:v>
                </c:pt>
                <c:pt idx="416">
                  <c:v>30/01/2026 23:45</c:v>
                </c:pt>
                <c:pt idx="417">
                  <c:v>30/01/2026 24:00</c:v>
                </c:pt>
                <c:pt idx="418">
                  <c:v>31/01/2026 00:15</c:v>
                </c:pt>
                <c:pt idx="419">
                  <c:v>31/01/2026 00:30</c:v>
                </c:pt>
                <c:pt idx="420">
                  <c:v>31/01/2026 00:45</c:v>
                </c:pt>
                <c:pt idx="421">
                  <c:v>31/01/2026 01:00</c:v>
                </c:pt>
                <c:pt idx="422">
                  <c:v>31/01/2026 01:15</c:v>
                </c:pt>
                <c:pt idx="423">
                  <c:v>31/01/2026 01:30</c:v>
                </c:pt>
                <c:pt idx="424">
                  <c:v>31/01/2026 01:45</c:v>
                </c:pt>
                <c:pt idx="425">
                  <c:v>31/01/2026 02:00</c:v>
                </c:pt>
                <c:pt idx="426">
                  <c:v>31/01/2026 02:15</c:v>
                </c:pt>
                <c:pt idx="427">
                  <c:v>31/01/2026 02:30</c:v>
                </c:pt>
                <c:pt idx="428">
                  <c:v>31/01/2026 02:45</c:v>
                </c:pt>
                <c:pt idx="429">
                  <c:v>31/01/2026 03:00</c:v>
                </c:pt>
                <c:pt idx="430">
                  <c:v>31/01/2026 03:15</c:v>
                </c:pt>
                <c:pt idx="431">
                  <c:v>31/01/2026 03:30</c:v>
                </c:pt>
                <c:pt idx="432">
                  <c:v>31/01/2026 03:45</c:v>
                </c:pt>
                <c:pt idx="433">
                  <c:v>31/01/2026 04:00</c:v>
                </c:pt>
                <c:pt idx="434">
                  <c:v>31/01/2026 04:15</c:v>
                </c:pt>
                <c:pt idx="435">
                  <c:v>31/01/2026 04:30</c:v>
                </c:pt>
                <c:pt idx="436">
                  <c:v>31/01/2026 04:45</c:v>
                </c:pt>
                <c:pt idx="437">
                  <c:v>31/01/2026 05:00</c:v>
                </c:pt>
                <c:pt idx="438">
                  <c:v>31/01/2026 05:15</c:v>
                </c:pt>
                <c:pt idx="439">
                  <c:v>31/01/2026 05:30</c:v>
                </c:pt>
                <c:pt idx="440">
                  <c:v>31/01/2026 05:45</c:v>
                </c:pt>
                <c:pt idx="441">
                  <c:v>31/01/2026 06:00</c:v>
                </c:pt>
                <c:pt idx="442">
                  <c:v>31/01/2026 06:15</c:v>
                </c:pt>
                <c:pt idx="443">
                  <c:v>31/01/2026 06:30</c:v>
                </c:pt>
                <c:pt idx="444">
                  <c:v>31/01/2026 06:45</c:v>
                </c:pt>
                <c:pt idx="445">
                  <c:v>31/01/2026 07:00</c:v>
                </c:pt>
                <c:pt idx="446">
                  <c:v>31/01/2026 07:15</c:v>
                </c:pt>
                <c:pt idx="447">
                  <c:v>31/01/2026 07:30</c:v>
                </c:pt>
                <c:pt idx="448">
                  <c:v>31/01/2026 07:45</c:v>
                </c:pt>
                <c:pt idx="449">
                  <c:v>31/01/2026 08:00</c:v>
                </c:pt>
                <c:pt idx="450">
                  <c:v>31/01/2026 08:15</c:v>
                </c:pt>
                <c:pt idx="451">
                  <c:v>31/01/2026 08:30</c:v>
                </c:pt>
                <c:pt idx="452">
                  <c:v>31/01/2026 08:45</c:v>
                </c:pt>
                <c:pt idx="453">
                  <c:v>31/01/2026 09:00</c:v>
                </c:pt>
                <c:pt idx="454">
                  <c:v>31/01/2026 09:15</c:v>
                </c:pt>
                <c:pt idx="455">
                  <c:v>31/01/2026 09:30</c:v>
                </c:pt>
                <c:pt idx="456">
                  <c:v>31/01/2026 09:45</c:v>
                </c:pt>
                <c:pt idx="457">
                  <c:v>31/01/2026 10:00</c:v>
                </c:pt>
                <c:pt idx="458">
                  <c:v>31/01/2026 10:15</c:v>
                </c:pt>
                <c:pt idx="459">
                  <c:v>31/01/2026 10:30</c:v>
                </c:pt>
                <c:pt idx="460">
                  <c:v>31/01/2026 10:45</c:v>
                </c:pt>
                <c:pt idx="461">
                  <c:v>31/01/2026 11:00</c:v>
                </c:pt>
                <c:pt idx="462">
                  <c:v>31/01/2026 11:15</c:v>
                </c:pt>
                <c:pt idx="463">
                  <c:v>31/01/2026 11:30</c:v>
                </c:pt>
                <c:pt idx="464">
                  <c:v>31/01/2026 11:45</c:v>
                </c:pt>
                <c:pt idx="465">
                  <c:v>31/01/2026 12:00</c:v>
                </c:pt>
                <c:pt idx="466">
                  <c:v>31/01/2026 12:15</c:v>
                </c:pt>
                <c:pt idx="467">
                  <c:v>31/01/2026 12:30</c:v>
                </c:pt>
                <c:pt idx="468">
                  <c:v>31/01/2026 12:45</c:v>
                </c:pt>
                <c:pt idx="469">
                  <c:v>31/01/2026 13:00</c:v>
                </c:pt>
                <c:pt idx="470">
                  <c:v>31/01/2026 13:15</c:v>
                </c:pt>
                <c:pt idx="471">
                  <c:v>31/01/2026 13:30</c:v>
                </c:pt>
                <c:pt idx="472">
                  <c:v>31/01/2026 13:45</c:v>
                </c:pt>
                <c:pt idx="473">
                  <c:v>31/01/2026 14:00</c:v>
                </c:pt>
                <c:pt idx="474">
                  <c:v>31/01/2026 14:15</c:v>
                </c:pt>
                <c:pt idx="475">
                  <c:v>31/01/2026 14:30</c:v>
                </c:pt>
                <c:pt idx="476">
                  <c:v>31/01/2026 14:45</c:v>
                </c:pt>
                <c:pt idx="477">
                  <c:v>31/01/2026 15:00</c:v>
                </c:pt>
                <c:pt idx="478">
                  <c:v>31/01/2026 15:15</c:v>
                </c:pt>
                <c:pt idx="479">
                  <c:v>31/01/2026 15:30</c:v>
                </c:pt>
                <c:pt idx="480">
                  <c:v>31/01/2026 15:45</c:v>
                </c:pt>
                <c:pt idx="481">
                  <c:v>31/01/2026 16:00</c:v>
                </c:pt>
                <c:pt idx="482">
                  <c:v>31/01/2026 16:15</c:v>
                </c:pt>
                <c:pt idx="483">
                  <c:v>31/01/2026 16:30</c:v>
                </c:pt>
                <c:pt idx="484">
                  <c:v>31/01/2026 16:45</c:v>
                </c:pt>
                <c:pt idx="485">
                  <c:v>31/01/2026 17:00</c:v>
                </c:pt>
                <c:pt idx="486">
                  <c:v>31/01/2026 17:15</c:v>
                </c:pt>
                <c:pt idx="487">
                  <c:v>31/01/2026 17:30</c:v>
                </c:pt>
                <c:pt idx="488">
                  <c:v>31/01/2026 17:45</c:v>
                </c:pt>
                <c:pt idx="489">
                  <c:v>31/01/2026 18:00</c:v>
                </c:pt>
                <c:pt idx="490">
                  <c:v>31/01/2026 18:15</c:v>
                </c:pt>
                <c:pt idx="491">
                  <c:v>31/01/2026 18:30</c:v>
                </c:pt>
                <c:pt idx="492">
                  <c:v>31/01/2026 18:45</c:v>
                </c:pt>
                <c:pt idx="493">
                  <c:v>31/01/2026 19:00</c:v>
                </c:pt>
                <c:pt idx="494">
                  <c:v>31/01/2026 19:15</c:v>
                </c:pt>
                <c:pt idx="495">
                  <c:v>31/01/2026 19:30</c:v>
                </c:pt>
                <c:pt idx="496">
                  <c:v>31/01/2026 19:45</c:v>
                </c:pt>
                <c:pt idx="497">
                  <c:v>31/01/2026 20:00</c:v>
                </c:pt>
                <c:pt idx="498">
                  <c:v>31/01/2026 20:15</c:v>
                </c:pt>
                <c:pt idx="499">
                  <c:v>31/01/2026 20:30</c:v>
                </c:pt>
                <c:pt idx="500">
                  <c:v>31/01/2026 20:45</c:v>
                </c:pt>
                <c:pt idx="501">
                  <c:v>31/01/2026 21:00</c:v>
                </c:pt>
                <c:pt idx="502">
                  <c:v>31/01/2026 21:15</c:v>
                </c:pt>
                <c:pt idx="503">
                  <c:v>31/01/2026 21:30</c:v>
                </c:pt>
                <c:pt idx="504">
                  <c:v>31/01/2026 21:45</c:v>
                </c:pt>
                <c:pt idx="505">
                  <c:v>31/01/2026 22:00</c:v>
                </c:pt>
                <c:pt idx="506">
                  <c:v>31/01/2026 22:15</c:v>
                </c:pt>
                <c:pt idx="507">
                  <c:v>31/01/2026 22:30</c:v>
                </c:pt>
                <c:pt idx="508">
                  <c:v>31/01/2026 22:45</c:v>
                </c:pt>
                <c:pt idx="509">
                  <c:v>31/01/2026 23:00</c:v>
                </c:pt>
                <c:pt idx="510">
                  <c:v>31/01/2026 23:15</c:v>
                </c:pt>
                <c:pt idx="511">
                  <c:v>31/01/2026 23:30</c:v>
                </c:pt>
                <c:pt idx="512">
                  <c:v>31/01/2026 23:45</c:v>
                </c:pt>
                <c:pt idx="513">
                  <c:v>31/01/2026 24:00</c:v>
                </c:pt>
                <c:pt idx="514">
                  <c:v>01/02/2026 00:15</c:v>
                </c:pt>
                <c:pt idx="515">
                  <c:v>01/02/2026 00:30</c:v>
                </c:pt>
                <c:pt idx="516">
                  <c:v>01/02/2026 00:45</c:v>
                </c:pt>
                <c:pt idx="517">
                  <c:v>01/02/2026 01:00</c:v>
                </c:pt>
                <c:pt idx="518">
                  <c:v>01/02/2026 01:15</c:v>
                </c:pt>
                <c:pt idx="519">
                  <c:v>01/02/2026 01:30</c:v>
                </c:pt>
                <c:pt idx="520">
                  <c:v>01/02/2026 01:45</c:v>
                </c:pt>
                <c:pt idx="521">
                  <c:v>01/02/2026 02:00</c:v>
                </c:pt>
                <c:pt idx="522">
                  <c:v>01/02/2026 02:15</c:v>
                </c:pt>
                <c:pt idx="523">
                  <c:v>01/02/2026 02:30</c:v>
                </c:pt>
                <c:pt idx="524">
                  <c:v>01/02/2026 02:45</c:v>
                </c:pt>
                <c:pt idx="525">
                  <c:v>01/02/2026 03:00</c:v>
                </c:pt>
                <c:pt idx="526">
                  <c:v>01/02/2026 03:15</c:v>
                </c:pt>
                <c:pt idx="527">
                  <c:v>01/02/2026 03:30</c:v>
                </c:pt>
                <c:pt idx="528">
                  <c:v>01/02/2026 03:45</c:v>
                </c:pt>
                <c:pt idx="529">
                  <c:v>01/02/2026 04:00</c:v>
                </c:pt>
                <c:pt idx="530">
                  <c:v>01/02/2026 04:15</c:v>
                </c:pt>
                <c:pt idx="531">
                  <c:v>01/02/2026 04:30</c:v>
                </c:pt>
                <c:pt idx="532">
                  <c:v>01/02/2026 04:45</c:v>
                </c:pt>
                <c:pt idx="533">
                  <c:v>01/02/2026 05:00</c:v>
                </c:pt>
                <c:pt idx="534">
                  <c:v>01/02/2026 05:15</c:v>
                </c:pt>
                <c:pt idx="535">
                  <c:v>01/02/2026 05:30</c:v>
                </c:pt>
                <c:pt idx="536">
                  <c:v>01/02/2026 05:45</c:v>
                </c:pt>
                <c:pt idx="537">
                  <c:v>01/02/2026 06:00</c:v>
                </c:pt>
                <c:pt idx="538">
                  <c:v>01/02/2026 06:15</c:v>
                </c:pt>
                <c:pt idx="539">
                  <c:v>01/02/2026 06:30</c:v>
                </c:pt>
                <c:pt idx="540">
                  <c:v>01/02/2026 06:45</c:v>
                </c:pt>
                <c:pt idx="541">
                  <c:v>01/02/2026 07:00</c:v>
                </c:pt>
                <c:pt idx="542">
                  <c:v>01/02/2026 07:15</c:v>
                </c:pt>
                <c:pt idx="543">
                  <c:v>01/02/2026 07:30</c:v>
                </c:pt>
                <c:pt idx="544">
                  <c:v>01/02/2026 07:45</c:v>
                </c:pt>
                <c:pt idx="545">
                  <c:v>01/02/2026 08:00</c:v>
                </c:pt>
                <c:pt idx="546">
                  <c:v>01/02/2026 08:15</c:v>
                </c:pt>
                <c:pt idx="547">
                  <c:v>01/02/2026 08:30</c:v>
                </c:pt>
                <c:pt idx="548">
                  <c:v>01/02/2026 08:45</c:v>
                </c:pt>
                <c:pt idx="549">
                  <c:v>01/02/2026 09:00</c:v>
                </c:pt>
                <c:pt idx="550">
                  <c:v>01/02/2026 09:15</c:v>
                </c:pt>
                <c:pt idx="551">
                  <c:v>01/02/2026 09:30</c:v>
                </c:pt>
                <c:pt idx="552">
                  <c:v>01/02/2026 09:45</c:v>
                </c:pt>
                <c:pt idx="553">
                  <c:v>01/02/2026 10:00</c:v>
                </c:pt>
                <c:pt idx="554">
                  <c:v>01/02/2026 10:15</c:v>
                </c:pt>
                <c:pt idx="555">
                  <c:v>01/02/2026 10:30</c:v>
                </c:pt>
                <c:pt idx="556">
                  <c:v>01/02/2026 10:45</c:v>
                </c:pt>
                <c:pt idx="557">
                  <c:v>01/02/2026 11:00</c:v>
                </c:pt>
                <c:pt idx="558">
                  <c:v>01/02/2026 11:15</c:v>
                </c:pt>
                <c:pt idx="559">
                  <c:v>01/02/2026 11:30</c:v>
                </c:pt>
                <c:pt idx="560">
                  <c:v>01/02/2026 11:45</c:v>
                </c:pt>
                <c:pt idx="561">
                  <c:v>01/02/2026 12:00</c:v>
                </c:pt>
                <c:pt idx="562">
                  <c:v>01/02/2026 12:15</c:v>
                </c:pt>
                <c:pt idx="563">
                  <c:v>01/02/2026 12:30</c:v>
                </c:pt>
                <c:pt idx="564">
                  <c:v>01/02/2026 12:45</c:v>
                </c:pt>
                <c:pt idx="565">
                  <c:v>01/02/2026 13:00</c:v>
                </c:pt>
                <c:pt idx="566">
                  <c:v>01/02/2026 13:15</c:v>
                </c:pt>
                <c:pt idx="567">
                  <c:v>01/02/2026 13:30</c:v>
                </c:pt>
                <c:pt idx="568">
                  <c:v>01/02/2026 13:45</c:v>
                </c:pt>
                <c:pt idx="569">
                  <c:v>01/02/2026 14:00</c:v>
                </c:pt>
                <c:pt idx="570">
                  <c:v>01/02/2026 14:15</c:v>
                </c:pt>
                <c:pt idx="571">
                  <c:v>01/02/2026 14:30</c:v>
                </c:pt>
                <c:pt idx="572">
                  <c:v>01/02/2026 14:45</c:v>
                </c:pt>
                <c:pt idx="573">
                  <c:v>01/02/2026 15:00</c:v>
                </c:pt>
                <c:pt idx="574">
                  <c:v>01/02/2026 15:15</c:v>
                </c:pt>
                <c:pt idx="575">
                  <c:v>01/02/2026 15:30</c:v>
                </c:pt>
                <c:pt idx="576">
                  <c:v>01/02/2026 15:45</c:v>
                </c:pt>
                <c:pt idx="577">
                  <c:v>01/02/2026 16:00</c:v>
                </c:pt>
                <c:pt idx="578">
                  <c:v>01/02/2026 16:15</c:v>
                </c:pt>
                <c:pt idx="579">
                  <c:v>01/02/2026 16:30</c:v>
                </c:pt>
                <c:pt idx="580">
                  <c:v>01/02/2026 16:45</c:v>
                </c:pt>
                <c:pt idx="581">
                  <c:v>01/02/2026 17:00</c:v>
                </c:pt>
                <c:pt idx="582">
                  <c:v>01/02/2026 17:15</c:v>
                </c:pt>
                <c:pt idx="583">
                  <c:v>01/02/2026 17:30</c:v>
                </c:pt>
                <c:pt idx="584">
                  <c:v>01/02/2026 17:45</c:v>
                </c:pt>
                <c:pt idx="585">
                  <c:v>01/02/2026 18:00</c:v>
                </c:pt>
                <c:pt idx="586">
                  <c:v>01/02/2026 18:15</c:v>
                </c:pt>
                <c:pt idx="587">
                  <c:v>01/02/2026 18:30</c:v>
                </c:pt>
                <c:pt idx="588">
                  <c:v>01/02/2026 18:45</c:v>
                </c:pt>
                <c:pt idx="589">
                  <c:v>01/02/2026 19:00</c:v>
                </c:pt>
                <c:pt idx="590">
                  <c:v>01/02/2026 19:15</c:v>
                </c:pt>
                <c:pt idx="591">
                  <c:v>01/02/2026 19:30</c:v>
                </c:pt>
                <c:pt idx="592">
                  <c:v>01/02/2026 19:45</c:v>
                </c:pt>
                <c:pt idx="593">
                  <c:v>01/02/2026 20:00</c:v>
                </c:pt>
                <c:pt idx="594">
                  <c:v>01/02/2026 20:15</c:v>
                </c:pt>
                <c:pt idx="595">
                  <c:v>01/02/2026 20:30</c:v>
                </c:pt>
                <c:pt idx="596">
                  <c:v>01/02/2026 20:45</c:v>
                </c:pt>
                <c:pt idx="597">
                  <c:v>01/02/2026 21:00</c:v>
                </c:pt>
                <c:pt idx="598">
                  <c:v>01/02/2026 21:15</c:v>
                </c:pt>
                <c:pt idx="599">
                  <c:v>01/02/2026 21:30</c:v>
                </c:pt>
                <c:pt idx="600">
                  <c:v>01/02/2026 21:45</c:v>
                </c:pt>
                <c:pt idx="601">
                  <c:v>01/02/2026 22:00</c:v>
                </c:pt>
                <c:pt idx="602">
                  <c:v>01/02/2026 22:15</c:v>
                </c:pt>
                <c:pt idx="603">
                  <c:v>01/02/2026 22:30</c:v>
                </c:pt>
                <c:pt idx="604">
                  <c:v>01/02/2026 22:45</c:v>
                </c:pt>
                <c:pt idx="605">
                  <c:v>01/02/2026 23:00</c:v>
                </c:pt>
                <c:pt idx="606">
                  <c:v>01/02/2026 23:15</c:v>
                </c:pt>
                <c:pt idx="607">
                  <c:v>01/02/2026 23:30</c:v>
                </c:pt>
                <c:pt idx="608">
                  <c:v>01/02/2026 23:45</c:v>
                </c:pt>
                <c:pt idx="609">
                  <c:v>01/02/2026 24:00</c:v>
                </c:pt>
                <c:pt idx="610">
                  <c:v>02/02/2026 00:15</c:v>
                </c:pt>
                <c:pt idx="611">
                  <c:v>02/02/2026 00:30</c:v>
                </c:pt>
                <c:pt idx="612">
                  <c:v>02/02/2026 00:45</c:v>
                </c:pt>
                <c:pt idx="613">
                  <c:v>02/02/2026 01:00</c:v>
                </c:pt>
                <c:pt idx="614">
                  <c:v>02/02/2026 01:15</c:v>
                </c:pt>
                <c:pt idx="615">
                  <c:v>02/02/2026 01:30</c:v>
                </c:pt>
                <c:pt idx="616">
                  <c:v>02/02/2026 01:45</c:v>
                </c:pt>
                <c:pt idx="617">
                  <c:v>02/02/2026 02:00</c:v>
                </c:pt>
                <c:pt idx="618">
                  <c:v>02/02/2026 02:15</c:v>
                </c:pt>
                <c:pt idx="619">
                  <c:v>02/02/2026 02:30</c:v>
                </c:pt>
                <c:pt idx="620">
                  <c:v>02/02/2026 02:45</c:v>
                </c:pt>
                <c:pt idx="621">
                  <c:v>02/02/2026 03:00</c:v>
                </c:pt>
                <c:pt idx="622">
                  <c:v>02/02/2026 03:15</c:v>
                </c:pt>
                <c:pt idx="623">
                  <c:v>02/02/2026 03:30</c:v>
                </c:pt>
                <c:pt idx="624">
                  <c:v>02/02/2026 03:45</c:v>
                </c:pt>
                <c:pt idx="625">
                  <c:v>02/02/2026 04:00</c:v>
                </c:pt>
                <c:pt idx="626">
                  <c:v>02/02/2026 04:15</c:v>
                </c:pt>
                <c:pt idx="627">
                  <c:v>02/02/2026 04:30</c:v>
                </c:pt>
                <c:pt idx="628">
                  <c:v>02/02/2026 04:45</c:v>
                </c:pt>
                <c:pt idx="629">
                  <c:v>02/02/2026 05:00</c:v>
                </c:pt>
                <c:pt idx="630">
                  <c:v>02/02/2026 05:15</c:v>
                </c:pt>
                <c:pt idx="631">
                  <c:v>02/02/2026 05:30</c:v>
                </c:pt>
                <c:pt idx="632">
                  <c:v>02/02/2026 05:45</c:v>
                </c:pt>
                <c:pt idx="633">
                  <c:v>02/02/2026 06:00</c:v>
                </c:pt>
                <c:pt idx="634">
                  <c:v>02/02/2026 06:15</c:v>
                </c:pt>
                <c:pt idx="635">
                  <c:v>02/02/2026 06:30</c:v>
                </c:pt>
                <c:pt idx="636">
                  <c:v>02/02/2026 06:45</c:v>
                </c:pt>
                <c:pt idx="637">
                  <c:v>02/02/2026 07:00</c:v>
                </c:pt>
                <c:pt idx="638">
                  <c:v>02/02/2026 07:15</c:v>
                </c:pt>
                <c:pt idx="639">
                  <c:v>02/02/2026 07:30</c:v>
                </c:pt>
                <c:pt idx="640">
                  <c:v>02/02/2026 07:45</c:v>
                </c:pt>
                <c:pt idx="641">
                  <c:v>02/02/2026 08:00</c:v>
                </c:pt>
                <c:pt idx="642">
                  <c:v>02/02/2026 08:15</c:v>
                </c:pt>
                <c:pt idx="643">
                  <c:v>02/02/2026 08:30</c:v>
                </c:pt>
                <c:pt idx="644">
                  <c:v>02/02/2026 08:45</c:v>
                </c:pt>
                <c:pt idx="645">
                  <c:v>02/02/2026 09:00</c:v>
                </c:pt>
                <c:pt idx="646">
                  <c:v>02/02/2026 09:15</c:v>
                </c:pt>
                <c:pt idx="647">
                  <c:v>02/02/2026 09:30</c:v>
                </c:pt>
                <c:pt idx="648">
                  <c:v>02/02/2026 09:45</c:v>
                </c:pt>
                <c:pt idx="649">
                  <c:v>02/02/2026 10:00</c:v>
                </c:pt>
                <c:pt idx="650">
                  <c:v>02/02/2026 10:15</c:v>
                </c:pt>
                <c:pt idx="651">
                  <c:v>02/02/2026 10:30</c:v>
                </c:pt>
                <c:pt idx="652">
                  <c:v>02/02/2026 10:45</c:v>
                </c:pt>
                <c:pt idx="653">
                  <c:v>02/02/2026 11:00</c:v>
                </c:pt>
                <c:pt idx="654">
                  <c:v>02/02/2026 11:15</c:v>
                </c:pt>
                <c:pt idx="655">
                  <c:v>02/02/2026 11:30</c:v>
                </c:pt>
                <c:pt idx="656">
                  <c:v>02/02/2026 11:45</c:v>
                </c:pt>
                <c:pt idx="657">
                  <c:v>02/02/2026 12:00</c:v>
                </c:pt>
                <c:pt idx="658">
                  <c:v>02/02/2026 12:15</c:v>
                </c:pt>
                <c:pt idx="659">
                  <c:v>02/02/2026 12:30</c:v>
                </c:pt>
                <c:pt idx="660">
                  <c:v>02/02/2026 12:45</c:v>
                </c:pt>
                <c:pt idx="661">
                  <c:v>02/02/2026 13:00</c:v>
                </c:pt>
                <c:pt idx="662">
                  <c:v>02/02/2026 13:15</c:v>
                </c:pt>
                <c:pt idx="663">
                  <c:v>02/02/2026 13:30</c:v>
                </c:pt>
                <c:pt idx="664">
                  <c:v>02/02/2026 13:45</c:v>
                </c:pt>
                <c:pt idx="665">
                  <c:v>02/02/2026 14:00</c:v>
                </c:pt>
                <c:pt idx="666">
                  <c:v>02/02/2026 14:15</c:v>
                </c:pt>
                <c:pt idx="667">
                  <c:v>02/02/2026 14:30</c:v>
                </c:pt>
                <c:pt idx="668">
                  <c:v>02/02/2026 14:45</c:v>
                </c:pt>
                <c:pt idx="669">
                  <c:v>02/02/2026 15:00</c:v>
                </c:pt>
                <c:pt idx="670">
                  <c:v>02/02/2026 15:15</c:v>
                </c:pt>
                <c:pt idx="671">
                  <c:v>02/02/2026 15:30</c:v>
                </c:pt>
                <c:pt idx="672">
                  <c:v>02/02/2026 15:45</c:v>
                </c:pt>
                <c:pt idx="673">
                  <c:v>02/02/2026 16:00</c:v>
                </c:pt>
                <c:pt idx="674">
                  <c:v>02/02/2026 16:15</c:v>
                </c:pt>
                <c:pt idx="675">
                  <c:v>02/02/2026 16:30</c:v>
                </c:pt>
                <c:pt idx="676">
                  <c:v>02/02/2026 16:45</c:v>
                </c:pt>
                <c:pt idx="677">
                  <c:v>02/02/2026 17:00</c:v>
                </c:pt>
                <c:pt idx="678">
                  <c:v>02/02/2026 17:15</c:v>
                </c:pt>
                <c:pt idx="679">
                  <c:v>02/02/2026 17:30</c:v>
                </c:pt>
                <c:pt idx="680">
                  <c:v>02/02/2026 17:45</c:v>
                </c:pt>
                <c:pt idx="681">
                  <c:v>02/02/2026 18:00</c:v>
                </c:pt>
                <c:pt idx="682">
                  <c:v>02/02/2026 18:15</c:v>
                </c:pt>
                <c:pt idx="683">
                  <c:v>02/02/2026 18:30</c:v>
                </c:pt>
                <c:pt idx="684">
                  <c:v>02/02/2026 18:45</c:v>
                </c:pt>
                <c:pt idx="685">
                  <c:v>02/02/2026 19:00</c:v>
                </c:pt>
                <c:pt idx="686">
                  <c:v>02/02/2026 19:15</c:v>
                </c:pt>
                <c:pt idx="687">
                  <c:v>02/02/2026 19:30</c:v>
                </c:pt>
                <c:pt idx="688">
                  <c:v>02/02/2026 19:45</c:v>
                </c:pt>
                <c:pt idx="689">
                  <c:v>02/02/2026 20:00</c:v>
                </c:pt>
                <c:pt idx="690">
                  <c:v>02/02/2026 20:15</c:v>
                </c:pt>
                <c:pt idx="691">
                  <c:v>02/02/2026 20:30</c:v>
                </c:pt>
                <c:pt idx="692">
                  <c:v>02/02/2026 20:45</c:v>
                </c:pt>
                <c:pt idx="693">
                  <c:v>02/02/2026 21:00</c:v>
                </c:pt>
                <c:pt idx="694">
                  <c:v>02/02/2026 21:15</c:v>
                </c:pt>
                <c:pt idx="695">
                  <c:v>02/02/2026 21:30</c:v>
                </c:pt>
                <c:pt idx="696">
                  <c:v>02/02/2026 21:45</c:v>
                </c:pt>
                <c:pt idx="697">
                  <c:v>02/02/2026 22:00</c:v>
                </c:pt>
                <c:pt idx="698">
                  <c:v>02/02/2026 22:15</c:v>
                </c:pt>
                <c:pt idx="699">
                  <c:v>02/02/2026 22:30</c:v>
                </c:pt>
                <c:pt idx="700">
                  <c:v>02/02/2026 22:45</c:v>
                </c:pt>
                <c:pt idx="701">
                  <c:v>02/02/2026 23:00</c:v>
                </c:pt>
                <c:pt idx="702">
                  <c:v>02/02/2026 23:15</c:v>
                </c:pt>
                <c:pt idx="703">
                  <c:v>02/02/2026 23:30</c:v>
                </c:pt>
                <c:pt idx="704">
                  <c:v>02/02/2026 23:45</c:v>
                </c:pt>
                <c:pt idx="705">
                  <c:v>02/02/2026 24:00</c:v>
                </c:pt>
                <c:pt idx="706">
                  <c:v>03/02/2026 00:15</c:v>
                </c:pt>
                <c:pt idx="707">
                  <c:v>03/02/2026 00:30</c:v>
                </c:pt>
                <c:pt idx="708">
                  <c:v>03/02/2026 00:45</c:v>
                </c:pt>
                <c:pt idx="709">
                  <c:v>03/02/2026 01:00</c:v>
                </c:pt>
                <c:pt idx="710">
                  <c:v>03/02/2026 01:15</c:v>
                </c:pt>
                <c:pt idx="711">
                  <c:v>03/02/2026 01:30</c:v>
                </c:pt>
                <c:pt idx="712">
                  <c:v>03/02/2026 01:45</c:v>
                </c:pt>
                <c:pt idx="713">
                  <c:v>03/02/2026 02:00</c:v>
                </c:pt>
                <c:pt idx="714">
                  <c:v>03/02/2026 02:15</c:v>
                </c:pt>
                <c:pt idx="715">
                  <c:v>03/02/2026 02:30</c:v>
                </c:pt>
                <c:pt idx="716">
                  <c:v>03/02/2026 02:45</c:v>
                </c:pt>
                <c:pt idx="717">
                  <c:v>03/02/2026 03:00</c:v>
                </c:pt>
                <c:pt idx="718">
                  <c:v>03/02/2026 03:15</c:v>
                </c:pt>
                <c:pt idx="719">
                  <c:v>03/02/2026 03:30</c:v>
                </c:pt>
                <c:pt idx="720">
                  <c:v>03/02/2026 03:45</c:v>
                </c:pt>
                <c:pt idx="721">
                  <c:v>03/02/2026 04:00</c:v>
                </c:pt>
                <c:pt idx="722">
                  <c:v>03/02/2026 04:15</c:v>
                </c:pt>
                <c:pt idx="723">
                  <c:v>03/02/2026 04:30</c:v>
                </c:pt>
                <c:pt idx="724">
                  <c:v>03/02/2026 04:45</c:v>
                </c:pt>
                <c:pt idx="725">
                  <c:v>03/02/2026 05:00</c:v>
                </c:pt>
                <c:pt idx="726">
                  <c:v>03/02/2026 05:15</c:v>
                </c:pt>
                <c:pt idx="727">
                  <c:v>03/02/2026 05:30</c:v>
                </c:pt>
                <c:pt idx="728">
                  <c:v>03/02/2026 05:45</c:v>
                </c:pt>
                <c:pt idx="729">
                  <c:v>03/02/2026 06:00</c:v>
                </c:pt>
                <c:pt idx="730">
                  <c:v>03/02/2026 06:15</c:v>
                </c:pt>
                <c:pt idx="731">
                  <c:v>03/02/2026 06:30</c:v>
                </c:pt>
                <c:pt idx="732">
                  <c:v>03/02/2026 06:45</c:v>
                </c:pt>
                <c:pt idx="733">
                  <c:v>03/02/2026 07:00</c:v>
                </c:pt>
                <c:pt idx="734">
                  <c:v>03/02/2026 07:15</c:v>
                </c:pt>
                <c:pt idx="735">
                  <c:v>03/02/2026 07:30</c:v>
                </c:pt>
                <c:pt idx="736">
                  <c:v>03/02/2026 07:45</c:v>
                </c:pt>
                <c:pt idx="737">
                  <c:v>03/02/2026 08:00</c:v>
                </c:pt>
                <c:pt idx="738">
                  <c:v>03/02/2026 08:15</c:v>
                </c:pt>
                <c:pt idx="739">
                  <c:v>03/02/2026 08:30</c:v>
                </c:pt>
                <c:pt idx="740">
                  <c:v>03/02/2026 08:45</c:v>
                </c:pt>
                <c:pt idx="741">
                  <c:v>03/02/2026 09:00</c:v>
                </c:pt>
                <c:pt idx="742">
                  <c:v>03/02/2026 09:15</c:v>
                </c:pt>
                <c:pt idx="743">
                  <c:v>03/02/2026 09:30</c:v>
                </c:pt>
                <c:pt idx="744">
                  <c:v>03/02/2026 09:45</c:v>
                </c:pt>
                <c:pt idx="745">
                  <c:v>03/02/2026 10:00</c:v>
                </c:pt>
                <c:pt idx="746">
                  <c:v>03/02/2026 10:15</c:v>
                </c:pt>
                <c:pt idx="747">
                  <c:v>03/02/2026 10:30</c:v>
                </c:pt>
                <c:pt idx="748">
                  <c:v>03/02/2026 10:45</c:v>
                </c:pt>
                <c:pt idx="749">
                  <c:v>03/02/2026 11:00</c:v>
                </c:pt>
                <c:pt idx="750">
                  <c:v>03/02/2026 11:15</c:v>
                </c:pt>
                <c:pt idx="751">
                  <c:v>03/02/2026 11:30</c:v>
                </c:pt>
                <c:pt idx="752">
                  <c:v>03/02/2026 11:45</c:v>
                </c:pt>
                <c:pt idx="753">
                  <c:v>03/02/2026 12:00</c:v>
                </c:pt>
                <c:pt idx="754">
                  <c:v>03/02/2026 12:15</c:v>
                </c:pt>
                <c:pt idx="755">
                  <c:v>03/02/2026 12:30</c:v>
                </c:pt>
                <c:pt idx="756">
                  <c:v>03/02/2026 12:45</c:v>
                </c:pt>
                <c:pt idx="757">
                  <c:v>03/02/2026 13:00</c:v>
                </c:pt>
                <c:pt idx="758">
                  <c:v>03/02/2026 13:15</c:v>
                </c:pt>
                <c:pt idx="759">
                  <c:v>03/02/2026 13:30</c:v>
                </c:pt>
                <c:pt idx="760">
                  <c:v>03/02/2026 13:45</c:v>
                </c:pt>
                <c:pt idx="761">
                  <c:v>03/02/2026 14:00</c:v>
                </c:pt>
                <c:pt idx="762">
                  <c:v>03/02/2026 14:15</c:v>
                </c:pt>
                <c:pt idx="763">
                  <c:v>03/02/2026 14:30</c:v>
                </c:pt>
                <c:pt idx="764">
                  <c:v>03/02/2026 14:45</c:v>
                </c:pt>
                <c:pt idx="765">
                  <c:v>03/02/2026 15:00</c:v>
                </c:pt>
                <c:pt idx="766">
                  <c:v>03/02/2026 15:15</c:v>
                </c:pt>
                <c:pt idx="767">
                  <c:v>03/02/2026 15:30</c:v>
                </c:pt>
                <c:pt idx="768">
                  <c:v>03/02/2026 15:45</c:v>
                </c:pt>
                <c:pt idx="769">
                  <c:v>03/02/2026 16:00</c:v>
                </c:pt>
                <c:pt idx="770">
                  <c:v>03/02/2026 16:15</c:v>
                </c:pt>
                <c:pt idx="771">
                  <c:v>03/02/2026 16:30</c:v>
                </c:pt>
                <c:pt idx="772">
                  <c:v>03/02/2026 16:45</c:v>
                </c:pt>
                <c:pt idx="773">
                  <c:v>03/02/2026 17:00</c:v>
                </c:pt>
                <c:pt idx="774">
                  <c:v>03/02/2026 17:15</c:v>
                </c:pt>
                <c:pt idx="775">
                  <c:v>03/02/2026 17:30</c:v>
                </c:pt>
                <c:pt idx="776">
                  <c:v>03/02/2026 17:45</c:v>
                </c:pt>
                <c:pt idx="777">
                  <c:v>03/02/2026 18:00</c:v>
                </c:pt>
                <c:pt idx="778">
                  <c:v>03/02/2026 18:15</c:v>
                </c:pt>
                <c:pt idx="779">
                  <c:v>03/02/2026 18:30</c:v>
                </c:pt>
                <c:pt idx="780">
                  <c:v>03/02/2026 18:45</c:v>
                </c:pt>
                <c:pt idx="781">
                  <c:v>03/02/2026 19:00</c:v>
                </c:pt>
                <c:pt idx="782">
                  <c:v>03/02/2026 19:15</c:v>
                </c:pt>
                <c:pt idx="783">
                  <c:v>03/02/2026 19:30</c:v>
                </c:pt>
                <c:pt idx="784">
                  <c:v>03/02/2026 19:45</c:v>
                </c:pt>
                <c:pt idx="785">
                  <c:v>03/02/2026 20:00</c:v>
                </c:pt>
                <c:pt idx="786">
                  <c:v>03/02/2026 20:15</c:v>
                </c:pt>
                <c:pt idx="787">
                  <c:v>03/02/2026 20:30</c:v>
                </c:pt>
                <c:pt idx="788">
                  <c:v>03/02/2026 20:45</c:v>
                </c:pt>
                <c:pt idx="789">
                  <c:v>03/02/2026 21:00</c:v>
                </c:pt>
                <c:pt idx="790">
                  <c:v>03/02/2026 21:15</c:v>
                </c:pt>
                <c:pt idx="791">
                  <c:v>03/02/2026 21:30</c:v>
                </c:pt>
                <c:pt idx="792">
                  <c:v>03/02/2026 21:45</c:v>
                </c:pt>
                <c:pt idx="793">
                  <c:v>03/02/2026 22:00</c:v>
                </c:pt>
                <c:pt idx="794">
                  <c:v>03/02/2026 22:15</c:v>
                </c:pt>
                <c:pt idx="795">
                  <c:v>03/02/2026 22:30</c:v>
                </c:pt>
                <c:pt idx="796">
                  <c:v>03/02/2026 22:45</c:v>
                </c:pt>
                <c:pt idx="797">
                  <c:v>03/02/2026 23:00</c:v>
                </c:pt>
                <c:pt idx="798">
                  <c:v>03/02/2026 23:15</c:v>
                </c:pt>
                <c:pt idx="799">
                  <c:v>03/02/2026 23:30</c:v>
                </c:pt>
                <c:pt idx="800">
                  <c:v>03/02/2026 23:45</c:v>
                </c:pt>
                <c:pt idx="801">
                  <c:v>03/02/2026 24:00</c:v>
                </c:pt>
                <c:pt idx="802">
                  <c:v>04/02/2026 00:15</c:v>
                </c:pt>
                <c:pt idx="803">
                  <c:v>04/02/2026 00:30</c:v>
                </c:pt>
                <c:pt idx="804">
                  <c:v>04/02/2026 00:45</c:v>
                </c:pt>
                <c:pt idx="805">
                  <c:v>04/02/2026 01:00</c:v>
                </c:pt>
                <c:pt idx="806">
                  <c:v>04/02/2026 01:15</c:v>
                </c:pt>
                <c:pt idx="807">
                  <c:v>04/02/2026 01:30</c:v>
                </c:pt>
                <c:pt idx="808">
                  <c:v>04/02/2026 01:45</c:v>
                </c:pt>
                <c:pt idx="809">
                  <c:v>04/02/2026 02:00</c:v>
                </c:pt>
                <c:pt idx="810">
                  <c:v>04/02/2026 02:15</c:v>
                </c:pt>
                <c:pt idx="811">
                  <c:v>04/02/2026 02:30</c:v>
                </c:pt>
                <c:pt idx="812">
                  <c:v>04/02/2026 02:45</c:v>
                </c:pt>
                <c:pt idx="813">
                  <c:v>04/02/2026 03:00</c:v>
                </c:pt>
                <c:pt idx="814">
                  <c:v>04/02/2026 03:15</c:v>
                </c:pt>
                <c:pt idx="815">
                  <c:v>04/02/2026 03:30</c:v>
                </c:pt>
                <c:pt idx="816">
                  <c:v>04/02/2026 03:45</c:v>
                </c:pt>
                <c:pt idx="817">
                  <c:v>04/02/2026 04:00</c:v>
                </c:pt>
                <c:pt idx="818">
                  <c:v>04/02/2026 04:15</c:v>
                </c:pt>
                <c:pt idx="819">
                  <c:v>04/02/2026 04:30</c:v>
                </c:pt>
                <c:pt idx="820">
                  <c:v>04/02/2026 04:45</c:v>
                </c:pt>
                <c:pt idx="821">
                  <c:v>04/02/2026 05:00</c:v>
                </c:pt>
                <c:pt idx="822">
                  <c:v>04/02/2026 05:15</c:v>
                </c:pt>
                <c:pt idx="823">
                  <c:v>04/02/2026 05:30</c:v>
                </c:pt>
                <c:pt idx="824">
                  <c:v>04/02/2026 05:45</c:v>
                </c:pt>
                <c:pt idx="825">
                  <c:v>04/02/2026 06:00</c:v>
                </c:pt>
                <c:pt idx="826">
                  <c:v>04/02/2026 06:15</c:v>
                </c:pt>
                <c:pt idx="827">
                  <c:v>04/02/2026 06:30</c:v>
                </c:pt>
                <c:pt idx="828">
                  <c:v>04/02/2026 06:45</c:v>
                </c:pt>
                <c:pt idx="829">
                  <c:v>04/02/2026 07:00</c:v>
                </c:pt>
                <c:pt idx="830">
                  <c:v>04/02/2026 07:15</c:v>
                </c:pt>
                <c:pt idx="831">
                  <c:v>04/02/2026 07:30</c:v>
                </c:pt>
                <c:pt idx="832">
                  <c:v>04/02/2026 07:45</c:v>
                </c:pt>
                <c:pt idx="833">
                  <c:v>04/02/2026 08:00</c:v>
                </c:pt>
                <c:pt idx="834">
                  <c:v>04/02/2026 08:15</c:v>
                </c:pt>
                <c:pt idx="835">
                  <c:v>04/02/2026 08:30</c:v>
                </c:pt>
                <c:pt idx="836">
                  <c:v>04/02/2026 08:45</c:v>
                </c:pt>
                <c:pt idx="837">
                  <c:v>04/02/2026 09:00</c:v>
                </c:pt>
                <c:pt idx="838">
                  <c:v>04/02/2026 09:15</c:v>
                </c:pt>
                <c:pt idx="839">
                  <c:v>04/02/2026 09:30</c:v>
                </c:pt>
                <c:pt idx="840">
                  <c:v>04/02/2026 09:45</c:v>
                </c:pt>
                <c:pt idx="841">
                  <c:v>04/02/2026 10:00</c:v>
                </c:pt>
                <c:pt idx="842">
                  <c:v>04/02/2026 10:15</c:v>
                </c:pt>
                <c:pt idx="843">
                  <c:v>04/02/2026 10:30</c:v>
                </c:pt>
                <c:pt idx="844">
                  <c:v>04/02/2026 10:45</c:v>
                </c:pt>
                <c:pt idx="845">
                  <c:v>04/02/2026 11:00</c:v>
                </c:pt>
                <c:pt idx="846">
                  <c:v>04/02/2026 11:15</c:v>
                </c:pt>
                <c:pt idx="847">
                  <c:v>04/02/2026 11:30</c:v>
                </c:pt>
                <c:pt idx="848">
                  <c:v>04/02/2026 11:45</c:v>
                </c:pt>
                <c:pt idx="849">
                  <c:v>04/02/2026 12:00</c:v>
                </c:pt>
                <c:pt idx="850">
                  <c:v>04/02/2026 12:15</c:v>
                </c:pt>
                <c:pt idx="851">
                  <c:v>04/02/2026 12:30</c:v>
                </c:pt>
                <c:pt idx="852">
                  <c:v>04/02/2026 12:45</c:v>
                </c:pt>
                <c:pt idx="853">
                  <c:v>04/02/2026 13:00</c:v>
                </c:pt>
                <c:pt idx="854">
                  <c:v>04/02/2026 13:15</c:v>
                </c:pt>
                <c:pt idx="855">
                  <c:v>04/02/2026 13:30</c:v>
                </c:pt>
                <c:pt idx="856">
                  <c:v>04/02/2026 13:45</c:v>
                </c:pt>
                <c:pt idx="857">
                  <c:v>04/02/2026 14:00</c:v>
                </c:pt>
                <c:pt idx="858">
                  <c:v>04/02/2026 14:15</c:v>
                </c:pt>
                <c:pt idx="859">
                  <c:v>04/02/2026 14:30</c:v>
                </c:pt>
                <c:pt idx="860">
                  <c:v>04/02/2026 14:45</c:v>
                </c:pt>
                <c:pt idx="861">
                  <c:v>04/02/2026 15:00</c:v>
                </c:pt>
                <c:pt idx="862">
                  <c:v>04/02/2026 15:15</c:v>
                </c:pt>
                <c:pt idx="863">
                  <c:v>04/02/2026 15:30</c:v>
                </c:pt>
                <c:pt idx="864">
                  <c:v>04/02/2026 15:45</c:v>
                </c:pt>
                <c:pt idx="865">
                  <c:v>04/02/2026 16:00</c:v>
                </c:pt>
                <c:pt idx="866">
                  <c:v>04/02/2026 16:15</c:v>
                </c:pt>
                <c:pt idx="867">
                  <c:v>04/02/2026 16:30</c:v>
                </c:pt>
                <c:pt idx="868">
                  <c:v>04/02/2026 16:45</c:v>
                </c:pt>
                <c:pt idx="869">
                  <c:v>04/02/2026 17:00</c:v>
                </c:pt>
                <c:pt idx="870">
                  <c:v>04/02/2026 17:15</c:v>
                </c:pt>
                <c:pt idx="871">
                  <c:v>04/02/2026 17:30</c:v>
                </c:pt>
                <c:pt idx="872">
                  <c:v>04/02/2026 17:45</c:v>
                </c:pt>
                <c:pt idx="873">
                  <c:v>04/02/2026 18:00</c:v>
                </c:pt>
                <c:pt idx="874">
                  <c:v>04/02/2026 18:15</c:v>
                </c:pt>
                <c:pt idx="875">
                  <c:v>04/02/2026 18:30</c:v>
                </c:pt>
                <c:pt idx="876">
                  <c:v>04/02/2026 18:45</c:v>
                </c:pt>
                <c:pt idx="877">
                  <c:v>04/02/2026 19:00</c:v>
                </c:pt>
                <c:pt idx="878">
                  <c:v>04/02/2026 19:15</c:v>
                </c:pt>
                <c:pt idx="879">
                  <c:v>04/02/2026 19:30</c:v>
                </c:pt>
                <c:pt idx="880">
                  <c:v>04/02/2026 19:45</c:v>
                </c:pt>
                <c:pt idx="881">
                  <c:v>04/02/2026 20:00</c:v>
                </c:pt>
                <c:pt idx="882">
                  <c:v>04/02/2026 20:15</c:v>
                </c:pt>
                <c:pt idx="883">
                  <c:v>04/02/2026 20:30</c:v>
                </c:pt>
                <c:pt idx="884">
                  <c:v>04/02/2026 20:45</c:v>
                </c:pt>
                <c:pt idx="885">
                  <c:v>04/02/2026 21:00</c:v>
                </c:pt>
                <c:pt idx="886">
                  <c:v>04/02/2026 21:15</c:v>
                </c:pt>
                <c:pt idx="887">
                  <c:v>04/02/2026 21:30</c:v>
                </c:pt>
                <c:pt idx="888">
                  <c:v>04/02/2026 21:45</c:v>
                </c:pt>
                <c:pt idx="889">
                  <c:v>04/02/2026 22:00</c:v>
                </c:pt>
                <c:pt idx="890">
                  <c:v>04/02/2026 22:15</c:v>
                </c:pt>
                <c:pt idx="891">
                  <c:v>04/02/2026 22:30</c:v>
                </c:pt>
                <c:pt idx="892">
                  <c:v>04/02/2026 22:45</c:v>
                </c:pt>
                <c:pt idx="893">
                  <c:v>04/02/2026 23:00</c:v>
                </c:pt>
                <c:pt idx="894">
                  <c:v>04/02/2026 23:15</c:v>
                </c:pt>
                <c:pt idx="895">
                  <c:v>04/02/2026 23:30</c:v>
                </c:pt>
                <c:pt idx="896">
                  <c:v>04/02/2026 23:45</c:v>
                </c:pt>
                <c:pt idx="897">
                  <c:v>04/02/2026 24:00</c:v>
                </c:pt>
                <c:pt idx="898">
                  <c:v>05/02/2026 00:15</c:v>
                </c:pt>
                <c:pt idx="899">
                  <c:v>05/02/2026 00:30</c:v>
                </c:pt>
                <c:pt idx="900">
                  <c:v>05/02/2026 00:45</c:v>
                </c:pt>
                <c:pt idx="901">
                  <c:v>05/02/2026 01:00</c:v>
                </c:pt>
                <c:pt idx="902">
                  <c:v>05/02/2026 01:15</c:v>
                </c:pt>
                <c:pt idx="903">
                  <c:v>05/02/2026 01:30</c:v>
                </c:pt>
                <c:pt idx="904">
                  <c:v>05/02/2026 01:45</c:v>
                </c:pt>
                <c:pt idx="905">
                  <c:v>05/02/2026 02:00</c:v>
                </c:pt>
                <c:pt idx="906">
                  <c:v>05/02/2026 02:15</c:v>
                </c:pt>
                <c:pt idx="907">
                  <c:v>05/02/2026 02:30</c:v>
                </c:pt>
                <c:pt idx="908">
                  <c:v>05/02/2026 02:45</c:v>
                </c:pt>
                <c:pt idx="909">
                  <c:v>05/02/2026 03:00</c:v>
                </c:pt>
                <c:pt idx="910">
                  <c:v>05/02/2026 03:15</c:v>
                </c:pt>
                <c:pt idx="911">
                  <c:v>05/02/2026 03:30</c:v>
                </c:pt>
                <c:pt idx="912">
                  <c:v>05/02/2026 03:45</c:v>
                </c:pt>
                <c:pt idx="913">
                  <c:v>05/02/2026 04:00</c:v>
                </c:pt>
                <c:pt idx="914">
                  <c:v>05/02/2026 04:15</c:v>
                </c:pt>
                <c:pt idx="915">
                  <c:v>05/02/2026 04:30</c:v>
                </c:pt>
                <c:pt idx="916">
                  <c:v>05/02/2026 04:45</c:v>
                </c:pt>
                <c:pt idx="917">
                  <c:v>05/02/2026 05:00</c:v>
                </c:pt>
                <c:pt idx="918">
                  <c:v>05/02/2026 05:15</c:v>
                </c:pt>
                <c:pt idx="919">
                  <c:v>05/02/2026 05:30</c:v>
                </c:pt>
                <c:pt idx="920">
                  <c:v>05/02/2026 05:45</c:v>
                </c:pt>
                <c:pt idx="921">
                  <c:v>05/02/2026 06:00</c:v>
                </c:pt>
                <c:pt idx="922">
                  <c:v>05/02/2026 06:15</c:v>
                </c:pt>
                <c:pt idx="923">
                  <c:v>05/02/2026 06:30</c:v>
                </c:pt>
                <c:pt idx="924">
                  <c:v>05/02/2026 06:45</c:v>
                </c:pt>
                <c:pt idx="925">
                  <c:v>05/02/2026 07:00</c:v>
                </c:pt>
                <c:pt idx="926">
                  <c:v>05/02/2026 07:15</c:v>
                </c:pt>
                <c:pt idx="927">
                  <c:v>05/02/2026 07:30</c:v>
                </c:pt>
                <c:pt idx="928">
                  <c:v>05/02/2026 07:45</c:v>
                </c:pt>
                <c:pt idx="929">
                  <c:v>05/02/2026 08:00</c:v>
                </c:pt>
                <c:pt idx="930">
                  <c:v>05/02/2026 08:15</c:v>
                </c:pt>
                <c:pt idx="931">
                  <c:v>05/02/2026 08:30</c:v>
                </c:pt>
                <c:pt idx="932">
                  <c:v>05/02/2026 08:45</c:v>
                </c:pt>
                <c:pt idx="933">
                  <c:v>05/02/2026 09:00</c:v>
                </c:pt>
                <c:pt idx="934">
                  <c:v>05/02/2026 09:15</c:v>
                </c:pt>
                <c:pt idx="935">
                  <c:v>05/02/2026 09:30</c:v>
                </c:pt>
                <c:pt idx="936">
                  <c:v>05/02/2026 09:45</c:v>
                </c:pt>
                <c:pt idx="937">
                  <c:v>05/02/2026 10:00</c:v>
                </c:pt>
                <c:pt idx="938">
                  <c:v>05/02/2026 10:15</c:v>
                </c:pt>
                <c:pt idx="939">
                  <c:v>05/02/2026 10:30</c:v>
                </c:pt>
                <c:pt idx="940">
                  <c:v>05/02/2026 10:45</c:v>
                </c:pt>
                <c:pt idx="941">
                  <c:v>05/02/2026 11:00</c:v>
                </c:pt>
                <c:pt idx="942">
                  <c:v>05/02/2026 11:15</c:v>
                </c:pt>
                <c:pt idx="943">
                  <c:v>05/02/2026 11:30</c:v>
                </c:pt>
                <c:pt idx="944">
                  <c:v>05/02/2026 11:45</c:v>
                </c:pt>
                <c:pt idx="945">
                  <c:v>05/02/2026 12:00</c:v>
                </c:pt>
                <c:pt idx="946">
                  <c:v>05/02/2026 12:15</c:v>
                </c:pt>
                <c:pt idx="947">
                  <c:v>05/02/2026 12:30</c:v>
                </c:pt>
                <c:pt idx="948">
                  <c:v>05/02/2026 12:45</c:v>
                </c:pt>
                <c:pt idx="949">
                  <c:v>05/02/2026 13:00</c:v>
                </c:pt>
                <c:pt idx="950">
                  <c:v>05/02/2026 13:15</c:v>
                </c:pt>
                <c:pt idx="951">
                  <c:v>05/02/2026 13:30</c:v>
                </c:pt>
                <c:pt idx="952">
                  <c:v>05/02/2026 13:45</c:v>
                </c:pt>
                <c:pt idx="953">
                  <c:v>05/02/2026 14:00</c:v>
                </c:pt>
                <c:pt idx="954">
                  <c:v>05/02/2026 14:15</c:v>
                </c:pt>
                <c:pt idx="955">
                  <c:v>05/02/2026 14:30</c:v>
                </c:pt>
                <c:pt idx="956">
                  <c:v>05/02/2026 14:45</c:v>
                </c:pt>
                <c:pt idx="957">
                  <c:v>05/02/2026 15:00</c:v>
                </c:pt>
                <c:pt idx="958">
                  <c:v>05/02/2026 15:15</c:v>
                </c:pt>
                <c:pt idx="959">
                  <c:v>05/02/2026 15:30</c:v>
                </c:pt>
                <c:pt idx="960">
                  <c:v>05/02/2026 15:45</c:v>
                </c:pt>
                <c:pt idx="961">
                  <c:v>05/02/2026 16:00</c:v>
                </c:pt>
                <c:pt idx="962">
                  <c:v>05/02/2026 16:15</c:v>
                </c:pt>
                <c:pt idx="963">
                  <c:v>05/02/2026 16:30</c:v>
                </c:pt>
                <c:pt idx="964">
                  <c:v>05/02/2026 16:45</c:v>
                </c:pt>
                <c:pt idx="965">
                  <c:v>05/02/2026 17:00</c:v>
                </c:pt>
                <c:pt idx="966">
                  <c:v>05/02/2026 17:15</c:v>
                </c:pt>
                <c:pt idx="967">
                  <c:v>05/02/2026 17:30</c:v>
                </c:pt>
                <c:pt idx="968">
                  <c:v>05/02/2026 17:45</c:v>
                </c:pt>
                <c:pt idx="969">
                  <c:v>05/02/2026 18:00</c:v>
                </c:pt>
                <c:pt idx="970">
                  <c:v>05/02/2026 18:15</c:v>
                </c:pt>
                <c:pt idx="971">
                  <c:v>05/02/2026 18:30</c:v>
                </c:pt>
                <c:pt idx="972">
                  <c:v>05/02/2026 18:45</c:v>
                </c:pt>
                <c:pt idx="973">
                  <c:v>05/02/2026 19:00</c:v>
                </c:pt>
                <c:pt idx="974">
                  <c:v>05/02/2026 19:15</c:v>
                </c:pt>
                <c:pt idx="975">
                  <c:v>05/02/2026 19:30</c:v>
                </c:pt>
                <c:pt idx="976">
                  <c:v>05/02/2026 19:45</c:v>
                </c:pt>
                <c:pt idx="977">
                  <c:v>05/02/2026 20:00</c:v>
                </c:pt>
                <c:pt idx="978">
                  <c:v>05/02/2026 20:15</c:v>
                </c:pt>
                <c:pt idx="979">
                  <c:v>05/02/2026 20:30</c:v>
                </c:pt>
                <c:pt idx="980">
                  <c:v>05/02/2026 20:45</c:v>
                </c:pt>
                <c:pt idx="981">
                  <c:v>05/02/2026 21:00</c:v>
                </c:pt>
                <c:pt idx="982">
                  <c:v>05/02/2026 21:15</c:v>
                </c:pt>
                <c:pt idx="983">
                  <c:v>05/02/2026 21:30</c:v>
                </c:pt>
                <c:pt idx="984">
                  <c:v>05/02/2026 21:45</c:v>
                </c:pt>
                <c:pt idx="985">
                  <c:v>05/02/2026 22:00</c:v>
                </c:pt>
                <c:pt idx="986">
                  <c:v>05/02/2026 22:15</c:v>
                </c:pt>
                <c:pt idx="987">
                  <c:v>05/02/2026 22:30</c:v>
                </c:pt>
                <c:pt idx="988">
                  <c:v>05/02/2026 22:45</c:v>
                </c:pt>
                <c:pt idx="989">
                  <c:v>05/02/2026 23:00</c:v>
                </c:pt>
                <c:pt idx="990">
                  <c:v>05/02/2026 23:15</c:v>
                </c:pt>
                <c:pt idx="991">
                  <c:v>05/02/2026 23:30</c:v>
                </c:pt>
                <c:pt idx="992">
                  <c:v>05/02/2026 23:45</c:v>
                </c:pt>
                <c:pt idx="993">
                  <c:v>05/02/2026 24:00</c:v>
                </c:pt>
                <c:pt idx="994">
                  <c:v>06/02/2026 00:15</c:v>
                </c:pt>
                <c:pt idx="995">
                  <c:v>06/02/2026 00:30</c:v>
                </c:pt>
                <c:pt idx="996">
                  <c:v>06/02/2026 00:45</c:v>
                </c:pt>
                <c:pt idx="997">
                  <c:v>06/02/2026 01:00</c:v>
                </c:pt>
                <c:pt idx="998">
                  <c:v>06/02/2026 01:15</c:v>
                </c:pt>
                <c:pt idx="999">
                  <c:v>06/02/2026 01:30</c:v>
                </c:pt>
                <c:pt idx="1000">
                  <c:v>06/02/2026 01:45</c:v>
                </c:pt>
                <c:pt idx="1001">
                  <c:v>06/02/2026 02:00</c:v>
                </c:pt>
                <c:pt idx="1002">
                  <c:v>06/02/2026 02:15</c:v>
                </c:pt>
                <c:pt idx="1003">
                  <c:v>06/02/2026 02:30</c:v>
                </c:pt>
                <c:pt idx="1004">
                  <c:v>06/02/2026 02:45</c:v>
                </c:pt>
                <c:pt idx="1005">
                  <c:v>06/02/2026 03:00</c:v>
                </c:pt>
                <c:pt idx="1006">
                  <c:v>06/02/2026 03:15</c:v>
                </c:pt>
                <c:pt idx="1007">
                  <c:v>06/02/2026 03:30</c:v>
                </c:pt>
                <c:pt idx="1008">
                  <c:v>06/02/2026 03:45</c:v>
                </c:pt>
                <c:pt idx="1009">
                  <c:v>06/02/2026 04:00</c:v>
                </c:pt>
                <c:pt idx="1010">
                  <c:v>06/02/2026 04:15</c:v>
                </c:pt>
                <c:pt idx="1011">
                  <c:v>06/02/2026 04:30</c:v>
                </c:pt>
                <c:pt idx="1012">
                  <c:v>06/02/2026 04:45</c:v>
                </c:pt>
                <c:pt idx="1013">
                  <c:v>06/02/2026 05:00</c:v>
                </c:pt>
                <c:pt idx="1014">
                  <c:v>06/02/2026 05:15</c:v>
                </c:pt>
                <c:pt idx="1015">
                  <c:v>06/02/2026 05:30</c:v>
                </c:pt>
                <c:pt idx="1016">
                  <c:v>06/02/2026 05:45</c:v>
                </c:pt>
                <c:pt idx="1017">
                  <c:v>06/02/2026 06:00</c:v>
                </c:pt>
                <c:pt idx="1018">
                  <c:v>06/02/2026 06:15</c:v>
                </c:pt>
                <c:pt idx="1019">
                  <c:v>06/02/2026 06:30</c:v>
                </c:pt>
                <c:pt idx="1020">
                  <c:v>06/02/2026 06:45</c:v>
                </c:pt>
                <c:pt idx="1021">
                  <c:v>06/02/2026 07:00</c:v>
                </c:pt>
                <c:pt idx="1022">
                  <c:v>06/02/2026 07:15</c:v>
                </c:pt>
                <c:pt idx="1023">
                  <c:v>06/02/2026 07:30</c:v>
                </c:pt>
                <c:pt idx="1024">
                  <c:v>06/02/2026 07:45</c:v>
                </c:pt>
                <c:pt idx="1025">
                  <c:v>06/02/2026 08:00</c:v>
                </c:pt>
                <c:pt idx="1026">
                  <c:v>06/02/2026 08:15</c:v>
                </c:pt>
                <c:pt idx="1027">
                  <c:v>06/02/2026 08:30</c:v>
                </c:pt>
                <c:pt idx="1028">
                  <c:v>06/02/2026 08:45</c:v>
                </c:pt>
                <c:pt idx="1029">
                  <c:v>06/02/2026 09:00</c:v>
                </c:pt>
                <c:pt idx="1030">
                  <c:v>06/02/2026 09:15</c:v>
                </c:pt>
                <c:pt idx="1031">
                  <c:v>06/02/2026 09:30</c:v>
                </c:pt>
                <c:pt idx="1032">
                  <c:v>06/02/2026 09:45</c:v>
                </c:pt>
                <c:pt idx="1033">
                  <c:v>06/02/2026 10:00</c:v>
                </c:pt>
                <c:pt idx="1034">
                  <c:v>06/02/2026 10:15</c:v>
                </c:pt>
                <c:pt idx="1035">
                  <c:v>06/02/2026 10:30</c:v>
                </c:pt>
                <c:pt idx="1036">
                  <c:v>06/02/2026 10:45</c:v>
                </c:pt>
                <c:pt idx="1037">
                  <c:v>06/02/2026 11:00</c:v>
                </c:pt>
                <c:pt idx="1038">
                  <c:v>06/02/2026 11:15</c:v>
                </c:pt>
                <c:pt idx="1039">
                  <c:v>06/02/2026 11:30</c:v>
                </c:pt>
                <c:pt idx="1040">
                  <c:v>06/02/2026 11:45</c:v>
                </c:pt>
                <c:pt idx="1041">
                  <c:v>06/02/2026 12:00</c:v>
                </c:pt>
                <c:pt idx="1042">
                  <c:v>06/02/2026 12:15</c:v>
                </c:pt>
                <c:pt idx="1043">
                  <c:v>06/02/2026 12:30</c:v>
                </c:pt>
                <c:pt idx="1044">
                  <c:v>06/02/2026 12:45</c:v>
                </c:pt>
                <c:pt idx="1045">
                  <c:v>06/02/2026 13:00</c:v>
                </c:pt>
              </c:strCache>
            </c:strRef>
          </c:xVal>
          <c:yVal>
            <c:numRef>
              <c:f>Correction!$C$1:$C$1046</c:f>
              <c:numCache>
                <c:formatCode>General</c:formatCode>
                <c:ptCount val="1046"/>
                <c:pt idx="0" formatCode="0.00">
                  <c:v>0</c:v>
                </c:pt>
                <c:pt idx="1">
                  <c:v>3.2639083325016731</c:v>
                </c:pt>
                <c:pt idx="2">
                  <c:v>3.7954647589012533</c:v>
                </c:pt>
                <c:pt idx="3">
                  <c:v>2.7065123575965613</c:v>
                </c:pt>
                <c:pt idx="4">
                  <c:v>2.6880555372354618</c:v>
                </c:pt>
                <c:pt idx="5">
                  <c:v>2.4813391491911876</c:v>
                </c:pt>
                <c:pt idx="6">
                  <c:v>3.7954647589012533</c:v>
                </c:pt>
                <c:pt idx="7">
                  <c:v>3.7253288415290902</c:v>
                </c:pt>
                <c:pt idx="8">
                  <c:v>4.6703180440172289</c:v>
                </c:pt>
                <c:pt idx="9">
                  <c:v>5.5820849698553934</c:v>
                </c:pt>
                <c:pt idx="10">
                  <c:v>4.4968239326229291</c:v>
                </c:pt>
                <c:pt idx="11">
                  <c:v>4.2568852679286699</c:v>
                </c:pt>
                <c:pt idx="12">
                  <c:v>4.6149475829339393</c:v>
                </c:pt>
                <c:pt idx="13">
                  <c:v>4.9434789853614607</c:v>
                </c:pt>
                <c:pt idx="14">
                  <c:v>6.6599632789434384</c:v>
                </c:pt>
                <c:pt idx="15">
                  <c:v>7.3391742682317878</c:v>
                </c:pt>
                <c:pt idx="16">
                  <c:v>5.3347635770167035</c:v>
                </c:pt>
                <c:pt idx="17">
                  <c:v>17.627005937506926</c:v>
                </c:pt>
                <c:pt idx="18">
                  <c:v>21.960667358292465</c:v>
                </c:pt>
                <c:pt idx="19">
                  <c:v>22.687866080519598</c:v>
                </c:pt>
                <c:pt idx="20">
                  <c:v>22.285507396647727</c:v>
                </c:pt>
                <c:pt idx="21">
                  <c:v>21.473407300759408</c:v>
                </c:pt>
                <c:pt idx="22">
                  <c:v>14.105444612609707</c:v>
                </c:pt>
                <c:pt idx="23">
                  <c:v>16.744769924246476</c:v>
                </c:pt>
                <c:pt idx="24">
                  <c:v>20.066997589243851</c:v>
                </c:pt>
                <c:pt idx="25">
                  <c:v>20.591171287499066</c:v>
                </c:pt>
                <c:pt idx="26">
                  <c:v>20.550566282704619</c:v>
                </c:pt>
                <c:pt idx="27">
                  <c:v>20.284788069504827</c:v>
                </c:pt>
                <c:pt idx="28">
                  <c:v>21.09688816539315</c:v>
                </c:pt>
                <c:pt idx="29">
                  <c:v>16.120929396041447</c:v>
                </c:pt>
                <c:pt idx="30">
                  <c:v>18.870995629844906</c:v>
                </c:pt>
                <c:pt idx="31">
                  <c:v>15.91052164392495</c:v>
                </c:pt>
                <c:pt idx="32">
                  <c:v>14.234642355137421</c:v>
                </c:pt>
                <c:pt idx="33">
                  <c:v>10.890266505706764</c:v>
                </c:pt>
                <c:pt idx="34">
                  <c:v>8.8341767174806058</c:v>
                </c:pt>
                <c:pt idx="35">
                  <c:v>10.09662323017961</c:v>
                </c:pt>
                <c:pt idx="36">
                  <c:v>10.768451491323525</c:v>
                </c:pt>
                <c:pt idx="37">
                  <c:v>10.454685545184889</c:v>
                </c:pt>
                <c:pt idx="38">
                  <c:v>9.3546590516635284</c:v>
                </c:pt>
                <c:pt idx="39">
                  <c:v>7.350248360448445</c:v>
                </c:pt>
                <c:pt idx="40">
                  <c:v>6.331431876515917</c:v>
                </c:pt>
                <c:pt idx="41">
                  <c:v>6.1985427699160214</c:v>
                </c:pt>
                <c:pt idx="42">
                  <c:v>4.3565520978785912</c:v>
                </c:pt>
                <c:pt idx="43">
                  <c:v>4.437762107467413</c:v>
                </c:pt>
                <c:pt idx="44">
                  <c:v>5.5451713291332041</c:v>
                </c:pt>
                <c:pt idx="45">
                  <c:v>4.3085643649397447</c:v>
                </c:pt>
                <c:pt idx="46">
                  <c:v>3.3931060750293525</c:v>
                </c:pt>
                <c:pt idx="47">
                  <c:v>3.2306860558516992</c:v>
                </c:pt>
                <c:pt idx="48">
                  <c:v>2.8504755564131146</c:v>
                </c:pt>
                <c:pt idx="49">
                  <c:v>3.3894147109571255</c:v>
                </c:pt>
                <c:pt idx="50">
                  <c:v>3.4853901768348314</c:v>
                </c:pt>
                <c:pt idx="51">
                  <c:v>3.7364029337457478</c:v>
                </c:pt>
                <c:pt idx="52">
                  <c:v>3.6625756523013582</c:v>
                </c:pt>
                <c:pt idx="53">
                  <c:v>3.5887483708569685</c:v>
                </c:pt>
                <c:pt idx="54">
                  <c:v>5.0652939997446982</c:v>
                </c:pt>
                <c:pt idx="55">
                  <c:v>4.2273543553509123</c:v>
                </c:pt>
                <c:pt idx="56">
                  <c:v>4.5558857577784346</c:v>
                </c:pt>
                <c:pt idx="57">
                  <c:v>3.9431193217900331</c:v>
                </c:pt>
                <c:pt idx="58">
                  <c:v>4.5964907625728504</c:v>
                </c:pt>
                <c:pt idx="59">
                  <c:v>4.718305776956087</c:v>
                </c:pt>
                <c:pt idx="60">
                  <c:v>4.1387616176176483</c:v>
                </c:pt>
                <c:pt idx="61">
                  <c:v>4.5854166703561923</c:v>
                </c:pt>
                <c:pt idx="62">
                  <c:v>4.0796997924621436</c:v>
                </c:pt>
                <c:pt idx="63">
                  <c:v>4.7109230488116447</c:v>
                </c:pt>
                <c:pt idx="64">
                  <c:v>4.0317120595232963</c:v>
                </c:pt>
                <c:pt idx="65">
                  <c:v>4.0021811469455386</c:v>
                </c:pt>
                <c:pt idx="66">
                  <c:v>3.5998224630736266</c:v>
                </c:pt>
                <c:pt idx="67">
                  <c:v>2.3041536737246502</c:v>
                </c:pt>
                <c:pt idx="68">
                  <c:v>1.8501158928416752</c:v>
                </c:pt>
                <c:pt idx="69">
                  <c:v>2.2229436641358289</c:v>
                </c:pt>
                <c:pt idx="70">
                  <c:v>1.9793136353693546</c:v>
                </c:pt>
                <c:pt idx="71">
                  <c:v>2.1343509264025657</c:v>
                </c:pt>
                <c:pt idx="72">
                  <c:v>1.86488134913056</c:v>
                </c:pt>
                <c:pt idx="73">
                  <c:v>1.8685727132027756</c:v>
                </c:pt>
                <c:pt idx="74">
                  <c:v>2.403820503674571</c:v>
                </c:pt>
                <c:pt idx="75">
                  <c:v>3.0645746726018306</c:v>
                </c:pt>
                <c:pt idx="76">
                  <c:v>2.9612164785796939</c:v>
                </c:pt>
                <c:pt idx="77">
                  <c:v>3.5887483708569685</c:v>
                </c:pt>
                <c:pt idx="78">
                  <c:v>3.932045229573375</c:v>
                </c:pt>
                <c:pt idx="79">
                  <c:v>5.7149740764552996</c:v>
                </c:pt>
                <c:pt idx="80">
                  <c:v>4.8032071506171237</c:v>
                </c:pt>
                <c:pt idx="81">
                  <c:v>5.5599367854220887</c:v>
                </c:pt>
                <c:pt idx="82">
                  <c:v>7.0475565065264654</c:v>
                </c:pt>
                <c:pt idx="83">
                  <c:v>9.2070044887747589</c:v>
                </c:pt>
                <c:pt idx="84">
                  <c:v>12.628898983722024</c:v>
                </c:pt>
                <c:pt idx="85">
                  <c:v>12.854072192127363</c:v>
                </c:pt>
                <c:pt idx="86">
                  <c:v>12.222848935777863</c:v>
                </c:pt>
                <c:pt idx="87">
                  <c:v>12.632590347794205</c:v>
                </c:pt>
                <c:pt idx="88">
                  <c:v>13.37824589038258</c:v>
                </c:pt>
                <c:pt idx="89">
                  <c:v>16.013879837947165</c:v>
                </c:pt>
                <c:pt idx="90">
                  <c:v>13.230591327493734</c:v>
                </c:pt>
                <c:pt idx="91">
                  <c:v>15.161174737264504</c:v>
                </c:pt>
                <c:pt idx="92">
                  <c:v>18.424340577106296</c:v>
                </c:pt>
                <c:pt idx="93">
                  <c:v>18.332056475300849</c:v>
                </c:pt>
                <c:pt idx="94">
                  <c:v>17.16927679255177</c:v>
                </c:pt>
                <c:pt idx="95">
                  <c:v>17.553178656062613</c:v>
                </c:pt>
                <c:pt idx="96">
                  <c:v>17.494116830907032</c:v>
                </c:pt>
                <c:pt idx="97">
                  <c:v>15.124261096542236</c:v>
                </c:pt>
                <c:pt idx="98">
                  <c:v>14.788346965970318</c:v>
                </c:pt>
                <c:pt idx="99">
                  <c:v>16.305497599652451</c:v>
                </c:pt>
                <c:pt idx="100">
                  <c:v>16.921955399713113</c:v>
                </c:pt>
                <c:pt idx="101">
                  <c:v>15.061507907314473</c:v>
                </c:pt>
                <c:pt idx="102">
                  <c:v>15.301446572008762</c:v>
                </c:pt>
                <c:pt idx="103">
                  <c:v>16.047102114597138</c:v>
                </c:pt>
                <c:pt idx="104">
                  <c:v>15.88099073134727</c:v>
                </c:pt>
                <c:pt idx="105">
                  <c:v>14.533642844987185</c:v>
                </c:pt>
                <c:pt idx="106">
                  <c:v>13.806444122759945</c:v>
                </c:pt>
                <c:pt idx="107">
                  <c:v>12.728565813671946</c:v>
                </c:pt>
                <c:pt idx="108">
                  <c:v>11.229872000350943</c:v>
                </c:pt>
                <c:pt idx="109">
                  <c:v>11.122822442256579</c:v>
                </c:pt>
                <c:pt idx="110">
                  <c:v>12.068829952074937</c:v>
                </c:pt>
                <c:pt idx="111">
                  <c:v>9.7127213666687968</c:v>
                </c:pt>
                <c:pt idx="112">
                  <c:v>7.4388410981817081</c:v>
                </c:pt>
                <c:pt idx="113">
                  <c:v>7.769027250020911</c:v>
                </c:pt>
                <c:pt idx="114">
                  <c:v>9.4483720685937431</c:v>
                </c:pt>
                <c:pt idx="115">
                  <c:v>8.8895471785638946</c:v>
                </c:pt>
                <c:pt idx="116">
                  <c:v>9.786548648113186</c:v>
                </c:pt>
                <c:pt idx="117">
                  <c:v>9.461708609757892</c:v>
                </c:pt>
                <c:pt idx="118">
                  <c:v>6.7743955651822327</c:v>
                </c:pt>
                <c:pt idx="119">
                  <c:v>6.767012837037802</c:v>
                </c:pt>
                <c:pt idx="120">
                  <c:v>5.8552459111996269</c:v>
                </c:pt>
                <c:pt idx="121">
                  <c:v>5.6891345279497569</c:v>
                </c:pt>
                <c:pt idx="122">
                  <c:v>4.5964907625728504</c:v>
                </c:pt>
                <c:pt idx="123">
                  <c:v>5.3827513099555624</c:v>
                </c:pt>
                <c:pt idx="124">
                  <c:v>5.4971835961943567</c:v>
                </c:pt>
                <c:pt idx="125">
                  <c:v>5.8700113674884991</c:v>
                </c:pt>
                <c:pt idx="126">
                  <c:v>5.2129485626334668</c:v>
                </c:pt>
                <c:pt idx="127">
                  <c:v>8.7308185234584688</c:v>
                </c:pt>
                <c:pt idx="128">
                  <c:v>5.8958509159940427</c:v>
                </c:pt>
                <c:pt idx="129">
                  <c:v>5.4787267758332563</c:v>
                </c:pt>
                <c:pt idx="130">
                  <c:v>5.1501953734057455</c:v>
                </c:pt>
                <c:pt idx="131">
                  <c:v>6.4680123471880382</c:v>
                </c:pt>
                <c:pt idx="132">
                  <c:v>5.4565785913999409</c:v>
                </c:pt>
                <c:pt idx="133">
                  <c:v>4.9582444416503346</c:v>
                </c:pt>
                <c:pt idx="134">
                  <c:v>3.3746492546682525</c:v>
                </c:pt>
                <c:pt idx="135">
                  <c:v>2.5219441539855927</c:v>
                </c:pt>
                <c:pt idx="136">
                  <c:v>2.0752891012470602</c:v>
                </c:pt>
                <c:pt idx="137">
                  <c:v>1.4699053934030906</c:v>
                </c:pt>
                <c:pt idx="138">
                  <c:v>2.4776477851189611</c:v>
                </c:pt>
                <c:pt idx="139">
                  <c:v>3.035043760024084</c:v>
                </c:pt>
                <c:pt idx="140">
                  <c:v>3.4816988127626161</c:v>
                </c:pt>
                <c:pt idx="141">
                  <c:v>1.237349456853281</c:v>
                </c:pt>
                <c:pt idx="142">
                  <c:v>1.1450653550477985</c:v>
                </c:pt>
                <c:pt idx="143">
                  <c:v>0.90143532628132439</c:v>
                </c:pt>
                <c:pt idx="144">
                  <c:v>1.0011021562312457</c:v>
                </c:pt>
                <c:pt idx="145">
                  <c:v>0.97895397179792976</c:v>
                </c:pt>
                <c:pt idx="146">
                  <c:v>0.73532394303145554</c:v>
                </c:pt>
                <c:pt idx="147">
                  <c:v>0.77223758375364826</c:v>
                </c:pt>
                <c:pt idx="148">
                  <c:v>0.76116349153699048</c:v>
                </c:pt>
                <c:pt idx="149">
                  <c:v>0.87190441370356964</c:v>
                </c:pt>
                <c:pt idx="150">
                  <c:v>0.87190441370356964</c:v>
                </c:pt>
                <c:pt idx="151">
                  <c:v>0.77962031189808734</c:v>
                </c:pt>
                <c:pt idx="152">
                  <c:v>0.74639803524811354</c:v>
                </c:pt>
                <c:pt idx="153">
                  <c:v>0.88666986999244757</c:v>
                </c:pt>
                <c:pt idx="154">
                  <c:v>1.1672135394811143</c:v>
                </c:pt>
                <c:pt idx="155">
                  <c:v>1.0712380736034119</c:v>
                </c:pt>
                <c:pt idx="156">
                  <c:v>0.9826453358701488</c:v>
                </c:pt>
                <c:pt idx="157">
                  <c:v>2.171264567124755</c:v>
                </c:pt>
                <c:pt idx="158">
                  <c:v>1.842733164697244</c:v>
                </c:pt>
                <c:pt idx="159">
                  <c:v>1.1893617239144303</c:v>
                </c:pt>
                <c:pt idx="160">
                  <c:v>1.2558062772143779</c:v>
                </c:pt>
                <c:pt idx="161">
                  <c:v>1.2041271802033071</c:v>
                </c:pt>
                <c:pt idx="162">
                  <c:v>1.3443990149476412</c:v>
                </c:pt>
                <c:pt idx="163">
                  <c:v>1.5068190341252801</c:v>
                </c:pt>
                <c:pt idx="164">
                  <c:v>2.3632154988801664</c:v>
                </c:pt>
                <c:pt idx="165">
                  <c:v>1.8574986209861177</c:v>
                </c:pt>
                <c:pt idx="166">
                  <c:v>3.0498092163129571</c:v>
                </c:pt>
                <c:pt idx="167">
                  <c:v>2.2377091204247135</c:v>
                </c:pt>
                <c:pt idx="168">
                  <c:v>2.5071786976967192</c:v>
                </c:pt>
                <c:pt idx="169">
                  <c:v>2.6068455276466405</c:v>
                </c:pt>
                <c:pt idx="170">
                  <c:v>2.1786472952691973</c:v>
                </c:pt>
                <c:pt idx="171">
                  <c:v>2.6031541635744251</c:v>
                </c:pt>
                <c:pt idx="172">
                  <c:v>2.5957714354299828</c:v>
                </c:pt>
                <c:pt idx="173">
                  <c:v>1.8981036257805337</c:v>
                </c:pt>
                <c:pt idx="174">
                  <c:v>2.2893882174357767</c:v>
                </c:pt>
                <c:pt idx="175">
                  <c:v>2.4001291396023556</c:v>
                </c:pt>
                <c:pt idx="176">
                  <c:v>2.9796732989407939</c:v>
                </c:pt>
                <c:pt idx="177">
                  <c:v>2.8504755564131146</c:v>
                </c:pt>
                <c:pt idx="178">
                  <c:v>2.4001291396023556</c:v>
                </c:pt>
                <c:pt idx="179">
                  <c:v>2.8652410127019885</c:v>
                </c:pt>
                <c:pt idx="180">
                  <c:v>2.6548332605854874</c:v>
                </c:pt>
                <c:pt idx="181">
                  <c:v>3.5629088223514374</c:v>
                </c:pt>
                <c:pt idx="182">
                  <c:v>2.4038205036745821</c:v>
                </c:pt>
                <c:pt idx="183">
                  <c:v>2.5957714354299828</c:v>
                </c:pt>
                <c:pt idx="184">
                  <c:v>1.5917204077863276</c:v>
                </c:pt>
                <c:pt idx="185">
                  <c:v>1.872264077274991</c:v>
                </c:pt>
                <c:pt idx="186">
                  <c:v>2.2930795815080032</c:v>
                </c:pt>
                <c:pt idx="187">
                  <c:v>1.7836713395417279</c:v>
                </c:pt>
                <c:pt idx="188">
                  <c:v>1.9239431742860651</c:v>
                </c:pt>
                <c:pt idx="189">
                  <c:v>1.8095108880472703</c:v>
                </c:pt>
                <c:pt idx="190">
                  <c:v>2.3299932222301925</c:v>
                </c:pt>
                <c:pt idx="191">
                  <c:v>1.9276345383582807</c:v>
                </c:pt>
                <c:pt idx="192">
                  <c:v>1.6840045095918177</c:v>
                </c:pt>
                <c:pt idx="193">
                  <c:v>2.6105368917188558</c:v>
                </c:pt>
                <c:pt idx="194">
                  <c:v>2.2155609359913866</c:v>
                </c:pt>
                <c:pt idx="195">
                  <c:v>2.1786472952691973</c:v>
                </c:pt>
                <c:pt idx="196">
                  <c:v>2.3964377755301398</c:v>
                </c:pt>
                <c:pt idx="197">
                  <c:v>3.2749824247183312</c:v>
                </c:pt>
                <c:pt idx="198">
                  <c:v>3.4706247205459584</c:v>
                </c:pt>
                <c:pt idx="199">
                  <c:v>4.1129220691121171</c:v>
                </c:pt>
                <c:pt idx="200">
                  <c:v>3.1420933181184365</c:v>
                </c:pt>
                <c:pt idx="201">
                  <c:v>4.3417866415897066</c:v>
                </c:pt>
                <c:pt idx="202">
                  <c:v>6.9958774095153915</c:v>
                </c:pt>
                <c:pt idx="203">
                  <c:v>4.7589107817504921</c:v>
                </c:pt>
                <c:pt idx="204">
                  <c:v>5.194491742272378</c:v>
                </c:pt>
                <c:pt idx="205">
                  <c:v>4.5226634811284603</c:v>
                </c:pt>
                <c:pt idx="206">
                  <c:v>3.7585511181790641</c:v>
                </c:pt>
                <c:pt idx="207">
                  <c:v>3.2417601480683573</c:v>
                </c:pt>
                <c:pt idx="208">
                  <c:v>2.7508087264631933</c:v>
                </c:pt>
                <c:pt idx="209">
                  <c:v>4.5078980248395863</c:v>
                </c:pt>
                <c:pt idx="210">
                  <c:v>4.422996651178539</c:v>
                </c:pt>
                <c:pt idx="211">
                  <c:v>4.6001821266450662</c:v>
                </c:pt>
                <c:pt idx="212">
                  <c:v>3.636736103795827</c:v>
                </c:pt>
                <c:pt idx="213">
                  <c:v>3.655192924156927</c:v>
                </c:pt>
                <c:pt idx="214">
                  <c:v>3.3118960654405316</c:v>
                </c:pt>
                <c:pt idx="215">
                  <c:v>3.5518347301347788</c:v>
                </c:pt>
                <c:pt idx="216">
                  <c:v>3.2786737887905577</c:v>
                </c:pt>
                <c:pt idx="217">
                  <c:v>3.1900810510572835</c:v>
                </c:pt>
                <c:pt idx="218">
                  <c:v>3.359883798379379</c:v>
                </c:pt>
                <c:pt idx="219">
                  <c:v>3.238068783996142</c:v>
                </c:pt>
                <c:pt idx="220">
                  <c:v>3.4004888031737948</c:v>
                </c:pt>
                <c:pt idx="221">
                  <c:v>3.238068783996142</c:v>
                </c:pt>
                <c:pt idx="222">
                  <c:v>3.0682660366740575</c:v>
                </c:pt>
                <c:pt idx="223">
                  <c:v>2.9464510222908205</c:v>
                </c:pt>
                <c:pt idx="224">
                  <c:v>3.8028474870456956</c:v>
                </c:pt>
                <c:pt idx="225">
                  <c:v>3.17531559476841</c:v>
                </c:pt>
                <c:pt idx="226">
                  <c:v>3.2491428762127996</c:v>
                </c:pt>
                <c:pt idx="227">
                  <c:v>3.6108965552902954</c:v>
                </c:pt>
                <c:pt idx="228">
                  <c:v>3.5555260942070057</c:v>
                </c:pt>
                <c:pt idx="229">
                  <c:v>4.190440714628723</c:v>
                </c:pt>
                <c:pt idx="230">
                  <c:v>3.1790069588406253</c:v>
                </c:pt>
                <c:pt idx="231">
                  <c:v>3.729020205601306</c:v>
                </c:pt>
                <c:pt idx="232">
                  <c:v>3.5813656427125369</c:v>
                </c:pt>
                <c:pt idx="233">
                  <c:v>4.0280206954510698</c:v>
                </c:pt>
                <c:pt idx="234">
                  <c:v>5.3421463051611466</c:v>
                </c:pt>
                <c:pt idx="235">
                  <c:v>4.6777007721616712</c:v>
                </c:pt>
                <c:pt idx="236">
                  <c:v>5.6522208872275685</c:v>
                </c:pt>
                <c:pt idx="237">
                  <c:v>4.5964907625728504</c:v>
                </c:pt>
                <c:pt idx="238">
                  <c:v>4.5706512140673077</c:v>
                </c:pt>
                <c:pt idx="239">
                  <c:v>4.3233298212286178</c:v>
                </c:pt>
                <c:pt idx="240">
                  <c:v>4.2716507242175439</c:v>
                </c:pt>
                <c:pt idx="241">
                  <c:v>4.0944652487510176</c:v>
                </c:pt>
                <c:pt idx="242">
                  <c:v>4.0317120595232847</c:v>
                </c:pt>
                <c:pt idx="243">
                  <c:v>3.7068720211679898</c:v>
                </c:pt>
                <c:pt idx="244">
                  <c:v>3.5444520019903369</c:v>
                </c:pt>
                <c:pt idx="245">
                  <c:v>3.1605501384795365</c:v>
                </c:pt>
                <c:pt idx="246">
                  <c:v>4.5669598499950919</c:v>
                </c:pt>
                <c:pt idx="247">
                  <c:v>4.3270211853008336</c:v>
                </c:pt>
                <c:pt idx="248">
                  <c:v>3.9652675062233373</c:v>
                </c:pt>
                <c:pt idx="249">
                  <c:v>4.2273543553509123</c:v>
                </c:pt>
                <c:pt idx="250">
                  <c:v>3.9246625014289327</c:v>
                </c:pt>
                <c:pt idx="251">
                  <c:v>3.6072051912180689</c:v>
                </c:pt>
                <c:pt idx="252">
                  <c:v>4.744145325461619</c:v>
                </c:pt>
                <c:pt idx="253">
                  <c:v>4.5521943937062179</c:v>
                </c:pt>
                <c:pt idx="254">
                  <c:v>4.8142812428337818</c:v>
                </c:pt>
                <c:pt idx="255">
                  <c:v>4.991466718300309</c:v>
                </c:pt>
                <c:pt idx="256">
                  <c:v>3.3155874295127474</c:v>
                </c:pt>
                <c:pt idx="257">
                  <c:v>3.9246625014289327</c:v>
                </c:pt>
                <c:pt idx="258">
                  <c:v>3.8213043074067961</c:v>
                </c:pt>
                <c:pt idx="259">
                  <c:v>4.4414534715396279</c:v>
                </c:pt>
                <c:pt idx="260">
                  <c:v>4.2421198116397969</c:v>
                </c:pt>
                <c:pt idx="261">
                  <c:v>5.7297395327441727</c:v>
                </c:pt>
                <c:pt idx="262">
                  <c:v>5.6706777075886681</c:v>
                </c:pt>
                <c:pt idx="263">
                  <c:v>4.6186389470061657</c:v>
                </c:pt>
                <c:pt idx="264">
                  <c:v>4.8770344320615138</c:v>
                </c:pt>
                <c:pt idx="265">
                  <c:v>4.6740094080894554</c:v>
                </c:pt>
                <c:pt idx="266">
                  <c:v>4.7773676021115925</c:v>
                </c:pt>
                <c:pt idx="267">
                  <c:v>4.4894412044784868</c:v>
                </c:pt>
                <c:pt idx="268">
                  <c:v>4.282724816434202</c:v>
                </c:pt>
                <c:pt idx="269">
                  <c:v>3.5887483708569685</c:v>
                </c:pt>
                <c:pt idx="270">
                  <c:v>3.0424264881685148</c:v>
                </c:pt>
                <c:pt idx="271">
                  <c:v>3.5333779097736899</c:v>
                </c:pt>
                <c:pt idx="272">
                  <c:v>3.7511683900346218</c:v>
                </c:pt>
                <c:pt idx="273">
                  <c:v>4.205206170917597</c:v>
                </c:pt>
                <c:pt idx="274">
                  <c:v>3.8951315888511746</c:v>
                </c:pt>
                <c:pt idx="275">
                  <c:v>3.655192924156927</c:v>
                </c:pt>
                <c:pt idx="276">
                  <c:v>3.4263283516793264</c:v>
                </c:pt>
                <c:pt idx="277">
                  <c:v>2.6695987168743724</c:v>
                </c:pt>
                <c:pt idx="278">
                  <c:v>2.9796732989407939</c:v>
                </c:pt>
                <c:pt idx="279">
                  <c:v>2.374289591096824</c:v>
                </c:pt>
                <c:pt idx="280">
                  <c:v>2.8578582845575569</c:v>
                </c:pt>
                <c:pt idx="281">
                  <c:v>3.529686545701463</c:v>
                </c:pt>
                <c:pt idx="282">
                  <c:v>2.2598573048580297</c:v>
                </c:pt>
                <c:pt idx="283">
                  <c:v>2.5773146150688824</c:v>
                </c:pt>
                <c:pt idx="284">
                  <c:v>2.2783141252191186</c:v>
                </c:pt>
                <c:pt idx="285">
                  <c:v>2.3152277659413079</c:v>
                </c:pt>
                <c:pt idx="286">
                  <c:v>2.6880555372354618</c:v>
                </c:pt>
                <c:pt idx="287">
                  <c:v>2.7840310031131672</c:v>
                </c:pt>
                <c:pt idx="288">
                  <c:v>2.5699318869244401</c:v>
                </c:pt>
                <c:pt idx="289">
                  <c:v>3.1826983229128523</c:v>
                </c:pt>
                <c:pt idx="290">
                  <c:v>2.824636007907583</c:v>
                </c:pt>
                <c:pt idx="291">
                  <c:v>3.7105633852402167</c:v>
                </c:pt>
                <c:pt idx="292">
                  <c:v>3.544452001990348</c:v>
                </c:pt>
                <c:pt idx="293">
                  <c:v>3.8176129433345691</c:v>
                </c:pt>
                <c:pt idx="294">
                  <c:v>3.6072051912180689</c:v>
                </c:pt>
                <c:pt idx="295">
                  <c:v>5.6891345279497569</c:v>
                </c:pt>
                <c:pt idx="296">
                  <c:v>3.9726502343677801</c:v>
                </c:pt>
                <c:pt idx="297">
                  <c:v>4.2864161805064285</c:v>
                </c:pt>
                <c:pt idx="298">
                  <c:v>4.2679593601453281</c:v>
                </c:pt>
                <c:pt idx="299">
                  <c:v>4.7146144128838605</c:v>
                </c:pt>
                <c:pt idx="300">
                  <c:v>6.1468636729049591</c:v>
                </c:pt>
                <c:pt idx="301">
                  <c:v>10.011721856518571</c:v>
                </c:pt>
                <c:pt idx="302">
                  <c:v>18.044130077667745</c:v>
                </c:pt>
                <c:pt idx="303">
                  <c:v>13.570196822137946</c:v>
                </c:pt>
                <c:pt idx="304">
                  <c:v>6.3166664202270431</c:v>
                </c:pt>
                <c:pt idx="305">
                  <c:v>9.0925722025359654</c:v>
                </c:pt>
                <c:pt idx="306">
                  <c:v>4.3233298212286178</c:v>
                </c:pt>
                <c:pt idx="307">
                  <c:v>5.7740359016108052</c:v>
                </c:pt>
                <c:pt idx="308">
                  <c:v>12.400034411244389</c:v>
                </c:pt>
                <c:pt idx="309">
                  <c:v>12.174861202839049</c:v>
                </c:pt>
                <c:pt idx="310">
                  <c:v>12.152713018405732</c:v>
                </c:pt>
                <c:pt idx="311">
                  <c:v>10.044944133168547</c:v>
                </c:pt>
                <c:pt idx="312">
                  <c:v>17.630697301579222</c:v>
                </c:pt>
                <c:pt idx="313">
                  <c:v>16.933029491929769</c:v>
                </c:pt>
                <c:pt idx="314">
                  <c:v>15.079964727675605</c:v>
                </c:pt>
                <c:pt idx="315">
                  <c:v>15.943743920574923</c:v>
                </c:pt>
                <c:pt idx="316">
                  <c:v>16.3719421529524</c:v>
                </c:pt>
                <c:pt idx="317">
                  <c:v>17.427672277607083</c:v>
                </c:pt>
                <c:pt idx="318">
                  <c:v>22.115704649325675</c:v>
                </c:pt>
                <c:pt idx="319">
                  <c:v>25.04295635859555</c:v>
                </c:pt>
                <c:pt idx="320">
                  <c:v>20.100219865893823</c:v>
                </c:pt>
                <c:pt idx="321">
                  <c:v>19.085094746033587</c:v>
                </c:pt>
                <c:pt idx="322">
                  <c:v>13.592345006571263</c:v>
                </c:pt>
                <c:pt idx="323">
                  <c:v>10.325487802657209</c:v>
                </c:pt>
                <c:pt idx="324">
                  <c:v>9.0187449210915762</c:v>
                </c:pt>
                <c:pt idx="325">
                  <c:v>7.9999284371590464</c:v>
                </c:pt>
                <c:pt idx="326">
                  <c:v>10.288574161935019</c:v>
                </c:pt>
                <c:pt idx="327">
                  <c:v>16.165225764908079</c:v>
                </c:pt>
                <c:pt idx="328">
                  <c:v>8.8895471785638946</c:v>
                </c:pt>
                <c:pt idx="329">
                  <c:v>8.4798057665475515</c:v>
                </c:pt>
                <c:pt idx="330">
                  <c:v>8.365373480308758</c:v>
                </c:pt>
                <c:pt idx="331">
                  <c:v>9.3620417798079707</c:v>
                </c:pt>
                <c:pt idx="332">
                  <c:v>6.6451978226545538</c:v>
                </c:pt>
                <c:pt idx="333">
                  <c:v>10.067092317601862</c:v>
                </c:pt>
                <c:pt idx="334">
                  <c:v>7.7747552287536728</c:v>
                </c:pt>
                <c:pt idx="335">
                  <c:v>7.6640143065870818</c:v>
                </c:pt>
                <c:pt idx="336">
                  <c:v>7.320717447870698</c:v>
                </c:pt>
                <c:pt idx="337">
                  <c:v>5.7445049890330466</c:v>
                </c:pt>
                <c:pt idx="338">
                  <c:v>5.3753685818111201</c:v>
                </c:pt>
                <c:pt idx="339">
                  <c:v>6.3978764298158639</c:v>
                </c:pt>
                <c:pt idx="340">
                  <c:v>4.4119225589618809</c:v>
                </c:pt>
                <c:pt idx="341">
                  <c:v>5.5599367854220887</c:v>
                </c:pt>
                <c:pt idx="342">
                  <c:v>4.2310457194231272</c:v>
                </c:pt>
                <c:pt idx="343">
                  <c:v>4.2716507242175439</c:v>
                </c:pt>
                <c:pt idx="344">
                  <c:v>5.6485295231553527</c:v>
                </c:pt>
                <c:pt idx="345">
                  <c:v>4.452527563756286</c:v>
                </c:pt>
                <c:pt idx="346">
                  <c:v>4.718305776956087</c:v>
                </c:pt>
                <c:pt idx="347">
                  <c:v>4.8622689757726398</c:v>
                </c:pt>
                <c:pt idx="348">
                  <c:v>2.9981301193018832</c:v>
                </c:pt>
                <c:pt idx="349">
                  <c:v>5.1428126452613041</c:v>
                </c:pt>
                <c:pt idx="350">
                  <c:v>5.4528872273277251</c:v>
                </c:pt>
                <c:pt idx="351">
                  <c:v>4.4562189278285125</c:v>
                </c:pt>
                <c:pt idx="352">
                  <c:v>3.9394279577178062</c:v>
                </c:pt>
                <c:pt idx="353">
                  <c:v>5.3199981207278304</c:v>
                </c:pt>
                <c:pt idx="354">
                  <c:v>5.8330977267663098</c:v>
                </c:pt>
                <c:pt idx="355">
                  <c:v>7.4277670059650509</c:v>
                </c:pt>
                <c:pt idx="356">
                  <c:v>5.2129485626334668</c:v>
                </c:pt>
                <c:pt idx="357">
                  <c:v>5.4639613195443841</c:v>
                </c:pt>
                <c:pt idx="358">
                  <c:v>5.7518877171774898</c:v>
                </c:pt>
                <c:pt idx="359">
                  <c:v>4.2495025397842277</c:v>
                </c:pt>
                <c:pt idx="360">
                  <c:v>4.3491693697341489</c:v>
                </c:pt>
                <c:pt idx="361">
                  <c:v>5.1169730967557721</c:v>
                </c:pt>
                <c:pt idx="362">
                  <c:v>3.8803661325623007</c:v>
                </c:pt>
                <c:pt idx="363">
                  <c:v>3.9025143169956169</c:v>
                </c:pt>
                <c:pt idx="364">
                  <c:v>3.6625756523013582</c:v>
                </c:pt>
                <c:pt idx="365">
                  <c:v>3.0941055851795887</c:v>
                </c:pt>
                <c:pt idx="366">
                  <c:v>2.8467841923408987</c:v>
                </c:pt>
                <c:pt idx="367">
                  <c:v>2.8135619156909253</c:v>
                </c:pt>
                <c:pt idx="368">
                  <c:v>2.7877223671853826</c:v>
                </c:pt>
                <c:pt idx="369">
                  <c:v>2.5625491587800084</c:v>
                </c:pt>
                <c:pt idx="370">
                  <c:v>1.7246095143862226</c:v>
                </c:pt>
                <c:pt idx="371">
                  <c:v>2.4739564210467453</c:v>
                </c:pt>
                <c:pt idx="372">
                  <c:v>3.4669333564737421</c:v>
                </c:pt>
                <c:pt idx="373">
                  <c:v>3.4041801672460106</c:v>
                </c:pt>
                <c:pt idx="374">
                  <c:v>3.2196119636350415</c:v>
                </c:pt>
                <c:pt idx="375">
                  <c:v>4.2974902727230866</c:v>
                </c:pt>
                <c:pt idx="376">
                  <c:v>7.4831374670483406</c:v>
                </c:pt>
                <c:pt idx="377">
                  <c:v>6.563987813065733</c:v>
                </c:pt>
                <c:pt idx="378">
                  <c:v>6.5307655364157586</c:v>
                </c:pt>
                <c:pt idx="379">
                  <c:v>6.2022341339882372</c:v>
                </c:pt>
                <c:pt idx="380">
                  <c:v>6.2760614154326273</c:v>
                </c:pt>
                <c:pt idx="381">
                  <c:v>5.5894676979998366</c:v>
                </c:pt>
                <c:pt idx="382">
                  <c:v>6.7153337400267281</c:v>
                </c:pt>
                <c:pt idx="383">
                  <c:v>7.5791129329260452</c:v>
                </c:pt>
                <c:pt idx="384">
                  <c:v>6.7374819244600435</c:v>
                </c:pt>
                <c:pt idx="385">
                  <c:v>7.553273384420514</c:v>
                </c:pt>
                <c:pt idx="386">
                  <c:v>7.9703975245812879</c:v>
                </c:pt>
                <c:pt idx="387">
                  <c:v>9.6536595415132922</c:v>
                </c:pt>
                <c:pt idx="388">
                  <c:v>10.030178676879661</c:v>
                </c:pt>
                <c:pt idx="389">
                  <c:v>11.746662970461573</c:v>
                </c:pt>
                <c:pt idx="390">
                  <c:v>10.879192413490104</c:v>
                </c:pt>
                <c:pt idx="391">
                  <c:v>9.8751413858464492</c:v>
                </c:pt>
                <c:pt idx="392">
                  <c:v>7.9408666120035418</c:v>
                </c:pt>
                <c:pt idx="393">
                  <c:v>6.7854696573988917</c:v>
                </c:pt>
                <c:pt idx="394">
                  <c:v>8.5241021354141839</c:v>
                </c:pt>
                <c:pt idx="395">
                  <c:v>12.532923517844283</c:v>
                </c:pt>
                <c:pt idx="396">
                  <c:v>16.482683075118977</c:v>
                </c:pt>
                <c:pt idx="397">
                  <c:v>20.3180103461548</c:v>
                </c:pt>
                <c:pt idx="398">
                  <c:v>23.315397972796912</c:v>
                </c:pt>
                <c:pt idx="399">
                  <c:v>25.293969115506389</c:v>
                </c:pt>
                <c:pt idx="400">
                  <c:v>20.550566282704619</c:v>
                </c:pt>
                <c:pt idx="401">
                  <c:v>20.849566772554383</c:v>
                </c:pt>
                <c:pt idx="402">
                  <c:v>28.147393543331951</c:v>
                </c:pt>
                <c:pt idx="403">
                  <c:v>26.047007386239237</c:v>
                </c:pt>
                <c:pt idx="404">
                  <c:v>24.444955378896022</c:v>
                </c:pt>
                <c:pt idx="405">
                  <c:v>25.186919557412104</c:v>
                </c:pt>
                <c:pt idx="406">
                  <c:v>25.72585871195605</c:v>
                </c:pt>
                <c:pt idx="407">
                  <c:v>23.551645273418913</c:v>
                </c:pt>
                <c:pt idx="408">
                  <c:v>19.911960298210641</c:v>
                </c:pt>
                <c:pt idx="409">
                  <c:v>21.203937723487435</c:v>
                </c:pt>
                <c:pt idx="410">
                  <c:v>17.999833708801113</c:v>
                </c:pt>
                <c:pt idx="411">
                  <c:v>18.103191902823216</c:v>
                </c:pt>
                <c:pt idx="412">
                  <c:v>21.122727713898644</c:v>
                </c:pt>
                <c:pt idx="413">
                  <c:v>15.877299367274976</c:v>
                </c:pt>
                <c:pt idx="414">
                  <c:v>16.951486312290793</c:v>
                </c:pt>
                <c:pt idx="415">
                  <c:v>11.381217927311861</c:v>
                </c:pt>
                <c:pt idx="416">
                  <c:v>11.665452960872784</c:v>
                </c:pt>
                <c:pt idx="417">
                  <c:v>14.910161980353553</c:v>
                </c:pt>
                <c:pt idx="418">
                  <c:v>14.902779252209079</c:v>
                </c:pt>
                <c:pt idx="419">
                  <c:v>11.573168859067339</c:v>
                </c:pt>
                <c:pt idx="420">
                  <c:v>11.757737062678229</c:v>
                </c:pt>
                <c:pt idx="421">
                  <c:v>11.95337935850589</c:v>
                </c:pt>
                <c:pt idx="422">
                  <c:v>10.87550104941789</c:v>
                </c:pt>
                <c:pt idx="423">
                  <c:v>9.2106958528469747</c:v>
                </c:pt>
                <c:pt idx="424">
                  <c:v>8.609003509075233</c:v>
                </c:pt>
                <c:pt idx="425">
                  <c:v>6.8371487544099647</c:v>
                </c:pt>
                <c:pt idx="426">
                  <c:v>7.5791129329260452</c:v>
                </c:pt>
                <c:pt idx="427">
                  <c:v>8.2361757377810783</c:v>
                </c:pt>
                <c:pt idx="428">
                  <c:v>8.9153867270694391</c:v>
                </c:pt>
                <c:pt idx="429">
                  <c:v>7.2284333460652075</c:v>
                </c:pt>
                <c:pt idx="430">
                  <c:v>7.2838038071484981</c:v>
                </c:pt>
                <c:pt idx="431">
                  <c:v>5.2350967470667822</c:v>
                </c:pt>
                <c:pt idx="432">
                  <c:v>5.7445049890330466</c:v>
                </c:pt>
                <c:pt idx="433">
                  <c:v>5.4122822225333094</c:v>
                </c:pt>
                <c:pt idx="434">
                  <c:v>5.2055658344890352</c:v>
                </c:pt>
                <c:pt idx="435">
                  <c:v>4.8733430679892979</c:v>
                </c:pt>
                <c:pt idx="436">
                  <c:v>4.0612429721010432</c:v>
                </c:pt>
                <c:pt idx="437">
                  <c:v>3.7843906666845952</c:v>
                </c:pt>
                <c:pt idx="438">
                  <c:v>3.0535005803851729</c:v>
                </c:pt>
                <c:pt idx="439">
                  <c:v>2.9316855660019354</c:v>
                </c:pt>
                <c:pt idx="440">
                  <c:v>2.6142282557910828</c:v>
                </c:pt>
                <c:pt idx="441">
                  <c:v>2.6474505324410567</c:v>
                </c:pt>
                <c:pt idx="442">
                  <c:v>1.8685727132027756</c:v>
                </c:pt>
                <c:pt idx="443">
                  <c:v>1.8833381694916491</c:v>
                </c:pt>
                <c:pt idx="444">
                  <c:v>2.4075118677467979</c:v>
                </c:pt>
                <c:pt idx="445">
                  <c:v>2.5551664306355666</c:v>
                </c:pt>
                <c:pt idx="446">
                  <c:v>3.0867228570351464</c:v>
                </c:pt>
                <c:pt idx="447">
                  <c:v>3.4410938079681999</c:v>
                </c:pt>
                <c:pt idx="448">
                  <c:v>3.3709578905960367</c:v>
                </c:pt>
                <c:pt idx="449">
                  <c:v>4.7699848739671502</c:v>
                </c:pt>
                <c:pt idx="450">
                  <c:v>3.5075383612681472</c:v>
                </c:pt>
                <c:pt idx="451">
                  <c:v>3.8249956714790114</c:v>
                </c:pt>
                <c:pt idx="452">
                  <c:v>3.3635751624515944</c:v>
                </c:pt>
                <c:pt idx="453">
                  <c:v>2.8209446438353569</c:v>
                </c:pt>
                <c:pt idx="454">
                  <c:v>3.3414269780182786</c:v>
                </c:pt>
                <c:pt idx="455">
                  <c:v>3.3303528858016209</c:v>
                </c:pt>
                <c:pt idx="456">
                  <c:v>2.0236100042359864</c:v>
                </c:pt>
                <c:pt idx="457">
                  <c:v>2.0162272760915441</c:v>
                </c:pt>
                <c:pt idx="458">
                  <c:v>2.1528077467636657</c:v>
                </c:pt>
                <c:pt idx="459">
                  <c:v>2.4554996006856453</c:v>
                </c:pt>
                <c:pt idx="460">
                  <c:v>3.437402443895984</c:v>
                </c:pt>
                <c:pt idx="461">
                  <c:v>3.6145879193625112</c:v>
                </c:pt>
                <c:pt idx="462">
                  <c:v>3.3525010702349367</c:v>
                </c:pt>
                <c:pt idx="463">
                  <c:v>4.4451448356118552</c:v>
                </c:pt>
                <c:pt idx="464">
                  <c:v>4.592799398500623</c:v>
                </c:pt>
                <c:pt idx="465">
                  <c:v>5.0062321745891927</c:v>
                </c:pt>
                <c:pt idx="466">
                  <c:v>6.2096168621326795</c:v>
                </c:pt>
                <c:pt idx="467">
                  <c:v>6.150555036977174</c:v>
                </c:pt>
                <c:pt idx="468">
                  <c:v>4.3934657386007814</c:v>
                </c:pt>
                <c:pt idx="469">
                  <c:v>4.0464775158121702</c:v>
                </c:pt>
                <c:pt idx="470">
                  <c:v>3.6145879193625112</c:v>
                </c:pt>
                <c:pt idx="471">
                  <c:v>4.9397876212892342</c:v>
                </c:pt>
                <c:pt idx="472">
                  <c:v>6.2354564106382222</c:v>
                </c:pt>
                <c:pt idx="473">
                  <c:v>7.2136678897763336</c:v>
                </c:pt>
                <c:pt idx="474">
                  <c:v>7.7378415880314719</c:v>
                </c:pt>
                <c:pt idx="475">
                  <c:v>7.5643474766371721</c:v>
                </c:pt>
                <c:pt idx="476">
                  <c:v>8.1586570922644732</c:v>
                </c:pt>
                <c:pt idx="477">
                  <c:v>6.4901605316213535</c:v>
                </c:pt>
                <c:pt idx="478">
                  <c:v>7.3207174478706873</c:v>
                </c:pt>
                <c:pt idx="479">
                  <c:v>7.1915197053430182</c:v>
                </c:pt>
                <c:pt idx="480">
                  <c:v>4.4008484667452228</c:v>
                </c:pt>
                <c:pt idx="481">
                  <c:v>6.0287400225939374</c:v>
                </c:pt>
                <c:pt idx="482">
                  <c:v>5.2978499362945151</c:v>
                </c:pt>
                <c:pt idx="483">
                  <c:v>5.4196649506777517</c:v>
                </c:pt>
                <c:pt idx="484">
                  <c:v>5.1612694656224036</c:v>
                </c:pt>
                <c:pt idx="485">
                  <c:v>5.6928258920219843</c:v>
                </c:pt>
                <c:pt idx="486">
                  <c:v>5.4971835961943567</c:v>
                </c:pt>
                <c:pt idx="487">
                  <c:v>4.9877753542280923</c:v>
                </c:pt>
                <c:pt idx="488">
                  <c:v>6.2908268717215119</c:v>
                </c:pt>
                <c:pt idx="489">
                  <c:v>6.34619733280479</c:v>
                </c:pt>
                <c:pt idx="490">
                  <c:v>6.2982095998659426</c:v>
                </c:pt>
                <c:pt idx="491">
                  <c:v>9.2513008576413913</c:v>
                </c:pt>
                <c:pt idx="492">
                  <c:v>10.447302817040446</c:v>
                </c:pt>
                <c:pt idx="493">
                  <c:v>17.826339597406768</c:v>
                </c:pt>
                <c:pt idx="494">
                  <c:v>23.112372948824778</c:v>
                </c:pt>
                <c:pt idx="495">
                  <c:v>25.744315532317181</c:v>
                </c:pt>
                <c:pt idx="496">
                  <c:v>15.578298877425212</c:v>
                </c:pt>
                <c:pt idx="497">
                  <c:v>9.7570177355354382</c:v>
                </c:pt>
                <c:pt idx="498">
                  <c:v>10.100314594251826</c:v>
                </c:pt>
                <c:pt idx="499">
                  <c:v>11.229872000350932</c:v>
                </c:pt>
                <c:pt idx="500">
                  <c:v>10.591266015856998</c:v>
                </c:pt>
                <c:pt idx="501">
                  <c:v>9.9748082157963704</c:v>
                </c:pt>
                <c:pt idx="502">
                  <c:v>7.9408666120035418</c:v>
                </c:pt>
                <c:pt idx="503">
                  <c:v>6.3240491483714738</c:v>
                </c:pt>
                <c:pt idx="504">
                  <c:v>5.3679858536666778</c:v>
                </c:pt>
                <c:pt idx="505">
                  <c:v>5.4750354117610414</c:v>
                </c:pt>
                <c:pt idx="506">
                  <c:v>4.7330712332449609</c:v>
                </c:pt>
                <c:pt idx="507">
                  <c:v>3.5370692738459053</c:v>
                </c:pt>
                <c:pt idx="508">
                  <c:v>5.2867758440778569</c:v>
                </c:pt>
                <c:pt idx="509">
                  <c:v>4.4968239326229176</c:v>
                </c:pt>
                <c:pt idx="510">
                  <c:v>3.1199451336851207</c:v>
                </c:pt>
                <c:pt idx="511">
                  <c:v>3.359883798379379</c:v>
                </c:pt>
                <c:pt idx="512">
                  <c:v>2.5699318869244507</c:v>
                </c:pt>
                <c:pt idx="513">
                  <c:v>3.3045133372960893</c:v>
                </c:pt>
                <c:pt idx="514">
                  <c:v>3.2122292354906103</c:v>
                </c:pt>
                <c:pt idx="515">
                  <c:v>2.9095373815686196</c:v>
                </c:pt>
                <c:pt idx="516">
                  <c:v>2.5588577947077931</c:v>
                </c:pt>
                <c:pt idx="517">
                  <c:v>2.8578582845575458</c:v>
                </c:pt>
                <c:pt idx="518">
                  <c:v>2.8947719252797466</c:v>
                </c:pt>
                <c:pt idx="519">
                  <c:v>2.6917469013076882</c:v>
                </c:pt>
                <c:pt idx="520">
                  <c:v>2.9722905707963516</c:v>
                </c:pt>
                <c:pt idx="521">
                  <c:v>2.7471173623909779</c:v>
                </c:pt>
                <c:pt idx="522">
                  <c:v>3.5075383612681472</c:v>
                </c:pt>
                <c:pt idx="523">
                  <c:v>2.5920800713577665</c:v>
                </c:pt>
                <c:pt idx="524">
                  <c:v>3.9874156906566647</c:v>
                </c:pt>
                <c:pt idx="525">
                  <c:v>4.7219971410283028</c:v>
                </c:pt>
                <c:pt idx="526">
                  <c:v>5.6706777075886681</c:v>
                </c:pt>
                <c:pt idx="527">
                  <c:v>6.6193582741490227</c:v>
                </c:pt>
                <c:pt idx="528">
                  <c:v>8.5204107713419681</c:v>
                </c:pt>
                <c:pt idx="529">
                  <c:v>7.2616556227151818</c:v>
                </c:pt>
                <c:pt idx="530">
                  <c:v>6.8186919340488643</c:v>
                </c:pt>
                <c:pt idx="531">
                  <c:v>6.8777537592043814</c:v>
                </c:pt>
                <c:pt idx="532">
                  <c:v>6.5418396286324167</c:v>
                </c:pt>
                <c:pt idx="533">
                  <c:v>6.2243823184215525</c:v>
                </c:pt>
                <c:pt idx="534">
                  <c:v>5.7002086201664151</c:v>
                </c:pt>
                <c:pt idx="535">
                  <c:v>5.393825402172209</c:v>
                </c:pt>
                <c:pt idx="536">
                  <c:v>6.4643209831158117</c:v>
                </c:pt>
                <c:pt idx="537">
                  <c:v>6.8445314825543964</c:v>
                </c:pt>
                <c:pt idx="538">
                  <c:v>7.4646806466872402</c:v>
                </c:pt>
                <c:pt idx="539">
                  <c:v>8.2804721066477107</c:v>
                </c:pt>
                <c:pt idx="540">
                  <c:v>6.611975546004591</c:v>
                </c:pt>
                <c:pt idx="541">
                  <c:v>6.010283202232837</c:v>
                </c:pt>
                <c:pt idx="542">
                  <c:v>6.6009014537879338</c:v>
                </c:pt>
                <c:pt idx="543">
                  <c:v>6.6415064585823389</c:v>
                </c:pt>
                <c:pt idx="544">
                  <c:v>7.5311251999871986</c:v>
                </c:pt>
                <c:pt idx="545">
                  <c:v>5.5710108776387468</c:v>
                </c:pt>
                <c:pt idx="546">
                  <c:v>8.6459171497974214</c:v>
                </c:pt>
                <c:pt idx="547">
                  <c:v>6.7817782933266759</c:v>
                </c:pt>
                <c:pt idx="548">
                  <c:v>5.4676526836165991</c:v>
                </c:pt>
                <c:pt idx="549">
                  <c:v>5.0209976308780666</c:v>
                </c:pt>
                <c:pt idx="550">
                  <c:v>4.3344039134452759</c:v>
                </c:pt>
                <c:pt idx="551">
                  <c:v>4.360243461950807</c:v>
                </c:pt>
                <c:pt idx="552">
                  <c:v>3.3155874295127474</c:v>
                </c:pt>
                <c:pt idx="553">
                  <c:v>4.2347370834953546</c:v>
                </c:pt>
                <c:pt idx="554">
                  <c:v>4.3122557290119596</c:v>
                </c:pt>
                <c:pt idx="555">
                  <c:v>3.4447851720404157</c:v>
                </c:pt>
                <c:pt idx="556">
                  <c:v>4.3565520978785912</c:v>
                </c:pt>
                <c:pt idx="557">
                  <c:v>3.8582179481289849</c:v>
                </c:pt>
                <c:pt idx="558">
                  <c:v>2.8467841923408987</c:v>
                </c:pt>
                <c:pt idx="559">
                  <c:v>3.51492108941259</c:v>
                </c:pt>
                <c:pt idx="560">
                  <c:v>2.990747391157452</c:v>
                </c:pt>
                <c:pt idx="561">
                  <c:v>2.6769814450188032</c:v>
                </c:pt>
                <c:pt idx="562">
                  <c:v>2.4333514162523295</c:v>
                </c:pt>
                <c:pt idx="563">
                  <c:v>2.189721387485855</c:v>
                </c:pt>
                <c:pt idx="564">
                  <c:v>1.6027945000029855</c:v>
                </c:pt>
                <c:pt idx="565">
                  <c:v>1.5843376796418962</c:v>
                </c:pt>
                <c:pt idx="566">
                  <c:v>1.3333249227309831</c:v>
                </c:pt>
                <c:pt idx="567">
                  <c:v>1.2853371897921315</c:v>
                </c:pt>
                <c:pt idx="568">
                  <c:v>1.5068190341252909</c:v>
                </c:pt>
                <c:pt idx="569">
                  <c:v>1.9608568150082655</c:v>
                </c:pt>
                <c:pt idx="570">
                  <c:v>1.5584981311363539</c:v>
                </c:pt>
                <c:pt idx="571">
                  <c:v>1.34809037901986</c:v>
                </c:pt>
                <c:pt idx="572">
                  <c:v>1.5548067670641381</c:v>
                </c:pt>
                <c:pt idx="573">
                  <c:v>1.2779544616476937</c:v>
                </c:pt>
                <c:pt idx="574">
                  <c:v>2.1454250186192239</c:v>
                </c:pt>
                <c:pt idx="575">
                  <c:v>1.997770455730455</c:v>
                </c:pt>
                <c:pt idx="576">
                  <c:v>2.0014618198026706</c:v>
                </c:pt>
                <c:pt idx="577">
                  <c:v>2.0863631934637183</c:v>
                </c:pt>
                <c:pt idx="578">
                  <c:v>1.8279677084083705</c:v>
                </c:pt>
                <c:pt idx="579">
                  <c:v>1.8944122617083181</c:v>
                </c:pt>
                <c:pt idx="580">
                  <c:v>3.2343774199239261</c:v>
                </c:pt>
                <c:pt idx="581">
                  <c:v>2.1343509264025657</c:v>
                </c:pt>
                <c:pt idx="582">
                  <c:v>2.160190474908108</c:v>
                </c:pt>
                <c:pt idx="583">
                  <c:v>1.9830049994415815</c:v>
                </c:pt>
                <c:pt idx="584">
                  <c:v>3.2565256043572419</c:v>
                </c:pt>
                <c:pt idx="585">
                  <c:v>3.3635751624515944</c:v>
                </c:pt>
                <c:pt idx="586">
                  <c:v>4.9545530775781188</c:v>
                </c:pt>
                <c:pt idx="587">
                  <c:v>5.8737027315607255</c:v>
                </c:pt>
                <c:pt idx="588">
                  <c:v>4.0058725110177535</c:v>
                </c:pt>
                <c:pt idx="589">
                  <c:v>5.596850426144278</c:v>
                </c:pt>
                <c:pt idx="590">
                  <c:v>6.5086173519824433</c:v>
                </c:pt>
                <c:pt idx="591">
                  <c:v>20.986147243226569</c:v>
                </c:pt>
                <c:pt idx="592">
                  <c:v>24.898993159778996</c:v>
                </c:pt>
                <c:pt idx="593">
                  <c:v>18.335747839373035</c:v>
                </c:pt>
                <c:pt idx="594">
                  <c:v>18.380044208239667</c:v>
                </c:pt>
                <c:pt idx="595">
                  <c:v>18.225006917206453</c:v>
                </c:pt>
                <c:pt idx="596">
                  <c:v>23.36338570573573</c:v>
                </c:pt>
                <c:pt idx="597">
                  <c:v>22.473766964330913</c:v>
                </c:pt>
                <c:pt idx="598">
                  <c:v>23.396607982385703</c:v>
                </c:pt>
                <c:pt idx="599">
                  <c:v>23.60332437043002</c:v>
                </c:pt>
                <c:pt idx="600">
                  <c:v>22.278124668503253</c:v>
                </c:pt>
                <c:pt idx="601">
                  <c:v>22.436853323608755</c:v>
                </c:pt>
                <c:pt idx="602">
                  <c:v>22.536520153558676</c:v>
                </c:pt>
                <c:pt idx="603">
                  <c:v>23.215731142846991</c:v>
                </c:pt>
                <c:pt idx="604">
                  <c:v>26.349699240161186</c:v>
                </c:pt>
                <c:pt idx="605">
                  <c:v>22.348260585875494</c:v>
                </c:pt>
                <c:pt idx="606">
                  <c:v>38.187903819768501</c:v>
                </c:pt>
                <c:pt idx="607">
                  <c:v>36.907000486708363</c:v>
                </c:pt>
                <c:pt idx="608">
                  <c:v>30.000458307586115</c:v>
                </c:pt>
                <c:pt idx="609">
                  <c:v>28.918888634425823</c:v>
                </c:pt>
                <c:pt idx="610">
                  <c:v>33.83947694269412</c:v>
                </c:pt>
                <c:pt idx="611">
                  <c:v>18.605217416645118</c:v>
                </c:pt>
                <c:pt idx="612">
                  <c:v>12.403725775316572</c:v>
                </c:pt>
                <c:pt idx="613">
                  <c:v>12.388960319027731</c:v>
                </c:pt>
                <c:pt idx="614">
                  <c:v>11.890626169278125</c:v>
                </c:pt>
                <c:pt idx="615">
                  <c:v>13.614493191004577</c:v>
                </c:pt>
                <c:pt idx="616">
                  <c:v>13.54804863770463</c:v>
                </c:pt>
                <c:pt idx="617">
                  <c:v>10.185215967912882</c:v>
                </c:pt>
                <c:pt idx="618">
                  <c:v>8.7049789749529261</c:v>
                </c:pt>
                <c:pt idx="619">
                  <c:v>7.490520195192782</c:v>
                </c:pt>
                <c:pt idx="620">
                  <c:v>9.1442512995470278</c:v>
                </c:pt>
                <c:pt idx="621">
                  <c:v>9.5761408959966872</c:v>
                </c:pt>
                <c:pt idx="622">
                  <c:v>7.8596566024147094</c:v>
                </c:pt>
                <c:pt idx="623">
                  <c:v>10.107697322396266</c:v>
                </c:pt>
                <c:pt idx="624">
                  <c:v>7.9076443353535568</c:v>
                </c:pt>
                <c:pt idx="625">
                  <c:v>10.775834219467969</c:v>
                </c:pt>
                <c:pt idx="626">
                  <c:v>8.6532998779418637</c:v>
                </c:pt>
                <c:pt idx="627">
                  <c:v>6.8629883029154959</c:v>
                </c:pt>
                <c:pt idx="628">
                  <c:v>7.4277670059650509</c:v>
                </c:pt>
                <c:pt idx="629">
                  <c:v>6.6193582741490227</c:v>
                </c:pt>
                <c:pt idx="630">
                  <c:v>7.8338170539091783</c:v>
                </c:pt>
                <c:pt idx="631">
                  <c:v>9.1848563043414444</c:v>
                </c:pt>
                <c:pt idx="632">
                  <c:v>9.1036462947526235</c:v>
                </c:pt>
                <c:pt idx="633">
                  <c:v>6.611975546004591</c:v>
                </c:pt>
                <c:pt idx="634">
                  <c:v>7.0032601376598338</c:v>
                </c:pt>
                <c:pt idx="635">
                  <c:v>6.8039264777599922</c:v>
                </c:pt>
                <c:pt idx="636">
                  <c:v>6.9072846717821283</c:v>
                </c:pt>
                <c:pt idx="637">
                  <c:v>6.6488891867267803</c:v>
                </c:pt>
                <c:pt idx="638">
                  <c:v>6.6858028274489705</c:v>
                </c:pt>
                <c:pt idx="639">
                  <c:v>8.1402002719033852</c:v>
                </c:pt>
                <c:pt idx="640">
                  <c:v>8.8157198971195179</c:v>
                </c:pt>
                <c:pt idx="641">
                  <c:v>8.2620152862866085</c:v>
                </c:pt>
                <c:pt idx="642">
                  <c:v>9.1553253917636859</c:v>
                </c:pt>
                <c:pt idx="643">
                  <c:v>8.6237689653641052</c:v>
                </c:pt>
                <c:pt idx="644">
                  <c:v>9.6868818181632648</c:v>
                </c:pt>
                <c:pt idx="645">
                  <c:v>8.1180520874700672</c:v>
                </c:pt>
                <c:pt idx="646">
                  <c:v>7.1361492442597294</c:v>
                </c:pt>
                <c:pt idx="647">
                  <c:v>5.9770609255828626</c:v>
                </c:pt>
                <c:pt idx="648">
                  <c:v>6.073036391460569</c:v>
                </c:pt>
                <c:pt idx="649">
                  <c:v>7.1878283412708024</c:v>
                </c:pt>
                <c:pt idx="650">
                  <c:v>8.1660398204089155</c:v>
                </c:pt>
                <c:pt idx="651">
                  <c:v>7.0586305987431235</c:v>
                </c:pt>
                <c:pt idx="652">
                  <c:v>7.6418661221537665</c:v>
                </c:pt>
                <c:pt idx="653">
                  <c:v>7.5274338359149722</c:v>
                </c:pt>
                <c:pt idx="654">
                  <c:v>8.4502748539698054</c:v>
                </c:pt>
                <c:pt idx="655">
                  <c:v>8.4834971306197797</c:v>
                </c:pt>
                <c:pt idx="656">
                  <c:v>8.4207439413920486</c:v>
                </c:pt>
                <c:pt idx="657">
                  <c:v>9.0039794648027023</c:v>
                </c:pt>
                <c:pt idx="658">
                  <c:v>8.99659673665826</c:v>
                </c:pt>
                <c:pt idx="659">
                  <c:v>8.9707571881527279</c:v>
                </c:pt>
                <c:pt idx="660">
                  <c:v>8.228793009636636</c:v>
                </c:pt>
                <c:pt idx="661">
                  <c:v>9.4838567941912064</c:v>
                </c:pt>
                <c:pt idx="662">
                  <c:v>9.6093631726466597</c:v>
                </c:pt>
                <c:pt idx="663">
                  <c:v>10.694624209879136</c:v>
                </c:pt>
                <c:pt idx="664">
                  <c:v>9.4801654301189906</c:v>
                </c:pt>
                <c:pt idx="665">
                  <c:v>10.956711059006711</c:v>
                </c:pt>
                <c:pt idx="666">
                  <c:v>10.598648744001443</c:v>
                </c:pt>
                <c:pt idx="667">
                  <c:v>11.119131078184363</c:v>
                </c:pt>
                <c:pt idx="668">
                  <c:v>10.539586918845925</c:v>
                </c:pt>
                <c:pt idx="669">
                  <c:v>11.901700261494783</c:v>
                </c:pt>
                <c:pt idx="670">
                  <c:v>6.885136487348813</c:v>
                </c:pt>
                <c:pt idx="671">
                  <c:v>6.3535800609492323</c:v>
                </c:pt>
                <c:pt idx="672">
                  <c:v>6.3868023375992058</c:v>
                </c:pt>
                <c:pt idx="673">
                  <c:v>6.947889676576545</c:v>
                </c:pt>
                <c:pt idx="674">
                  <c:v>5.6743690716608839</c:v>
                </c:pt>
                <c:pt idx="675">
                  <c:v>4.1535270739065329</c:v>
                </c:pt>
                <c:pt idx="676">
                  <c:v>3.7511683900346218</c:v>
                </c:pt>
                <c:pt idx="677">
                  <c:v>5.2424794752112254</c:v>
                </c:pt>
                <c:pt idx="678">
                  <c:v>5.2461708392834403</c:v>
                </c:pt>
                <c:pt idx="679">
                  <c:v>5.1132817326835447</c:v>
                </c:pt>
                <c:pt idx="680">
                  <c:v>4.9360962572170193</c:v>
                </c:pt>
                <c:pt idx="681">
                  <c:v>5.2461708392834403</c:v>
                </c:pt>
                <c:pt idx="682">
                  <c:v>4.3787002823119074</c:v>
                </c:pt>
                <c:pt idx="683">
                  <c:v>3.4743160846181738</c:v>
                </c:pt>
                <c:pt idx="684">
                  <c:v>3.7511683900346218</c:v>
                </c:pt>
                <c:pt idx="685">
                  <c:v>5.2055658344890352</c:v>
                </c:pt>
                <c:pt idx="686">
                  <c:v>8.2509411940699628</c:v>
                </c:pt>
                <c:pt idx="687">
                  <c:v>6.8740623951321549</c:v>
                </c:pt>
                <c:pt idx="688">
                  <c:v>11.765119790822705</c:v>
                </c:pt>
                <c:pt idx="689">
                  <c:v>11.754045698606047</c:v>
                </c:pt>
                <c:pt idx="690">
                  <c:v>10.849661500912347</c:v>
                </c:pt>
                <c:pt idx="691">
                  <c:v>12.62520761964973</c:v>
                </c:pt>
                <c:pt idx="692">
                  <c:v>11.019464248234442</c:v>
                </c:pt>
                <c:pt idx="693">
                  <c:v>13.821209579048785</c:v>
                </c:pt>
                <c:pt idx="694">
                  <c:v>11.29631655365089</c:v>
                </c:pt>
                <c:pt idx="695">
                  <c:v>16.386707609241238</c:v>
                </c:pt>
                <c:pt idx="696">
                  <c:v>17.172968156623952</c:v>
                </c:pt>
                <c:pt idx="697">
                  <c:v>18.985427916083669</c:v>
                </c:pt>
                <c:pt idx="698">
                  <c:v>18.387426936384141</c:v>
                </c:pt>
                <c:pt idx="699">
                  <c:v>16.88873312306314</c:v>
                </c:pt>
                <c:pt idx="700">
                  <c:v>15.607829790003004</c:v>
                </c:pt>
                <c:pt idx="701">
                  <c:v>15.131643824686714</c:v>
                </c:pt>
                <c:pt idx="702">
                  <c:v>15.574607513353028</c:v>
                </c:pt>
                <c:pt idx="703">
                  <c:v>9.1627081199081282</c:v>
                </c:pt>
                <c:pt idx="704">
                  <c:v>15.32359475644208</c:v>
                </c:pt>
                <c:pt idx="705">
                  <c:v>16.586041269141081</c:v>
                </c:pt>
                <c:pt idx="706">
                  <c:v>17.339079539873818</c:v>
                </c:pt>
                <c:pt idx="707">
                  <c:v>15.478632047475291</c:v>
                </c:pt>
                <c:pt idx="708">
                  <c:v>12.87622037656068</c:v>
                </c:pt>
                <c:pt idx="709">
                  <c:v>13.230591327493734</c:v>
                </c:pt>
                <c:pt idx="710">
                  <c:v>17.914932335140033</c:v>
                </c:pt>
                <c:pt idx="711">
                  <c:v>16.23536168228032</c:v>
                </c:pt>
                <c:pt idx="712">
                  <c:v>14.699754228237055</c:v>
                </c:pt>
                <c:pt idx="713">
                  <c:v>20.882789049204352</c:v>
                </c:pt>
                <c:pt idx="714">
                  <c:v>14.016851874876444</c:v>
                </c:pt>
                <c:pt idx="715">
                  <c:v>10.236895064923946</c:v>
                </c:pt>
                <c:pt idx="716">
                  <c:v>12.950047658005102</c:v>
                </c:pt>
                <c:pt idx="717">
                  <c:v>3.6699583804458005</c:v>
                </c:pt>
                <c:pt idx="718">
                  <c:v>1.6544735970140596</c:v>
                </c:pt>
                <c:pt idx="719">
                  <c:v>1.4809794856197485</c:v>
                </c:pt>
                <c:pt idx="720">
                  <c:v>1.0675467095311932</c:v>
                </c:pt>
                <c:pt idx="721">
                  <c:v>1.1856703598422114</c:v>
                </c:pt>
                <c:pt idx="722">
                  <c:v>1.5511154029919225</c:v>
                </c:pt>
                <c:pt idx="723">
                  <c:v>1.4108435682475853</c:v>
                </c:pt>
                <c:pt idx="724">
                  <c:v>1.5068190341252801</c:v>
                </c:pt>
                <c:pt idx="725">
                  <c:v>1.5658808592807962</c:v>
                </c:pt>
                <c:pt idx="726">
                  <c:v>1.9682395431526967</c:v>
                </c:pt>
                <c:pt idx="727">
                  <c:v>1.8501158928416863</c:v>
                </c:pt>
                <c:pt idx="728">
                  <c:v>1.872264077274991</c:v>
                </c:pt>
                <c:pt idx="729">
                  <c:v>2.2081782078469554</c:v>
                </c:pt>
                <c:pt idx="730">
                  <c:v>2.3669068629523817</c:v>
                </c:pt>
                <c:pt idx="731">
                  <c:v>2.6216109839355139</c:v>
                </c:pt>
                <c:pt idx="732">
                  <c:v>2.9833646630130093</c:v>
                </c:pt>
                <c:pt idx="733">
                  <c:v>3.1236364977573468</c:v>
                </c:pt>
                <c:pt idx="734">
                  <c:v>3.4410938079681999</c:v>
                </c:pt>
                <c:pt idx="735">
                  <c:v>3.6588842882291428</c:v>
                </c:pt>
                <c:pt idx="736">
                  <c:v>4.4820584763340445</c:v>
                </c:pt>
                <c:pt idx="737">
                  <c:v>4.8881085242781719</c:v>
                </c:pt>
                <c:pt idx="738">
                  <c:v>3.9320452295733639</c:v>
                </c:pt>
                <c:pt idx="739">
                  <c:v>3.238068783996142</c:v>
                </c:pt>
                <c:pt idx="740">
                  <c:v>2.9427596582185935</c:v>
                </c:pt>
                <c:pt idx="741">
                  <c:v>3.1937724151295104</c:v>
                </c:pt>
                <c:pt idx="742">
                  <c:v>4.3491693697341489</c:v>
                </c:pt>
                <c:pt idx="743">
                  <c:v>4.164601166123191</c:v>
                </c:pt>
                <c:pt idx="744">
                  <c:v>4.2162802631342542</c:v>
                </c:pt>
                <c:pt idx="745">
                  <c:v>5.8035668141885521</c:v>
                </c:pt>
                <c:pt idx="746">
                  <c:v>6.9441983125043176</c:v>
                </c:pt>
                <c:pt idx="747">
                  <c:v>6.7559387448211439</c:v>
                </c:pt>
                <c:pt idx="748">
                  <c:v>7.2468901664263079</c:v>
                </c:pt>
                <c:pt idx="749">
                  <c:v>7.0660133268875658</c:v>
                </c:pt>
                <c:pt idx="750">
                  <c:v>4.3787002823119074</c:v>
                </c:pt>
                <c:pt idx="751">
                  <c:v>4.5042066607673599</c:v>
                </c:pt>
                <c:pt idx="752">
                  <c:v>5.1575781015501772</c:v>
                </c:pt>
                <c:pt idx="753">
                  <c:v>4.2679593601453281</c:v>
                </c:pt>
                <c:pt idx="754">
                  <c:v>4.2421198116397854</c:v>
                </c:pt>
                <c:pt idx="755">
                  <c:v>4.810589878761566</c:v>
                </c:pt>
                <c:pt idx="756">
                  <c:v>3.8914402247789592</c:v>
                </c:pt>
                <c:pt idx="757">
                  <c:v>4.4525275637562975</c:v>
                </c:pt>
                <c:pt idx="758">
                  <c:v>3.5407606379181211</c:v>
                </c:pt>
                <c:pt idx="759">
                  <c:v>3.4484765361126426</c:v>
                </c:pt>
                <c:pt idx="760">
                  <c:v>2.8024878234742672</c:v>
                </c:pt>
                <c:pt idx="761">
                  <c:v>3.1420933181184365</c:v>
                </c:pt>
                <c:pt idx="762">
                  <c:v>3.5407606379181211</c:v>
                </c:pt>
                <c:pt idx="763">
                  <c:v>2.8172532797631407</c:v>
                </c:pt>
                <c:pt idx="764">
                  <c:v>3.9394279577178062</c:v>
                </c:pt>
                <c:pt idx="765">
                  <c:v>5.1391212811890883</c:v>
                </c:pt>
                <c:pt idx="766">
                  <c:v>7.608643845503793</c:v>
                </c:pt>
                <c:pt idx="767">
                  <c:v>7.9371752479313153</c:v>
                </c:pt>
                <c:pt idx="768">
                  <c:v>8.2583239222143945</c:v>
                </c:pt>
                <c:pt idx="769">
                  <c:v>9.9969564002296885</c:v>
                </c:pt>
                <c:pt idx="770">
                  <c:v>9.0999549306803971</c:v>
                </c:pt>
                <c:pt idx="771">
                  <c:v>10.222129608635074</c:v>
                </c:pt>
                <c:pt idx="772">
                  <c:v>9.8714500217742245</c:v>
                </c:pt>
                <c:pt idx="773">
                  <c:v>10.620796928434757</c:v>
                </c:pt>
                <c:pt idx="774">
                  <c:v>9.8972895702797672</c:v>
                </c:pt>
                <c:pt idx="775">
                  <c:v>10.247969157140604</c:v>
                </c:pt>
                <c:pt idx="776">
                  <c:v>9.5982890804300016</c:v>
                </c:pt>
                <c:pt idx="777">
                  <c:v>8.3764475725254162</c:v>
                </c:pt>
                <c:pt idx="778">
                  <c:v>8.3100030192254675</c:v>
                </c:pt>
                <c:pt idx="779">
                  <c:v>7.734150223959257</c:v>
                </c:pt>
                <c:pt idx="780">
                  <c:v>9.631511357079976</c:v>
                </c:pt>
                <c:pt idx="781">
                  <c:v>6.9294328562154446</c:v>
                </c:pt>
                <c:pt idx="782">
                  <c:v>7.0327910502375817</c:v>
                </c:pt>
                <c:pt idx="783">
                  <c:v>9.1405599354748119</c:v>
                </c:pt>
                <c:pt idx="784">
                  <c:v>7.0807787831764397</c:v>
                </c:pt>
                <c:pt idx="785">
                  <c:v>9.5318445271300565</c:v>
                </c:pt>
                <c:pt idx="786">
                  <c:v>7.4019274574595197</c:v>
                </c:pt>
                <c:pt idx="787">
                  <c:v>7.4942115592649978</c:v>
                </c:pt>
                <c:pt idx="788">
                  <c:v>7.4056188215317347</c:v>
                </c:pt>
                <c:pt idx="789">
                  <c:v>7.029099686165365</c:v>
                </c:pt>
                <c:pt idx="790">
                  <c:v>8.3284598395865572</c:v>
                </c:pt>
                <c:pt idx="791">
                  <c:v>7.3391742682317878</c:v>
                </c:pt>
                <c:pt idx="792">
                  <c:v>5.762961809394147</c:v>
                </c:pt>
                <c:pt idx="793">
                  <c:v>7.5864956610704883</c:v>
                </c:pt>
                <c:pt idx="794">
                  <c:v>5.4861095039776995</c:v>
                </c:pt>
                <c:pt idx="795">
                  <c:v>6.6193582741490227</c:v>
                </c:pt>
                <c:pt idx="796">
                  <c:v>6.9848033172987334</c:v>
                </c:pt>
                <c:pt idx="797">
                  <c:v>6.9257414921432288</c:v>
                </c:pt>
                <c:pt idx="798">
                  <c:v>7.4277670059650509</c:v>
                </c:pt>
                <c:pt idx="799">
                  <c:v>7.3760879089539868</c:v>
                </c:pt>
                <c:pt idx="800">
                  <c:v>7.5421992922038568</c:v>
                </c:pt>
                <c:pt idx="801">
                  <c:v>8.8489421737694798</c:v>
                </c:pt>
                <c:pt idx="802">
                  <c:v>7.3170260837984706</c:v>
                </c:pt>
                <c:pt idx="803">
                  <c:v>7.3650138167373189</c:v>
                </c:pt>
                <c:pt idx="804">
                  <c:v>7.1619887927652606</c:v>
                </c:pt>
                <c:pt idx="805">
                  <c:v>5.9253818285718003</c:v>
                </c:pt>
                <c:pt idx="806">
                  <c:v>4.3085643649397332</c:v>
                </c:pt>
                <c:pt idx="807">
                  <c:v>4.5485030296339914</c:v>
                </c:pt>
                <c:pt idx="808">
                  <c:v>4.4894412044784868</c:v>
                </c:pt>
                <c:pt idx="809">
                  <c:v>3.8508352199845426</c:v>
                </c:pt>
                <c:pt idx="810">
                  <c:v>3.8656006762734165</c:v>
                </c:pt>
                <c:pt idx="811">
                  <c:v>3.3488097061627209</c:v>
                </c:pt>
                <c:pt idx="812">
                  <c:v>3.2823651528627731</c:v>
                </c:pt>
                <c:pt idx="813">
                  <c:v>3.2602169684294573</c:v>
                </c:pt>
                <c:pt idx="814">
                  <c:v>2.9538337504352512</c:v>
                </c:pt>
                <c:pt idx="815">
                  <c:v>2.8320187360520146</c:v>
                </c:pt>
                <c:pt idx="816">
                  <c:v>2.4038205036745821</c:v>
                </c:pt>
                <c:pt idx="817">
                  <c:v>2.5846973432133247</c:v>
                </c:pt>
                <c:pt idx="818">
                  <c:v>2.9538337504352512</c:v>
                </c:pt>
                <c:pt idx="819">
                  <c:v>2.6326850761521716</c:v>
                </c:pt>
                <c:pt idx="820">
                  <c:v>2.7840310031131672</c:v>
                </c:pt>
                <c:pt idx="821">
                  <c:v>2.6400678042966144</c:v>
                </c:pt>
                <c:pt idx="822">
                  <c:v>2.7212778138854352</c:v>
                </c:pt>
                <c:pt idx="823">
                  <c:v>2.4776477851189611</c:v>
                </c:pt>
                <c:pt idx="824">
                  <c:v>2.4444255084689872</c:v>
                </c:pt>
                <c:pt idx="825">
                  <c:v>2.3705982270245975</c:v>
                </c:pt>
                <c:pt idx="826">
                  <c:v>2.0494495527415291</c:v>
                </c:pt>
                <c:pt idx="827">
                  <c:v>2.0125359120193282</c:v>
                </c:pt>
                <c:pt idx="828">
                  <c:v>2.2709313970746874</c:v>
                </c:pt>
                <c:pt idx="829">
                  <c:v>2.141733654547008</c:v>
                </c:pt>
                <c:pt idx="830">
                  <c:v>1.905486353924976</c:v>
                </c:pt>
                <c:pt idx="831">
                  <c:v>2.20448684377474</c:v>
                </c:pt>
                <c:pt idx="832">
                  <c:v>2.374289591096824</c:v>
                </c:pt>
                <c:pt idx="833">
                  <c:v>2.374289591096824</c:v>
                </c:pt>
                <c:pt idx="834">
                  <c:v>2.4739564210467453</c:v>
                </c:pt>
                <c:pt idx="835">
                  <c:v>2.6695987168743724</c:v>
                </c:pt>
                <c:pt idx="836">
                  <c:v>2.2155609359913977</c:v>
                </c:pt>
                <c:pt idx="837">
                  <c:v>3.6884152008069009</c:v>
                </c:pt>
                <c:pt idx="838">
                  <c:v>3.1642415025517519</c:v>
                </c:pt>
                <c:pt idx="839">
                  <c:v>3.3155874295127474</c:v>
                </c:pt>
                <c:pt idx="840">
                  <c:v>3.6108965552902843</c:v>
                </c:pt>
                <c:pt idx="841">
                  <c:v>2.6843641731632459</c:v>
                </c:pt>
                <c:pt idx="842">
                  <c:v>2.9427596582185935</c:v>
                </c:pt>
                <c:pt idx="843">
                  <c:v>1.9719309072249236</c:v>
                </c:pt>
                <c:pt idx="844">
                  <c:v>2.3632154988801664</c:v>
                </c:pt>
                <c:pt idx="845">
                  <c:v>3.17531559476841</c:v>
                </c:pt>
                <c:pt idx="846">
                  <c:v>3.8582179481289849</c:v>
                </c:pt>
                <c:pt idx="847">
                  <c:v>3.2712910606461154</c:v>
                </c:pt>
                <c:pt idx="848">
                  <c:v>1.8279677084083594</c:v>
                </c:pt>
                <c:pt idx="849">
                  <c:v>2.5071786976967192</c:v>
                </c:pt>
                <c:pt idx="850">
                  <c:v>2.2229436641358289</c:v>
                </c:pt>
                <c:pt idx="851">
                  <c:v>2.2303263922802712</c:v>
                </c:pt>
                <c:pt idx="852">
                  <c:v>2.049449552741518</c:v>
                </c:pt>
                <c:pt idx="853">
                  <c:v>1.8611899850583331</c:v>
                </c:pt>
                <c:pt idx="854">
                  <c:v>2.0715977371748449</c:v>
                </c:pt>
                <c:pt idx="855">
                  <c:v>2.3447586785190659</c:v>
                </c:pt>
                <c:pt idx="856">
                  <c:v>2.7471173623909668</c:v>
                </c:pt>
                <c:pt idx="857">
                  <c:v>3.6551929241569159</c:v>
                </c:pt>
                <c:pt idx="858">
                  <c:v>4.0206379673066381</c:v>
                </c:pt>
                <c:pt idx="859">
                  <c:v>3.7548597541068371</c:v>
                </c:pt>
                <c:pt idx="860">
                  <c:v>3.9172797732844904</c:v>
                </c:pt>
                <c:pt idx="861">
                  <c:v>5.0468371793835978</c:v>
                </c:pt>
                <c:pt idx="862">
                  <c:v>5.8552459111996269</c:v>
                </c:pt>
                <c:pt idx="863">
                  <c:v>4.8401207913393236</c:v>
                </c:pt>
                <c:pt idx="864">
                  <c:v>4.0760084283899172</c:v>
                </c:pt>
                <c:pt idx="865">
                  <c:v>3.8545265840567589</c:v>
                </c:pt>
                <c:pt idx="866">
                  <c:v>5.3901340380999931</c:v>
                </c:pt>
                <c:pt idx="867">
                  <c:v>3.9505020499344643</c:v>
                </c:pt>
                <c:pt idx="868">
                  <c:v>4.8991826164948291</c:v>
                </c:pt>
                <c:pt idx="869">
                  <c:v>4.1129220691121171</c:v>
                </c:pt>
                <c:pt idx="870">
                  <c:v>4.6592439518005708</c:v>
                </c:pt>
                <c:pt idx="871">
                  <c:v>4.1461443457620906</c:v>
                </c:pt>
                <c:pt idx="872">
                  <c:v>3.4706247205459584</c:v>
                </c:pt>
                <c:pt idx="873">
                  <c:v>4.4303793793229707</c:v>
                </c:pt>
                <c:pt idx="874">
                  <c:v>4.0538602439566116</c:v>
                </c:pt>
                <c:pt idx="875">
                  <c:v>3.1900810510572835</c:v>
                </c:pt>
                <c:pt idx="876">
                  <c:v>5.194491742272378</c:v>
                </c:pt>
                <c:pt idx="877">
                  <c:v>7.9519407042201991</c:v>
                </c:pt>
                <c:pt idx="878">
                  <c:v>6.6415064585823389</c:v>
                </c:pt>
                <c:pt idx="879">
                  <c:v>7.2764210790040549</c:v>
                </c:pt>
                <c:pt idx="880">
                  <c:v>5.6300727027942523</c:v>
                </c:pt>
                <c:pt idx="881">
                  <c:v>4.3417866415897182</c:v>
                </c:pt>
                <c:pt idx="882">
                  <c:v>5.224022654850125</c:v>
                </c:pt>
                <c:pt idx="883">
                  <c:v>4.6813921362338871</c:v>
                </c:pt>
                <c:pt idx="884">
                  <c:v>3.2565256043572419</c:v>
                </c:pt>
                <c:pt idx="885">
                  <c:v>3.3672665265238213</c:v>
                </c:pt>
                <c:pt idx="886">
                  <c:v>3.4263283516793264</c:v>
                </c:pt>
                <c:pt idx="887">
                  <c:v>3.6699583804458005</c:v>
                </c:pt>
                <c:pt idx="888">
                  <c:v>4.1055393409676748</c:v>
                </c:pt>
                <c:pt idx="889">
                  <c:v>6.5418396286324167</c:v>
                </c:pt>
                <c:pt idx="890">
                  <c:v>5.1649608296946194</c:v>
                </c:pt>
                <c:pt idx="891">
                  <c:v>6.3757282453825486</c:v>
                </c:pt>
                <c:pt idx="892">
                  <c:v>8.9855226444416019</c:v>
                </c:pt>
                <c:pt idx="893">
                  <c:v>7.9593234323646307</c:v>
                </c:pt>
                <c:pt idx="894">
                  <c:v>7.2136678897763336</c:v>
                </c:pt>
                <c:pt idx="895">
                  <c:v>4.7146144128838605</c:v>
                </c:pt>
                <c:pt idx="896">
                  <c:v>6.4901605316213429</c:v>
                </c:pt>
                <c:pt idx="897">
                  <c:v>8.1549657281922574</c:v>
                </c:pt>
                <c:pt idx="898">
                  <c:v>10.148302327190684</c:v>
                </c:pt>
                <c:pt idx="899">
                  <c:v>9.074115382174865</c:v>
                </c:pt>
                <c:pt idx="900">
                  <c:v>5.6669863435164407</c:v>
                </c:pt>
                <c:pt idx="901">
                  <c:v>3.9578847780789066</c:v>
                </c:pt>
                <c:pt idx="902">
                  <c:v>2.4038205036745821</c:v>
                </c:pt>
                <c:pt idx="903">
                  <c:v>4.0206379673066381</c:v>
                </c:pt>
                <c:pt idx="904">
                  <c:v>7.8264343257647351</c:v>
                </c:pt>
                <c:pt idx="905">
                  <c:v>7.2358160742096507</c:v>
                </c:pt>
                <c:pt idx="906">
                  <c:v>6.7928523855433331</c:v>
                </c:pt>
                <c:pt idx="907">
                  <c:v>7.1952110694152349</c:v>
                </c:pt>
                <c:pt idx="908">
                  <c:v>7.0733960550319974</c:v>
                </c:pt>
                <c:pt idx="909">
                  <c:v>6.8223832981210917</c:v>
                </c:pt>
                <c:pt idx="910">
                  <c:v>5.3421463051611466</c:v>
                </c:pt>
                <c:pt idx="911">
                  <c:v>4.744145325461619</c:v>
                </c:pt>
                <c:pt idx="912">
                  <c:v>4.2199716272064816</c:v>
                </c:pt>
                <c:pt idx="913">
                  <c:v>3.9209711373567173</c:v>
                </c:pt>
                <c:pt idx="914">
                  <c:v>3.8729834044178588</c:v>
                </c:pt>
                <c:pt idx="915">
                  <c:v>4.2864161805064285</c:v>
                </c:pt>
                <c:pt idx="916">
                  <c:v>4.1313788894732069</c:v>
                </c:pt>
                <c:pt idx="917">
                  <c:v>3.1937724151295104</c:v>
                </c:pt>
                <c:pt idx="918">
                  <c:v>4.2901075445786443</c:v>
                </c:pt>
                <c:pt idx="919">
                  <c:v>4.4303793793229813</c:v>
                </c:pt>
                <c:pt idx="920">
                  <c:v>3.8249956714790114</c:v>
                </c:pt>
                <c:pt idx="921">
                  <c:v>3.6994892930235586</c:v>
                </c:pt>
                <c:pt idx="922">
                  <c:v>3.7806993026123799</c:v>
                </c:pt>
                <c:pt idx="923">
                  <c:v>4.1498357098343064</c:v>
                </c:pt>
                <c:pt idx="924">
                  <c:v>3.5259951816292476</c:v>
                </c:pt>
                <c:pt idx="925">
                  <c:v>4.7072316847394289</c:v>
                </c:pt>
                <c:pt idx="926">
                  <c:v>5.607924518360937</c:v>
                </c:pt>
                <c:pt idx="927">
                  <c:v>5.1575781015501772</c:v>
                </c:pt>
                <c:pt idx="928">
                  <c:v>4.4045398308174386</c:v>
                </c:pt>
                <c:pt idx="929">
                  <c:v>7.5569647484927298</c:v>
                </c:pt>
                <c:pt idx="930">
                  <c:v>3.7179461133846474</c:v>
                </c:pt>
                <c:pt idx="931">
                  <c:v>4.3787002823119074</c:v>
                </c:pt>
                <c:pt idx="932">
                  <c:v>5.4861095039776995</c:v>
                </c:pt>
                <c:pt idx="933">
                  <c:v>8.0220766215923618</c:v>
                </c:pt>
                <c:pt idx="934">
                  <c:v>6.4938518956935702</c:v>
                </c:pt>
                <c:pt idx="935">
                  <c:v>4.3344039134452759</c:v>
                </c:pt>
                <c:pt idx="936">
                  <c:v>5.6965172560942001</c:v>
                </c:pt>
                <c:pt idx="937">
                  <c:v>5.7924927219719056</c:v>
                </c:pt>
                <c:pt idx="938">
                  <c:v>3.869292040345643</c:v>
                </c:pt>
                <c:pt idx="939">
                  <c:v>3.8139215792623533</c:v>
                </c:pt>
                <c:pt idx="940">
                  <c:v>3.9357365936455908</c:v>
                </c:pt>
                <c:pt idx="941">
                  <c:v>5.4455044991832837</c:v>
                </c:pt>
                <c:pt idx="942">
                  <c:v>4.3085643649397332</c:v>
                </c:pt>
                <c:pt idx="943">
                  <c:v>6.3277405124437003</c:v>
                </c:pt>
                <c:pt idx="944">
                  <c:v>4.8991826164948291</c:v>
                </c:pt>
                <c:pt idx="945">
                  <c:v>3.6994892930235586</c:v>
                </c:pt>
                <c:pt idx="946">
                  <c:v>4.515280752984018</c:v>
                </c:pt>
                <c:pt idx="947">
                  <c:v>3.5038469971959318</c:v>
                </c:pt>
                <c:pt idx="948">
                  <c:v>4.0760084283899172</c:v>
                </c:pt>
                <c:pt idx="949">
                  <c:v>4.4193052871063125</c:v>
                </c:pt>
                <c:pt idx="950">
                  <c:v>4.9213308009281453</c:v>
                </c:pt>
                <c:pt idx="951">
                  <c:v>6.0250486585217109</c:v>
                </c:pt>
                <c:pt idx="952">
                  <c:v>5.8183322704774367</c:v>
                </c:pt>
                <c:pt idx="953">
                  <c:v>5.2387881111390096</c:v>
                </c:pt>
                <c:pt idx="954">
                  <c:v>6.5160000801268856</c:v>
                </c:pt>
                <c:pt idx="955">
                  <c:v>6.7005682837378551</c:v>
                </c:pt>
                <c:pt idx="956">
                  <c:v>5.1981831063445938</c:v>
                </c:pt>
                <c:pt idx="957">
                  <c:v>4.3491693697341489</c:v>
                </c:pt>
                <c:pt idx="958">
                  <c:v>3.7327115696735325</c:v>
                </c:pt>
                <c:pt idx="959">
                  <c:v>3.51492108941259</c:v>
                </c:pt>
                <c:pt idx="960">
                  <c:v>3.544452001990348</c:v>
                </c:pt>
                <c:pt idx="961">
                  <c:v>2.4296600521801137</c:v>
                </c:pt>
                <c:pt idx="962">
                  <c:v>1.5769549514974541</c:v>
                </c:pt>
                <c:pt idx="963">
                  <c:v>1.9017949898527495</c:v>
                </c:pt>
                <c:pt idx="964">
                  <c:v>1.1376826269033598</c:v>
                </c:pt>
                <c:pt idx="965">
                  <c:v>0.85344759334247378</c:v>
                </c:pt>
                <c:pt idx="966">
                  <c:v>1.1192258065422627</c:v>
                </c:pt>
                <c:pt idx="967">
                  <c:v>1.0712380736034119</c:v>
                </c:pt>
                <c:pt idx="968">
                  <c:v>1.1487567191200174</c:v>
                </c:pt>
                <c:pt idx="969">
                  <c:v>1.1192258065422638</c:v>
                </c:pt>
                <c:pt idx="970">
                  <c:v>1.089694893964509</c:v>
                </c:pt>
                <c:pt idx="971">
                  <c:v>1.5068190341252801</c:v>
                </c:pt>
                <c:pt idx="972">
                  <c:v>3.1273278618295626</c:v>
                </c:pt>
                <c:pt idx="973">
                  <c:v>21.148567262404146</c:v>
                </c:pt>
                <c:pt idx="974">
                  <c:v>19.291811134077907</c:v>
                </c:pt>
                <c:pt idx="975">
                  <c:v>14.17927189405413</c:v>
                </c:pt>
                <c:pt idx="976">
                  <c:v>10.513747370340393</c:v>
                </c:pt>
                <c:pt idx="977">
                  <c:v>6.7227164681711704</c:v>
                </c:pt>
                <c:pt idx="978">
                  <c:v>3.8877488607067323</c:v>
                </c:pt>
                <c:pt idx="979">
                  <c:v>3.729020205601306</c:v>
                </c:pt>
                <c:pt idx="980">
                  <c:v>2.5034873336245034</c:v>
                </c:pt>
                <c:pt idx="981">
                  <c:v>2.466573692902303</c:v>
                </c:pt>
                <c:pt idx="982">
                  <c:v>2.326301858157966</c:v>
                </c:pt>
                <c:pt idx="983">
                  <c:v>2.8283273719797988</c:v>
                </c:pt>
                <c:pt idx="984">
                  <c:v>4.7146144128838605</c:v>
                </c:pt>
                <c:pt idx="985">
                  <c:v>4.4082311948896544</c:v>
                </c:pt>
                <c:pt idx="986">
                  <c:v>3.5333779097736793</c:v>
                </c:pt>
                <c:pt idx="987">
                  <c:v>4.0944652487510176</c:v>
                </c:pt>
                <c:pt idx="988">
                  <c:v>4.2310457194231272</c:v>
                </c:pt>
                <c:pt idx="989">
                  <c:v>4.5226634811284603</c:v>
                </c:pt>
                <c:pt idx="990">
                  <c:v>2.6216109839355139</c:v>
                </c:pt>
                <c:pt idx="991">
                  <c:v>2.3669068629523817</c:v>
                </c:pt>
                <c:pt idx="992">
                  <c:v>2.7471173623909779</c:v>
                </c:pt>
                <c:pt idx="993">
                  <c:v>2.437042780324556</c:v>
                </c:pt>
                <c:pt idx="994">
                  <c:v>1.905486353924976</c:v>
                </c:pt>
                <c:pt idx="995">
                  <c:v>2.2118695719191708</c:v>
                </c:pt>
                <c:pt idx="996">
                  <c:v>2.5477837024911349</c:v>
                </c:pt>
                <c:pt idx="997">
                  <c:v>2.9353769300741623</c:v>
                </c:pt>
                <c:pt idx="998">
                  <c:v>2.2856968533635609</c:v>
                </c:pt>
                <c:pt idx="999">
                  <c:v>1.6360167766529592</c:v>
                </c:pt>
                <c:pt idx="1000">
                  <c:v>2.1343509264025657</c:v>
                </c:pt>
                <c:pt idx="1001">
                  <c:v>6.2945182357937277</c:v>
                </c:pt>
                <c:pt idx="1002">
                  <c:v>5.3384549410889193</c:v>
                </c:pt>
                <c:pt idx="1003">
                  <c:v>5.7998754501163363</c:v>
                </c:pt>
                <c:pt idx="1004">
                  <c:v>5.0579112716002559</c:v>
                </c:pt>
                <c:pt idx="1005">
                  <c:v>2.2450918485691447</c:v>
                </c:pt>
                <c:pt idx="1006">
                  <c:v>1.628634048508528</c:v>
                </c:pt>
                <c:pt idx="1007">
                  <c:v>1.3037940101532284</c:v>
                </c:pt>
                <c:pt idx="1008">
                  <c:v>1.7430663347473228</c:v>
                </c:pt>
                <c:pt idx="1009">
                  <c:v>2.4075118677467979</c:v>
                </c:pt>
                <c:pt idx="1010">
                  <c:v>3.1273278618295626</c:v>
                </c:pt>
                <c:pt idx="1011">
                  <c:v>1.5142017622697221</c:v>
                </c:pt>
                <c:pt idx="1012">
                  <c:v>1.4477572089697746</c:v>
                </c:pt>
                <c:pt idx="1013">
                  <c:v>2.1380422904747922</c:v>
                </c:pt>
                <c:pt idx="1014">
                  <c:v>1.5621894952085804</c:v>
                </c:pt>
                <c:pt idx="1015">
                  <c:v>1.7393749706750963</c:v>
                </c:pt>
                <c:pt idx="1016">
                  <c:v>2.1195854701136918</c:v>
                </c:pt>
                <c:pt idx="1017">
                  <c:v>2.2561659407858023</c:v>
                </c:pt>
                <c:pt idx="1018">
                  <c:v>2.4222773240356714</c:v>
                </c:pt>
                <c:pt idx="1019">
                  <c:v>1.6138685922196436</c:v>
                </c:pt>
                <c:pt idx="1020">
                  <c:v>1.8611899850583442</c:v>
                </c:pt>
                <c:pt idx="1021">
                  <c:v>2.2598573048580297</c:v>
                </c:pt>
                <c:pt idx="1022">
                  <c:v>2.1675732030525392</c:v>
                </c:pt>
                <c:pt idx="1023">
                  <c:v>3.437402443895984</c:v>
                </c:pt>
                <c:pt idx="1024">
                  <c:v>3.9209711373567173</c:v>
                </c:pt>
                <c:pt idx="1025">
                  <c:v>4.33071254937306</c:v>
                </c:pt>
                <c:pt idx="1026">
                  <c:v>4.9988494464447504</c:v>
                </c:pt>
                <c:pt idx="1027">
                  <c:v>3.4632419924015156</c:v>
                </c:pt>
                <c:pt idx="1028">
                  <c:v>4.0464775158121702</c:v>
                </c:pt>
                <c:pt idx="1029">
                  <c:v>5.0099235386614094</c:v>
                </c:pt>
                <c:pt idx="1030">
                  <c:v>4.4414534715396279</c:v>
                </c:pt>
                <c:pt idx="1031">
                  <c:v>4.1535270739065222</c:v>
                </c:pt>
                <c:pt idx="1032">
                  <c:v>4.4525275637562975</c:v>
                </c:pt>
                <c:pt idx="1033">
                  <c:v>4.4525275637562975</c:v>
                </c:pt>
                <c:pt idx="1034">
                  <c:v>4.1424529816898756</c:v>
                </c:pt>
                <c:pt idx="1035">
                  <c:v>4.6813921362338871</c:v>
                </c:pt>
                <c:pt idx="1036">
                  <c:v>4.8216639709782241</c:v>
                </c:pt>
                <c:pt idx="1037">
                  <c:v>5.0394544512391555</c:v>
                </c:pt>
                <c:pt idx="1038">
                  <c:v>3.9098970451400588</c:v>
                </c:pt>
                <c:pt idx="1039">
                  <c:v>3.8102302151901379</c:v>
                </c:pt>
                <c:pt idx="1040">
                  <c:v>5.3458376692333625</c:v>
                </c:pt>
                <c:pt idx="1041">
                  <c:v>5.829406362694094</c:v>
                </c:pt>
                <c:pt idx="1042">
                  <c:v>6.719025104098943</c:v>
                </c:pt>
                <c:pt idx="1043">
                  <c:v>6.8740623951321549</c:v>
                </c:pt>
                <c:pt idx="1044">
                  <c:v>7.3687051808095454</c:v>
                </c:pt>
                <c:pt idx="1045">
                  <c:v>4.8032071506171237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DE-4D90-B381-00083533B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503951"/>
        <c:axId val="1923504431"/>
      </c:scatterChart>
      <c:valAx>
        <c:axId val="192350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3504431"/>
        <c:crosses val="autoZero"/>
        <c:crossBetween val="midCat"/>
      </c:valAx>
      <c:valAx>
        <c:axId val="192350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350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PM1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'nebuleair_export (1)'!$A$1:$A$1046</c:f>
              <c:strCache>
                <c:ptCount val="1046"/>
                <c:pt idx="0">
                  <c:v>time</c:v>
                </c:pt>
                <c:pt idx="1">
                  <c:v>2026-01-26T16:00:00.000Z</c:v>
                </c:pt>
                <c:pt idx="2">
                  <c:v>2026-01-26T16:15:00.000Z</c:v>
                </c:pt>
                <c:pt idx="3">
                  <c:v>2026-01-26T16:30:00.000Z</c:v>
                </c:pt>
                <c:pt idx="4">
                  <c:v>2026-01-26T16:45:00.000Z</c:v>
                </c:pt>
                <c:pt idx="5">
                  <c:v>2026-01-26T17:00:00.000Z</c:v>
                </c:pt>
                <c:pt idx="6">
                  <c:v>2026-01-26T17:15:00.000Z</c:v>
                </c:pt>
                <c:pt idx="7">
                  <c:v>2026-01-26T17:30:00.000Z</c:v>
                </c:pt>
                <c:pt idx="8">
                  <c:v>2026-01-26T17:45:00.000Z</c:v>
                </c:pt>
                <c:pt idx="9">
                  <c:v>2026-01-26T18:00:00.000Z</c:v>
                </c:pt>
                <c:pt idx="10">
                  <c:v>2026-01-26T18:15:00.000Z</c:v>
                </c:pt>
                <c:pt idx="11">
                  <c:v>2026-01-26T18:30:00.000Z</c:v>
                </c:pt>
                <c:pt idx="12">
                  <c:v>2026-01-26T18:45:00.000Z</c:v>
                </c:pt>
                <c:pt idx="13">
                  <c:v>2026-01-26T19:00:00.000Z</c:v>
                </c:pt>
                <c:pt idx="14">
                  <c:v>2026-01-26T19:15:00.000Z</c:v>
                </c:pt>
                <c:pt idx="15">
                  <c:v>2026-01-26T19:30:00.000Z</c:v>
                </c:pt>
                <c:pt idx="16">
                  <c:v>2026-01-26T19:45:00.000Z</c:v>
                </c:pt>
                <c:pt idx="17">
                  <c:v>2026-01-26T20:00:00.000Z</c:v>
                </c:pt>
                <c:pt idx="18">
                  <c:v>2026-01-26T20:15:00.000Z</c:v>
                </c:pt>
                <c:pt idx="19">
                  <c:v>2026-01-26T20:30:00.000Z</c:v>
                </c:pt>
                <c:pt idx="20">
                  <c:v>2026-01-26T20:45:00.000Z</c:v>
                </c:pt>
                <c:pt idx="21">
                  <c:v>2026-01-26T21:00:00.000Z</c:v>
                </c:pt>
                <c:pt idx="22">
                  <c:v>2026-01-26T21:15:00.000Z</c:v>
                </c:pt>
                <c:pt idx="23">
                  <c:v>2026-01-26T21:30:00.000Z</c:v>
                </c:pt>
                <c:pt idx="24">
                  <c:v>2026-01-26T21:45:00.000Z</c:v>
                </c:pt>
                <c:pt idx="25">
                  <c:v>2026-01-26T22:00:00.000Z</c:v>
                </c:pt>
                <c:pt idx="26">
                  <c:v>2026-01-26T22:15:00.000Z</c:v>
                </c:pt>
                <c:pt idx="27">
                  <c:v>2026-01-26T22:30:00.000Z</c:v>
                </c:pt>
                <c:pt idx="28">
                  <c:v>2026-01-26T22:45:00.000Z</c:v>
                </c:pt>
                <c:pt idx="29">
                  <c:v>2026-01-26T23:00:00.000Z</c:v>
                </c:pt>
                <c:pt idx="30">
                  <c:v>2026-01-26T23:15:00.000Z</c:v>
                </c:pt>
                <c:pt idx="31">
                  <c:v>2026-01-26T23:30:00.000Z</c:v>
                </c:pt>
                <c:pt idx="32">
                  <c:v>2026-01-26T23:45:00.000Z</c:v>
                </c:pt>
                <c:pt idx="33">
                  <c:v>2026-01-27T00:00:00.000Z</c:v>
                </c:pt>
                <c:pt idx="34">
                  <c:v>2026-01-27T00:15:00.000Z</c:v>
                </c:pt>
                <c:pt idx="35">
                  <c:v>2026-01-27T00:30:00.000Z</c:v>
                </c:pt>
                <c:pt idx="36">
                  <c:v>2026-01-27T00:45:00.000Z</c:v>
                </c:pt>
                <c:pt idx="37">
                  <c:v>2026-01-27T01:00:00.000Z</c:v>
                </c:pt>
                <c:pt idx="38">
                  <c:v>2026-01-27T01:15:00.000Z</c:v>
                </c:pt>
                <c:pt idx="39">
                  <c:v>2026-01-27T01:30:00.000Z</c:v>
                </c:pt>
                <c:pt idx="40">
                  <c:v>2026-01-27T01:45:00.000Z</c:v>
                </c:pt>
                <c:pt idx="41">
                  <c:v>2026-01-27T02:00:00.000Z</c:v>
                </c:pt>
                <c:pt idx="42">
                  <c:v>2026-01-27T02:15:00.000Z</c:v>
                </c:pt>
                <c:pt idx="43">
                  <c:v>2026-01-27T02:30:00.000Z</c:v>
                </c:pt>
                <c:pt idx="44">
                  <c:v>2026-01-27T02:45:00.000Z</c:v>
                </c:pt>
                <c:pt idx="45">
                  <c:v>2026-01-27T03:00:00.000Z</c:v>
                </c:pt>
                <c:pt idx="46">
                  <c:v>2026-01-27T03:15:00.000Z</c:v>
                </c:pt>
                <c:pt idx="47">
                  <c:v>2026-01-27T03:30:00.000Z</c:v>
                </c:pt>
                <c:pt idx="48">
                  <c:v>2026-01-27T03:45:00.000Z</c:v>
                </c:pt>
                <c:pt idx="49">
                  <c:v>2026-01-27T04:00:00.000Z</c:v>
                </c:pt>
                <c:pt idx="50">
                  <c:v>2026-01-27T04:15:00.000Z</c:v>
                </c:pt>
                <c:pt idx="51">
                  <c:v>2026-01-27T04:30:00.000Z</c:v>
                </c:pt>
                <c:pt idx="52">
                  <c:v>2026-01-27T04:45:00.000Z</c:v>
                </c:pt>
                <c:pt idx="53">
                  <c:v>2026-01-27T05:00:00.000Z</c:v>
                </c:pt>
                <c:pt idx="54">
                  <c:v>2026-01-27T05:15:00.000Z</c:v>
                </c:pt>
                <c:pt idx="55">
                  <c:v>2026-01-27T05:30:00.000Z</c:v>
                </c:pt>
                <c:pt idx="56">
                  <c:v>2026-01-27T05:45:00.000Z</c:v>
                </c:pt>
                <c:pt idx="57">
                  <c:v>2026-01-27T06:00:00.000Z</c:v>
                </c:pt>
                <c:pt idx="58">
                  <c:v>2026-01-27T06:15:00.000Z</c:v>
                </c:pt>
                <c:pt idx="59">
                  <c:v>2026-01-27T06:30:00.000Z</c:v>
                </c:pt>
                <c:pt idx="60">
                  <c:v>2026-01-27T06:45:00.000Z</c:v>
                </c:pt>
                <c:pt idx="61">
                  <c:v>2026-01-27T07:00:00.000Z</c:v>
                </c:pt>
                <c:pt idx="62">
                  <c:v>2026-01-27T07:15:00.000Z</c:v>
                </c:pt>
                <c:pt idx="63">
                  <c:v>2026-01-27T07:30:00.000Z</c:v>
                </c:pt>
                <c:pt idx="64">
                  <c:v>2026-01-27T07:45:00.000Z</c:v>
                </c:pt>
                <c:pt idx="65">
                  <c:v>2026-01-27T08:00:00.000Z</c:v>
                </c:pt>
                <c:pt idx="66">
                  <c:v>2026-01-27T08:15:00.000Z</c:v>
                </c:pt>
                <c:pt idx="67">
                  <c:v>2026-01-27T08:30:00.000Z</c:v>
                </c:pt>
                <c:pt idx="68">
                  <c:v>2026-01-27T08:45:00.000Z</c:v>
                </c:pt>
                <c:pt idx="69">
                  <c:v>2026-01-27T09:00:00.000Z</c:v>
                </c:pt>
                <c:pt idx="70">
                  <c:v>2026-01-27T09:15:00.000Z</c:v>
                </c:pt>
                <c:pt idx="71">
                  <c:v>2026-01-27T09:30:00.000Z</c:v>
                </c:pt>
                <c:pt idx="72">
                  <c:v>2026-01-27T09:45:00.000Z</c:v>
                </c:pt>
                <c:pt idx="73">
                  <c:v>2026-01-27T10:00:00.000Z</c:v>
                </c:pt>
                <c:pt idx="74">
                  <c:v>2026-01-27T10:15:00.000Z</c:v>
                </c:pt>
                <c:pt idx="75">
                  <c:v>2026-01-27T10:30:00.000Z</c:v>
                </c:pt>
                <c:pt idx="76">
                  <c:v>2026-01-27T10:45:00.000Z</c:v>
                </c:pt>
                <c:pt idx="77">
                  <c:v>2026-01-27T11:00:00.000Z</c:v>
                </c:pt>
                <c:pt idx="78">
                  <c:v>2026-01-27T11:15:00.000Z</c:v>
                </c:pt>
                <c:pt idx="79">
                  <c:v>2026-01-27T11:30:00.000Z</c:v>
                </c:pt>
                <c:pt idx="80">
                  <c:v>2026-01-27T11:45:00.000Z</c:v>
                </c:pt>
                <c:pt idx="81">
                  <c:v>2026-01-27T12:00:00.000Z</c:v>
                </c:pt>
                <c:pt idx="82">
                  <c:v>2026-01-27T12:15:00.000Z</c:v>
                </c:pt>
                <c:pt idx="83">
                  <c:v>2026-01-27T12:30:00.000Z</c:v>
                </c:pt>
                <c:pt idx="84">
                  <c:v>2026-01-27T12:45:00.000Z</c:v>
                </c:pt>
                <c:pt idx="85">
                  <c:v>2026-01-27T13:00:00.000Z</c:v>
                </c:pt>
                <c:pt idx="86">
                  <c:v>2026-01-27T13:15:00.000Z</c:v>
                </c:pt>
                <c:pt idx="87">
                  <c:v>2026-01-27T13:30:00.000Z</c:v>
                </c:pt>
                <c:pt idx="88">
                  <c:v>2026-01-27T13:45:00.000Z</c:v>
                </c:pt>
                <c:pt idx="89">
                  <c:v>2026-01-27T14:00:00.000Z</c:v>
                </c:pt>
                <c:pt idx="90">
                  <c:v>2026-01-27T14:15:00.000Z</c:v>
                </c:pt>
                <c:pt idx="91">
                  <c:v>2026-01-27T14:30:00.000Z</c:v>
                </c:pt>
                <c:pt idx="92">
                  <c:v>2026-01-27T14:45:00.000Z</c:v>
                </c:pt>
                <c:pt idx="93">
                  <c:v>2026-01-27T15:00:00.000Z</c:v>
                </c:pt>
                <c:pt idx="94">
                  <c:v>2026-01-27T15:15:00.000Z</c:v>
                </c:pt>
                <c:pt idx="95">
                  <c:v>2026-01-27T15:30:00.000Z</c:v>
                </c:pt>
                <c:pt idx="96">
                  <c:v>2026-01-27T15:45:00.000Z</c:v>
                </c:pt>
                <c:pt idx="97">
                  <c:v>2026-01-27T16:00:00.000Z</c:v>
                </c:pt>
                <c:pt idx="98">
                  <c:v>2026-01-27T16:15:00.000Z</c:v>
                </c:pt>
                <c:pt idx="99">
                  <c:v>2026-01-27T16:30:00.000Z</c:v>
                </c:pt>
                <c:pt idx="100">
                  <c:v>2026-01-27T16:45:00.000Z</c:v>
                </c:pt>
                <c:pt idx="101">
                  <c:v>2026-01-27T17:00:00.000Z</c:v>
                </c:pt>
                <c:pt idx="102">
                  <c:v>2026-01-27T17:15:00.000Z</c:v>
                </c:pt>
                <c:pt idx="103">
                  <c:v>2026-01-27T17:30:00.000Z</c:v>
                </c:pt>
                <c:pt idx="104">
                  <c:v>2026-01-27T17:45:00.000Z</c:v>
                </c:pt>
                <c:pt idx="105">
                  <c:v>2026-01-27T18:00:00.000Z</c:v>
                </c:pt>
                <c:pt idx="106">
                  <c:v>2026-01-27T18:15:00.000Z</c:v>
                </c:pt>
                <c:pt idx="107">
                  <c:v>2026-01-27T18:30:00.000Z</c:v>
                </c:pt>
                <c:pt idx="108">
                  <c:v>2026-01-27T18:45:00.000Z</c:v>
                </c:pt>
                <c:pt idx="109">
                  <c:v>2026-01-27T19:00:00.000Z</c:v>
                </c:pt>
                <c:pt idx="110">
                  <c:v>2026-01-27T19:15:00.000Z</c:v>
                </c:pt>
                <c:pt idx="111">
                  <c:v>2026-01-27T19:30:00.000Z</c:v>
                </c:pt>
                <c:pt idx="112">
                  <c:v>2026-01-27T19:45:00.000Z</c:v>
                </c:pt>
                <c:pt idx="113">
                  <c:v>2026-01-27T20:00:00.000Z</c:v>
                </c:pt>
                <c:pt idx="114">
                  <c:v>2026-01-27T20:15:00.000Z</c:v>
                </c:pt>
                <c:pt idx="115">
                  <c:v>2026-01-27T20:30:00.000Z</c:v>
                </c:pt>
                <c:pt idx="116">
                  <c:v>2026-01-27T20:45:00.000Z</c:v>
                </c:pt>
                <c:pt idx="117">
                  <c:v>2026-01-27T21:00:00.000Z</c:v>
                </c:pt>
                <c:pt idx="118">
                  <c:v>2026-01-27T21:15:00.000Z</c:v>
                </c:pt>
                <c:pt idx="119">
                  <c:v>2026-01-27T21:30:00.000Z</c:v>
                </c:pt>
                <c:pt idx="120">
                  <c:v>2026-01-27T21:45:00.000Z</c:v>
                </c:pt>
                <c:pt idx="121">
                  <c:v>2026-01-27T22:00:00.000Z</c:v>
                </c:pt>
                <c:pt idx="122">
                  <c:v>2026-01-27T22:15:00.000Z</c:v>
                </c:pt>
                <c:pt idx="123">
                  <c:v>2026-01-27T22:30:00.000Z</c:v>
                </c:pt>
                <c:pt idx="124">
                  <c:v>2026-01-27T22:45:00.000Z</c:v>
                </c:pt>
                <c:pt idx="125">
                  <c:v>2026-01-27T23:00:00.000Z</c:v>
                </c:pt>
                <c:pt idx="126">
                  <c:v>2026-01-27T23:15:00.000Z</c:v>
                </c:pt>
                <c:pt idx="127">
                  <c:v>2026-01-27T23:30:00.000Z</c:v>
                </c:pt>
                <c:pt idx="128">
                  <c:v>2026-01-27T23:45:00.000Z</c:v>
                </c:pt>
                <c:pt idx="129">
                  <c:v>2026-01-28T00:00:00.000Z</c:v>
                </c:pt>
                <c:pt idx="130">
                  <c:v>2026-01-28T00:15:00.000Z</c:v>
                </c:pt>
                <c:pt idx="131">
                  <c:v>2026-01-28T00:30:00.000Z</c:v>
                </c:pt>
                <c:pt idx="132">
                  <c:v>2026-01-28T00:45:00.000Z</c:v>
                </c:pt>
                <c:pt idx="133">
                  <c:v>2026-01-28T01:00:00.000Z</c:v>
                </c:pt>
                <c:pt idx="134">
                  <c:v>2026-01-28T01:15:00.000Z</c:v>
                </c:pt>
                <c:pt idx="135">
                  <c:v>2026-01-28T01:30:00.000Z</c:v>
                </c:pt>
                <c:pt idx="136">
                  <c:v>2026-01-28T01:45:00.000Z</c:v>
                </c:pt>
                <c:pt idx="137">
                  <c:v>2026-01-28T02:00:00.000Z</c:v>
                </c:pt>
                <c:pt idx="138">
                  <c:v>2026-01-28T02:15:00.000Z</c:v>
                </c:pt>
                <c:pt idx="139">
                  <c:v>2026-01-28T02:30:00.000Z</c:v>
                </c:pt>
                <c:pt idx="140">
                  <c:v>2026-01-28T02:45:00.000Z</c:v>
                </c:pt>
                <c:pt idx="141">
                  <c:v>2026-01-28T03:00:00.000Z</c:v>
                </c:pt>
                <c:pt idx="142">
                  <c:v>2026-01-28T03:15:00.000Z</c:v>
                </c:pt>
                <c:pt idx="143">
                  <c:v>2026-01-28T03:30:00.000Z</c:v>
                </c:pt>
                <c:pt idx="144">
                  <c:v>2026-01-28T03:45:00.000Z</c:v>
                </c:pt>
                <c:pt idx="145">
                  <c:v>2026-01-28T04:00:00.000Z</c:v>
                </c:pt>
                <c:pt idx="146">
                  <c:v>2026-01-28T04:15:00.000Z</c:v>
                </c:pt>
                <c:pt idx="147">
                  <c:v>2026-01-28T04:30:00.000Z</c:v>
                </c:pt>
                <c:pt idx="148">
                  <c:v>2026-01-28T04:45:00.000Z</c:v>
                </c:pt>
                <c:pt idx="149">
                  <c:v>2026-01-28T05:00:00.000Z</c:v>
                </c:pt>
                <c:pt idx="150">
                  <c:v>2026-01-28T05:15:00.000Z</c:v>
                </c:pt>
                <c:pt idx="151">
                  <c:v>2026-01-28T05:30:00.000Z</c:v>
                </c:pt>
                <c:pt idx="152">
                  <c:v>2026-01-28T05:45:00.000Z</c:v>
                </c:pt>
                <c:pt idx="153">
                  <c:v>2026-01-28T06:00:00.000Z</c:v>
                </c:pt>
                <c:pt idx="154">
                  <c:v>2026-01-28T06:15:00.000Z</c:v>
                </c:pt>
                <c:pt idx="155">
                  <c:v>2026-01-28T06:30:00.000Z</c:v>
                </c:pt>
                <c:pt idx="156">
                  <c:v>2026-01-28T06:45:00.000Z</c:v>
                </c:pt>
                <c:pt idx="157">
                  <c:v>2026-01-28T07:00:00.000Z</c:v>
                </c:pt>
                <c:pt idx="158">
                  <c:v>2026-01-28T07:15:00.000Z</c:v>
                </c:pt>
                <c:pt idx="159">
                  <c:v>2026-01-28T07:30:00.000Z</c:v>
                </c:pt>
                <c:pt idx="160">
                  <c:v>2026-01-28T07:45:00.000Z</c:v>
                </c:pt>
                <c:pt idx="161">
                  <c:v>2026-01-28T08:00:00.000Z</c:v>
                </c:pt>
                <c:pt idx="162">
                  <c:v>2026-01-28T08:15:00.000Z</c:v>
                </c:pt>
                <c:pt idx="163">
                  <c:v>2026-01-28T08:30:00.000Z</c:v>
                </c:pt>
                <c:pt idx="164">
                  <c:v>2026-01-28T08:45:00.000Z</c:v>
                </c:pt>
                <c:pt idx="165">
                  <c:v>2026-01-28T09:00:00.000Z</c:v>
                </c:pt>
                <c:pt idx="166">
                  <c:v>2026-01-28T09:15:00.000Z</c:v>
                </c:pt>
                <c:pt idx="167">
                  <c:v>2026-01-28T09:30:00.000Z</c:v>
                </c:pt>
                <c:pt idx="168">
                  <c:v>2026-01-28T09:45:00.000Z</c:v>
                </c:pt>
                <c:pt idx="169">
                  <c:v>2026-01-28T10:00:00.000Z</c:v>
                </c:pt>
                <c:pt idx="170">
                  <c:v>2026-01-28T10:15:00.000Z</c:v>
                </c:pt>
                <c:pt idx="171">
                  <c:v>2026-01-28T10:30:00.000Z</c:v>
                </c:pt>
                <c:pt idx="172">
                  <c:v>2026-01-28T10:45:00.000Z</c:v>
                </c:pt>
                <c:pt idx="173">
                  <c:v>2026-01-28T11:00:00.000Z</c:v>
                </c:pt>
                <c:pt idx="174">
                  <c:v>2026-01-28T11:15:00.000Z</c:v>
                </c:pt>
                <c:pt idx="175">
                  <c:v>2026-01-28T11:30:00.000Z</c:v>
                </c:pt>
                <c:pt idx="176">
                  <c:v>2026-01-28T11:45:00.000Z</c:v>
                </c:pt>
                <c:pt idx="177">
                  <c:v>2026-01-28T12:00:00.000Z</c:v>
                </c:pt>
                <c:pt idx="178">
                  <c:v>2026-01-28T12:15:00.000Z</c:v>
                </c:pt>
                <c:pt idx="179">
                  <c:v>2026-01-28T12:30:00.000Z</c:v>
                </c:pt>
                <c:pt idx="180">
                  <c:v>2026-01-28T12:45:00.000Z</c:v>
                </c:pt>
                <c:pt idx="181">
                  <c:v>2026-01-28T13:00:00.000Z</c:v>
                </c:pt>
                <c:pt idx="182">
                  <c:v>2026-01-28T13:15:00.000Z</c:v>
                </c:pt>
                <c:pt idx="183">
                  <c:v>2026-01-28T13:30:00.000Z</c:v>
                </c:pt>
                <c:pt idx="184">
                  <c:v>2026-01-28T13:45:00.000Z</c:v>
                </c:pt>
                <c:pt idx="185">
                  <c:v>2026-01-28T14:00:00.000Z</c:v>
                </c:pt>
                <c:pt idx="186">
                  <c:v>2026-01-28T14:15:00.000Z</c:v>
                </c:pt>
                <c:pt idx="187">
                  <c:v>2026-01-28T14:30:00.000Z</c:v>
                </c:pt>
                <c:pt idx="188">
                  <c:v>2026-01-28T14:45:00.000Z</c:v>
                </c:pt>
                <c:pt idx="189">
                  <c:v>2026-01-28T15:00:00.000Z</c:v>
                </c:pt>
                <c:pt idx="190">
                  <c:v>2026-01-28T15:15:00.000Z</c:v>
                </c:pt>
                <c:pt idx="191">
                  <c:v>2026-01-28T15:30:00.000Z</c:v>
                </c:pt>
                <c:pt idx="192">
                  <c:v>2026-01-28T15:45:00.000Z</c:v>
                </c:pt>
                <c:pt idx="193">
                  <c:v>2026-01-28T16:00:00.000Z</c:v>
                </c:pt>
                <c:pt idx="194">
                  <c:v>2026-01-28T16:15:00.000Z</c:v>
                </c:pt>
                <c:pt idx="195">
                  <c:v>2026-01-28T16:30:00.000Z</c:v>
                </c:pt>
                <c:pt idx="196">
                  <c:v>2026-01-28T16:45:00.000Z</c:v>
                </c:pt>
                <c:pt idx="197">
                  <c:v>2026-01-28T17:00:00.000Z</c:v>
                </c:pt>
                <c:pt idx="198">
                  <c:v>2026-01-28T17:15:00.000Z</c:v>
                </c:pt>
                <c:pt idx="199">
                  <c:v>2026-01-28T17:30:00.000Z</c:v>
                </c:pt>
                <c:pt idx="200">
                  <c:v>2026-01-28T17:45:00.000Z</c:v>
                </c:pt>
                <c:pt idx="201">
                  <c:v>2026-01-28T18:00:00.000Z</c:v>
                </c:pt>
                <c:pt idx="202">
                  <c:v>2026-01-28T18:15:00.000Z</c:v>
                </c:pt>
                <c:pt idx="203">
                  <c:v>2026-01-28T18:30:00.000Z</c:v>
                </c:pt>
                <c:pt idx="204">
                  <c:v>2026-01-28T18:45:00.000Z</c:v>
                </c:pt>
                <c:pt idx="205">
                  <c:v>2026-01-28T19:00:00.000Z</c:v>
                </c:pt>
                <c:pt idx="206">
                  <c:v>2026-01-28T19:15:00.000Z</c:v>
                </c:pt>
                <c:pt idx="207">
                  <c:v>2026-01-28T19:30:00.000Z</c:v>
                </c:pt>
                <c:pt idx="208">
                  <c:v>2026-01-28T19:45:00.000Z</c:v>
                </c:pt>
                <c:pt idx="209">
                  <c:v>2026-01-28T20:00:00.000Z</c:v>
                </c:pt>
                <c:pt idx="210">
                  <c:v>2026-01-28T20:15:00.000Z</c:v>
                </c:pt>
                <c:pt idx="211">
                  <c:v>2026-01-28T20:30:00.000Z</c:v>
                </c:pt>
                <c:pt idx="212">
                  <c:v>2026-01-28T20:45:00.000Z</c:v>
                </c:pt>
                <c:pt idx="213">
                  <c:v>2026-01-28T21:00:00.000Z</c:v>
                </c:pt>
                <c:pt idx="214">
                  <c:v>2026-01-28T21:15:00.000Z</c:v>
                </c:pt>
                <c:pt idx="215">
                  <c:v>2026-01-28T21:30:00.000Z</c:v>
                </c:pt>
                <c:pt idx="216">
                  <c:v>2026-01-28T21:45:00.000Z</c:v>
                </c:pt>
                <c:pt idx="217">
                  <c:v>2026-01-28T22:00:00.000Z</c:v>
                </c:pt>
                <c:pt idx="218">
                  <c:v>2026-01-28T22:15:00.000Z</c:v>
                </c:pt>
                <c:pt idx="219">
                  <c:v>2026-01-28T22:30:00.000Z</c:v>
                </c:pt>
                <c:pt idx="220">
                  <c:v>2026-01-28T22:45:00.000Z</c:v>
                </c:pt>
                <c:pt idx="221">
                  <c:v>2026-01-28T23:00:00.000Z</c:v>
                </c:pt>
                <c:pt idx="222">
                  <c:v>2026-01-28T23:15:00.000Z</c:v>
                </c:pt>
                <c:pt idx="223">
                  <c:v>2026-01-28T23:30:00.000Z</c:v>
                </c:pt>
                <c:pt idx="224">
                  <c:v>2026-01-28T23:45:00.000Z</c:v>
                </c:pt>
                <c:pt idx="225">
                  <c:v>2026-01-29T00:00:00.000Z</c:v>
                </c:pt>
                <c:pt idx="226">
                  <c:v>2026-01-29T00:15:00.000Z</c:v>
                </c:pt>
                <c:pt idx="227">
                  <c:v>2026-01-29T00:30:00.000Z</c:v>
                </c:pt>
                <c:pt idx="228">
                  <c:v>2026-01-29T00:45:00.000Z</c:v>
                </c:pt>
                <c:pt idx="229">
                  <c:v>2026-01-29T01:00:00.000Z</c:v>
                </c:pt>
                <c:pt idx="230">
                  <c:v>2026-01-29T01:15:00.000Z</c:v>
                </c:pt>
                <c:pt idx="231">
                  <c:v>2026-01-29T01:30:00.000Z</c:v>
                </c:pt>
                <c:pt idx="232">
                  <c:v>2026-01-29T01:45:00.000Z</c:v>
                </c:pt>
                <c:pt idx="233">
                  <c:v>2026-01-29T02:00:00.000Z</c:v>
                </c:pt>
                <c:pt idx="234">
                  <c:v>2026-01-29T02:15:00.000Z</c:v>
                </c:pt>
                <c:pt idx="235">
                  <c:v>2026-01-29T02:30:00.000Z</c:v>
                </c:pt>
                <c:pt idx="236">
                  <c:v>2026-01-29T02:45:00.000Z</c:v>
                </c:pt>
                <c:pt idx="237">
                  <c:v>2026-01-29T03:00:00.000Z</c:v>
                </c:pt>
                <c:pt idx="238">
                  <c:v>2026-01-29T03:15:00.000Z</c:v>
                </c:pt>
                <c:pt idx="239">
                  <c:v>2026-01-29T03:30:00.000Z</c:v>
                </c:pt>
                <c:pt idx="240">
                  <c:v>2026-01-29T03:45:00.000Z</c:v>
                </c:pt>
                <c:pt idx="241">
                  <c:v>2026-01-29T04:00:00.000Z</c:v>
                </c:pt>
                <c:pt idx="242">
                  <c:v>2026-01-29T04:15:00.000Z</c:v>
                </c:pt>
                <c:pt idx="243">
                  <c:v>2026-01-29T04:30:00.000Z</c:v>
                </c:pt>
                <c:pt idx="244">
                  <c:v>2026-01-29T04:45:00.000Z</c:v>
                </c:pt>
                <c:pt idx="245">
                  <c:v>2026-01-29T05:00:00.000Z</c:v>
                </c:pt>
                <c:pt idx="246">
                  <c:v>2026-01-29T05:15:00.000Z</c:v>
                </c:pt>
                <c:pt idx="247">
                  <c:v>2026-01-29T05:30:00.000Z</c:v>
                </c:pt>
                <c:pt idx="248">
                  <c:v>2026-01-29T05:45:00.000Z</c:v>
                </c:pt>
                <c:pt idx="249">
                  <c:v>2026-01-29T06:00:00.000Z</c:v>
                </c:pt>
                <c:pt idx="250">
                  <c:v>2026-01-29T06:15:00.000Z</c:v>
                </c:pt>
                <c:pt idx="251">
                  <c:v>2026-01-29T06:30:00.000Z</c:v>
                </c:pt>
                <c:pt idx="252">
                  <c:v>2026-01-29T06:45:00.000Z</c:v>
                </c:pt>
                <c:pt idx="253">
                  <c:v>2026-01-29T07:00:00.000Z</c:v>
                </c:pt>
                <c:pt idx="254">
                  <c:v>2026-01-29T07:15:00.000Z</c:v>
                </c:pt>
                <c:pt idx="255">
                  <c:v>2026-01-29T07:30:00.000Z</c:v>
                </c:pt>
                <c:pt idx="256">
                  <c:v>2026-01-29T07:45:00.000Z</c:v>
                </c:pt>
                <c:pt idx="257">
                  <c:v>2026-01-29T08:00:00.000Z</c:v>
                </c:pt>
                <c:pt idx="258">
                  <c:v>2026-01-29T08:15:00.000Z</c:v>
                </c:pt>
                <c:pt idx="259">
                  <c:v>2026-01-29T08:30:00.000Z</c:v>
                </c:pt>
                <c:pt idx="260">
                  <c:v>2026-01-29T08:45:00.000Z</c:v>
                </c:pt>
                <c:pt idx="261">
                  <c:v>2026-01-29T09:00:00.000Z</c:v>
                </c:pt>
                <c:pt idx="262">
                  <c:v>2026-01-29T09:15:00.000Z</c:v>
                </c:pt>
                <c:pt idx="263">
                  <c:v>2026-01-29T09:30:00.000Z</c:v>
                </c:pt>
                <c:pt idx="264">
                  <c:v>2026-01-29T09:45:00.000Z</c:v>
                </c:pt>
                <c:pt idx="265">
                  <c:v>2026-01-29T10:00:00.000Z</c:v>
                </c:pt>
                <c:pt idx="266">
                  <c:v>2026-01-29T10:15:00.000Z</c:v>
                </c:pt>
                <c:pt idx="267">
                  <c:v>2026-01-29T10:30:00.000Z</c:v>
                </c:pt>
                <c:pt idx="268">
                  <c:v>2026-01-29T10:45:00.000Z</c:v>
                </c:pt>
                <c:pt idx="269">
                  <c:v>2026-01-29T11:00:00.000Z</c:v>
                </c:pt>
                <c:pt idx="270">
                  <c:v>2026-01-29T11:15:00.000Z</c:v>
                </c:pt>
                <c:pt idx="271">
                  <c:v>2026-01-29T11:30:00.000Z</c:v>
                </c:pt>
                <c:pt idx="272">
                  <c:v>2026-01-29T11:45:00.000Z</c:v>
                </c:pt>
                <c:pt idx="273">
                  <c:v>2026-01-29T12:00:00.000Z</c:v>
                </c:pt>
                <c:pt idx="274">
                  <c:v>2026-01-29T12:15:00.000Z</c:v>
                </c:pt>
                <c:pt idx="275">
                  <c:v>2026-01-29T12:30:00.000Z</c:v>
                </c:pt>
                <c:pt idx="276">
                  <c:v>2026-01-29T12:45:00.000Z</c:v>
                </c:pt>
                <c:pt idx="277">
                  <c:v>2026-01-29T13:00:00.000Z</c:v>
                </c:pt>
                <c:pt idx="278">
                  <c:v>2026-01-29T13:15:00.000Z</c:v>
                </c:pt>
                <c:pt idx="279">
                  <c:v>2026-01-29T13:30:00.000Z</c:v>
                </c:pt>
                <c:pt idx="280">
                  <c:v>2026-01-29T13:45:00.000Z</c:v>
                </c:pt>
                <c:pt idx="281">
                  <c:v>2026-01-29T14:00:00.000Z</c:v>
                </c:pt>
                <c:pt idx="282">
                  <c:v>2026-01-29T14:15:00.000Z</c:v>
                </c:pt>
                <c:pt idx="283">
                  <c:v>2026-01-29T14:30:00.000Z</c:v>
                </c:pt>
                <c:pt idx="284">
                  <c:v>2026-01-29T14:45:00.000Z</c:v>
                </c:pt>
                <c:pt idx="285">
                  <c:v>2026-01-29T15:00:00.000Z</c:v>
                </c:pt>
                <c:pt idx="286">
                  <c:v>2026-01-29T15:15:00.000Z</c:v>
                </c:pt>
                <c:pt idx="287">
                  <c:v>2026-01-29T15:30:00.000Z</c:v>
                </c:pt>
                <c:pt idx="288">
                  <c:v>2026-01-29T15:45:00.000Z</c:v>
                </c:pt>
                <c:pt idx="289">
                  <c:v>2026-01-29T16:00:00.000Z</c:v>
                </c:pt>
                <c:pt idx="290">
                  <c:v>2026-01-29T16:15:00.000Z</c:v>
                </c:pt>
                <c:pt idx="291">
                  <c:v>2026-01-29T16:30:00.000Z</c:v>
                </c:pt>
                <c:pt idx="292">
                  <c:v>2026-01-29T16:45:00.000Z</c:v>
                </c:pt>
                <c:pt idx="293">
                  <c:v>2026-01-29T17:00:00.000Z</c:v>
                </c:pt>
                <c:pt idx="294">
                  <c:v>2026-01-29T17:15:00.000Z</c:v>
                </c:pt>
                <c:pt idx="295">
                  <c:v>2026-01-29T17:30:00.000Z</c:v>
                </c:pt>
                <c:pt idx="296">
                  <c:v>2026-01-29T17:45:00.000Z</c:v>
                </c:pt>
                <c:pt idx="297">
                  <c:v>2026-01-29T18:00:00.000Z</c:v>
                </c:pt>
                <c:pt idx="298">
                  <c:v>2026-01-29T18:15:00.000Z</c:v>
                </c:pt>
                <c:pt idx="299">
                  <c:v>2026-01-29T18:30:00.000Z</c:v>
                </c:pt>
                <c:pt idx="300">
                  <c:v>2026-01-29T18:45:00.000Z</c:v>
                </c:pt>
                <c:pt idx="301">
                  <c:v>2026-01-29T19:00:00.000Z</c:v>
                </c:pt>
                <c:pt idx="302">
                  <c:v>2026-01-29T19:15:00.000Z</c:v>
                </c:pt>
                <c:pt idx="303">
                  <c:v>2026-01-29T19:30:00.000Z</c:v>
                </c:pt>
                <c:pt idx="304">
                  <c:v>2026-01-29T19:45:00.000Z</c:v>
                </c:pt>
                <c:pt idx="305">
                  <c:v>2026-01-29T20:00:00.000Z</c:v>
                </c:pt>
                <c:pt idx="306">
                  <c:v>2026-01-29T20:15:00.000Z</c:v>
                </c:pt>
                <c:pt idx="307">
                  <c:v>2026-01-29T20:30:00.000Z</c:v>
                </c:pt>
                <c:pt idx="308">
                  <c:v>2026-01-29T20:45:00.000Z</c:v>
                </c:pt>
                <c:pt idx="309">
                  <c:v>2026-01-29T21:00:00.000Z</c:v>
                </c:pt>
                <c:pt idx="310">
                  <c:v>2026-01-29T21:15:00.000Z</c:v>
                </c:pt>
                <c:pt idx="311">
                  <c:v>2026-01-29T21:30:00.000Z</c:v>
                </c:pt>
                <c:pt idx="312">
                  <c:v>2026-01-29T21:45:00.000Z</c:v>
                </c:pt>
                <c:pt idx="313">
                  <c:v>2026-01-29T22:00:00.000Z</c:v>
                </c:pt>
                <c:pt idx="314">
                  <c:v>2026-01-29T22:15:00.000Z</c:v>
                </c:pt>
                <c:pt idx="315">
                  <c:v>2026-01-29T22:30:00.000Z</c:v>
                </c:pt>
                <c:pt idx="316">
                  <c:v>2026-01-29T22:45:00.000Z</c:v>
                </c:pt>
                <c:pt idx="317">
                  <c:v>2026-01-29T23:00:00.000Z</c:v>
                </c:pt>
                <c:pt idx="318">
                  <c:v>2026-01-29T23:15:00.000Z</c:v>
                </c:pt>
                <c:pt idx="319">
                  <c:v>2026-01-29T23:30:00.000Z</c:v>
                </c:pt>
                <c:pt idx="320">
                  <c:v>2026-01-29T23:45:00.000Z</c:v>
                </c:pt>
                <c:pt idx="321">
                  <c:v>2026-01-30T00:00:00.000Z</c:v>
                </c:pt>
                <c:pt idx="322">
                  <c:v>2026-01-30T00:15:00.000Z</c:v>
                </c:pt>
                <c:pt idx="323">
                  <c:v>2026-01-30T00:30:00.000Z</c:v>
                </c:pt>
                <c:pt idx="324">
                  <c:v>2026-01-30T00:45:00.000Z</c:v>
                </c:pt>
                <c:pt idx="325">
                  <c:v>2026-01-30T01:00:00.000Z</c:v>
                </c:pt>
                <c:pt idx="326">
                  <c:v>2026-01-30T01:15:00.000Z</c:v>
                </c:pt>
                <c:pt idx="327">
                  <c:v>2026-01-30T01:30:00.000Z</c:v>
                </c:pt>
                <c:pt idx="328">
                  <c:v>2026-01-30T01:45:00.000Z</c:v>
                </c:pt>
                <c:pt idx="329">
                  <c:v>2026-01-30T02:00:00.000Z</c:v>
                </c:pt>
                <c:pt idx="330">
                  <c:v>2026-01-30T02:15:00.000Z</c:v>
                </c:pt>
                <c:pt idx="331">
                  <c:v>2026-01-30T02:30:00.000Z</c:v>
                </c:pt>
                <c:pt idx="332">
                  <c:v>2026-01-30T02:45:00.000Z</c:v>
                </c:pt>
                <c:pt idx="333">
                  <c:v>2026-01-30T03:00:00.000Z</c:v>
                </c:pt>
                <c:pt idx="334">
                  <c:v>2026-01-30T03:15:00.000Z</c:v>
                </c:pt>
                <c:pt idx="335">
                  <c:v>2026-01-30T03:30:00.000Z</c:v>
                </c:pt>
                <c:pt idx="336">
                  <c:v>2026-01-30T03:45:00.000Z</c:v>
                </c:pt>
                <c:pt idx="337">
                  <c:v>2026-01-30T04:00:00.000Z</c:v>
                </c:pt>
                <c:pt idx="338">
                  <c:v>2026-01-30T04:15:00.000Z</c:v>
                </c:pt>
                <c:pt idx="339">
                  <c:v>2026-01-30T04:30:00.000Z</c:v>
                </c:pt>
                <c:pt idx="340">
                  <c:v>2026-01-30T04:45:00.000Z</c:v>
                </c:pt>
                <c:pt idx="341">
                  <c:v>2026-01-30T05:00:00.000Z</c:v>
                </c:pt>
                <c:pt idx="342">
                  <c:v>2026-01-30T05:15:00.000Z</c:v>
                </c:pt>
                <c:pt idx="343">
                  <c:v>2026-01-30T05:30:00.000Z</c:v>
                </c:pt>
                <c:pt idx="344">
                  <c:v>2026-01-30T05:45:00.000Z</c:v>
                </c:pt>
                <c:pt idx="345">
                  <c:v>2026-01-30T06:00:00.000Z</c:v>
                </c:pt>
                <c:pt idx="346">
                  <c:v>2026-01-30T06:15:00.000Z</c:v>
                </c:pt>
                <c:pt idx="347">
                  <c:v>2026-01-30T06:30:00.000Z</c:v>
                </c:pt>
                <c:pt idx="348">
                  <c:v>2026-01-30T06:45:00.000Z</c:v>
                </c:pt>
                <c:pt idx="349">
                  <c:v>2026-01-30T07:00:00.000Z</c:v>
                </c:pt>
                <c:pt idx="350">
                  <c:v>2026-01-30T07:15:00.000Z</c:v>
                </c:pt>
                <c:pt idx="351">
                  <c:v>2026-01-30T07:30:00.000Z</c:v>
                </c:pt>
                <c:pt idx="352">
                  <c:v>2026-01-30T07:45:00.000Z</c:v>
                </c:pt>
                <c:pt idx="353">
                  <c:v>2026-01-30T08:00:00.000Z</c:v>
                </c:pt>
                <c:pt idx="354">
                  <c:v>2026-01-30T08:15:00.000Z</c:v>
                </c:pt>
                <c:pt idx="355">
                  <c:v>2026-01-30T08:30:00.000Z</c:v>
                </c:pt>
                <c:pt idx="356">
                  <c:v>2026-01-30T08:45:00.000Z</c:v>
                </c:pt>
                <c:pt idx="357">
                  <c:v>2026-01-30T09:00:00.000Z</c:v>
                </c:pt>
                <c:pt idx="358">
                  <c:v>2026-01-30T09:15:00.000Z</c:v>
                </c:pt>
                <c:pt idx="359">
                  <c:v>2026-01-30T09:30:00.000Z</c:v>
                </c:pt>
                <c:pt idx="360">
                  <c:v>2026-01-30T09:45:00.000Z</c:v>
                </c:pt>
                <c:pt idx="361">
                  <c:v>2026-01-30T10:00:00.000Z</c:v>
                </c:pt>
                <c:pt idx="362">
                  <c:v>2026-01-30T10:15:00.000Z</c:v>
                </c:pt>
                <c:pt idx="363">
                  <c:v>2026-01-30T10:30:00.000Z</c:v>
                </c:pt>
                <c:pt idx="364">
                  <c:v>2026-01-30T10:45:00.000Z</c:v>
                </c:pt>
                <c:pt idx="365">
                  <c:v>2026-01-30T11:00:00.000Z</c:v>
                </c:pt>
                <c:pt idx="366">
                  <c:v>2026-01-30T11:15:00.000Z</c:v>
                </c:pt>
                <c:pt idx="367">
                  <c:v>2026-01-30T11:30:00.000Z</c:v>
                </c:pt>
                <c:pt idx="368">
                  <c:v>2026-01-30T11:45:00.000Z</c:v>
                </c:pt>
                <c:pt idx="369">
                  <c:v>2026-01-30T12:00:00.000Z</c:v>
                </c:pt>
                <c:pt idx="370">
                  <c:v>2026-01-30T12:15:00.000Z</c:v>
                </c:pt>
                <c:pt idx="371">
                  <c:v>2026-01-30T12:30:00.000Z</c:v>
                </c:pt>
                <c:pt idx="372">
                  <c:v>2026-01-30T12:45:00.000Z</c:v>
                </c:pt>
                <c:pt idx="373">
                  <c:v>2026-01-30T13:00:00.000Z</c:v>
                </c:pt>
                <c:pt idx="374">
                  <c:v>2026-01-30T13:15:00.000Z</c:v>
                </c:pt>
                <c:pt idx="375">
                  <c:v>2026-01-30T13:30:00.000Z</c:v>
                </c:pt>
                <c:pt idx="376">
                  <c:v>2026-01-30T13:45:00.000Z</c:v>
                </c:pt>
                <c:pt idx="377">
                  <c:v>2026-01-30T14:00:00.000Z</c:v>
                </c:pt>
                <c:pt idx="378">
                  <c:v>2026-01-30T14:15:00.000Z</c:v>
                </c:pt>
                <c:pt idx="379">
                  <c:v>2026-01-30T14:30:00.000Z</c:v>
                </c:pt>
                <c:pt idx="380">
                  <c:v>2026-01-30T14:45:00.000Z</c:v>
                </c:pt>
                <c:pt idx="381">
                  <c:v>2026-01-30T15:00:00.000Z</c:v>
                </c:pt>
                <c:pt idx="382">
                  <c:v>2026-01-30T15:15:00.000Z</c:v>
                </c:pt>
                <c:pt idx="383">
                  <c:v>2026-01-30T15:30:00.000Z</c:v>
                </c:pt>
                <c:pt idx="384">
                  <c:v>2026-01-30T15:45:00.000Z</c:v>
                </c:pt>
                <c:pt idx="385">
                  <c:v>2026-01-30T16:00:00.000Z</c:v>
                </c:pt>
                <c:pt idx="386">
                  <c:v>2026-01-30T16:15:00.000Z</c:v>
                </c:pt>
                <c:pt idx="387">
                  <c:v>2026-01-30T16:30:00.000Z</c:v>
                </c:pt>
                <c:pt idx="388">
                  <c:v>2026-01-30T16:45:00.000Z</c:v>
                </c:pt>
                <c:pt idx="389">
                  <c:v>2026-01-30T17:00:00.000Z</c:v>
                </c:pt>
                <c:pt idx="390">
                  <c:v>2026-01-30T17:15:00.000Z</c:v>
                </c:pt>
                <c:pt idx="391">
                  <c:v>2026-01-30T17:30:00.000Z</c:v>
                </c:pt>
                <c:pt idx="392">
                  <c:v>2026-01-30T17:45:00.000Z</c:v>
                </c:pt>
                <c:pt idx="393">
                  <c:v>2026-01-30T18:00:00.000Z</c:v>
                </c:pt>
                <c:pt idx="394">
                  <c:v>2026-01-30T18:15:00.000Z</c:v>
                </c:pt>
                <c:pt idx="395">
                  <c:v>2026-01-30T18:30:00.000Z</c:v>
                </c:pt>
                <c:pt idx="396">
                  <c:v>2026-01-30T18:45:00.000Z</c:v>
                </c:pt>
                <c:pt idx="397">
                  <c:v>2026-01-30T19:00:00.000Z</c:v>
                </c:pt>
                <c:pt idx="398">
                  <c:v>2026-01-30T19:15:00.000Z</c:v>
                </c:pt>
                <c:pt idx="399">
                  <c:v>2026-01-30T19:30:00.000Z</c:v>
                </c:pt>
                <c:pt idx="400">
                  <c:v>2026-01-30T19:45:00.000Z</c:v>
                </c:pt>
                <c:pt idx="401">
                  <c:v>2026-01-30T20:00:00.000Z</c:v>
                </c:pt>
                <c:pt idx="402">
                  <c:v>2026-01-30T20:15:00.000Z</c:v>
                </c:pt>
                <c:pt idx="403">
                  <c:v>2026-01-30T20:30:00.000Z</c:v>
                </c:pt>
                <c:pt idx="404">
                  <c:v>2026-01-30T20:45:00.000Z</c:v>
                </c:pt>
                <c:pt idx="405">
                  <c:v>2026-01-30T21:00:00.000Z</c:v>
                </c:pt>
                <c:pt idx="406">
                  <c:v>2026-01-30T21:15:00.000Z</c:v>
                </c:pt>
                <c:pt idx="407">
                  <c:v>2026-01-30T21:30:00.000Z</c:v>
                </c:pt>
                <c:pt idx="408">
                  <c:v>2026-01-30T21:45:00.000Z</c:v>
                </c:pt>
                <c:pt idx="409">
                  <c:v>2026-01-30T22:00:00.000Z</c:v>
                </c:pt>
                <c:pt idx="410">
                  <c:v>2026-01-30T22:15:00.000Z</c:v>
                </c:pt>
                <c:pt idx="411">
                  <c:v>2026-01-30T22:30:00.000Z</c:v>
                </c:pt>
                <c:pt idx="412">
                  <c:v>2026-01-30T22:45:00.000Z</c:v>
                </c:pt>
                <c:pt idx="413">
                  <c:v>2026-01-30T23:00:00.000Z</c:v>
                </c:pt>
                <c:pt idx="414">
                  <c:v>2026-01-30T23:15:00.000Z</c:v>
                </c:pt>
                <c:pt idx="415">
                  <c:v>2026-01-30T23:30:00.000Z</c:v>
                </c:pt>
                <c:pt idx="416">
                  <c:v>2026-01-30T23:45:00.000Z</c:v>
                </c:pt>
                <c:pt idx="417">
                  <c:v>2026-01-31T00:00:00.000Z</c:v>
                </c:pt>
                <c:pt idx="418">
                  <c:v>2026-01-31T00:15:00.000Z</c:v>
                </c:pt>
                <c:pt idx="419">
                  <c:v>2026-01-31T00:30:00.000Z</c:v>
                </c:pt>
                <c:pt idx="420">
                  <c:v>2026-01-31T00:45:00.000Z</c:v>
                </c:pt>
                <c:pt idx="421">
                  <c:v>2026-01-31T01:00:00.000Z</c:v>
                </c:pt>
                <c:pt idx="422">
                  <c:v>2026-01-31T01:15:00.000Z</c:v>
                </c:pt>
                <c:pt idx="423">
                  <c:v>2026-01-31T01:30:00.000Z</c:v>
                </c:pt>
                <c:pt idx="424">
                  <c:v>2026-01-31T01:45:00.000Z</c:v>
                </c:pt>
                <c:pt idx="425">
                  <c:v>2026-01-31T02:00:00.000Z</c:v>
                </c:pt>
                <c:pt idx="426">
                  <c:v>2026-01-31T02:15:00.000Z</c:v>
                </c:pt>
                <c:pt idx="427">
                  <c:v>2026-01-31T02:30:00.000Z</c:v>
                </c:pt>
                <c:pt idx="428">
                  <c:v>2026-01-31T02:45:00.000Z</c:v>
                </c:pt>
                <c:pt idx="429">
                  <c:v>2026-01-31T03:00:00.000Z</c:v>
                </c:pt>
                <c:pt idx="430">
                  <c:v>2026-01-31T03:15:00.000Z</c:v>
                </c:pt>
                <c:pt idx="431">
                  <c:v>2026-01-31T03:30:00.000Z</c:v>
                </c:pt>
                <c:pt idx="432">
                  <c:v>2026-01-31T03:45:00.000Z</c:v>
                </c:pt>
                <c:pt idx="433">
                  <c:v>2026-01-31T04:00:00.000Z</c:v>
                </c:pt>
                <c:pt idx="434">
                  <c:v>2026-01-31T04:15:00.000Z</c:v>
                </c:pt>
                <c:pt idx="435">
                  <c:v>2026-01-31T04:30:00.000Z</c:v>
                </c:pt>
                <c:pt idx="436">
                  <c:v>2026-01-31T04:45:00.000Z</c:v>
                </c:pt>
                <c:pt idx="437">
                  <c:v>2026-01-31T05:00:00.000Z</c:v>
                </c:pt>
                <c:pt idx="438">
                  <c:v>2026-01-31T05:15:00.000Z</c:v>
                </c:pt>
                <c:pt idx="439">
                  <c:v>2026-01-31T05:30:00.000Z</c:v>
                </c:pt>
                <c:pt idx="440">
                  <c:v>2026-01-31T05:45:00.000Z</c:v>
                </c:pt>
                <c:pt idx="441">
                  <c:v>2026-01-31T06:00:00.000Z</c:v>
                </c:pt>
                <c:pt idx="442">
                  <c:v>2026-01-31T06:15:00.000Z</c:v>
                </c:pt>
                <c:pt idx="443">
                  <c:v>2026-01-31T06:30:00.000Z</c:v>
                </c:pt>
                <c:pt idx="444">
                  <c:v>2026-01-31T06:45:00.000Z</c:v>
                </c:pt>
                <c:pt idx="445">
                  <c:v>2026-01-31T07:00:00.000Z</c:v>
                </c:pt>
                <c:pt idx="446">
                  <c:v>2026-01-31T07:15:00.000Z</c:v>
                </c:pt>
                <c:pt idx="447">
                  <c:v>2026-01-31T07:30:00.000Z</c:v>
                </c:pt>
                <c:pt idx="448">
                  <c:v>2026-01-31T07:45:00.000Z</c:v>
                </c:pt>
                <c:pt idx="449">
                  <c:v>2026-01-31T08:00:00.000Z</c:v>
                </c:pt>
                <c:pt idx="450">
                  <c:v>2026-01-31T08:15:00.000Z</c:v>
                </c:pt>
                <c:pt idx="451">
                  <c:v>2026-01-31T08:30:00.000Z</c:v>
                </c:pt>
                <c:pt idx="452">
                  <c:v>2026-01-31T08:45:00.000Z</c:v>
                </c:pt>
                <c:pt idx="453">
                  <c:v>2026-01-31T09:00:00.000Z</c:v>
                </c:pt>
                <c:pt idx="454">
                  <c:v>2026-01-31T09:15:00.000Z</c:v>
                </c:pt>
                <c:pt idx="455">
                  <c:v>2026-01-31T09:30:00.000Z</c:v>
                </c:pt>
                <c:pt idx="456">
                  <c:v>2026-01-31T09:45:00.000Z</c:v>
                </c:pt>
                <c:pt idx="457">
                  <c:v>2026-01-31T10:00:00.000Z</c:v>
                </c:pt>
                <c:pt idx="458">
                  <c:v>2026-01-31T10:15:00.000Z</c:v>
                </c:pt>
                <c:pt idx="459">
                  <c:v>2026-01-31T10:30:00.000Z</c:v>
                </c:pt>
                <c:pt idx="460">
                  <c:v>2026-01-31T10:45:00.000Z</c:v>
                </c:pt>
                <c:pt idx="461">
                  <c:v>2026-01-31T11:00:00.000Z</c:v>
                </c:pt>
                <c:pt idx="462">
                  <c:v>2026-01-31T11:15:00.000Z</c:v>
                </c:pt>
                <c:pt idx="463">
                  <c:v>2026-01-31T11:30:00.000Z</c:v>
                </c:pt>
                <c:pt idx="464">
                  <c:v>2026-01-31T11:45:00.000Z</c:v>
                </c:pt>
                <c:pt idx="465">
                  <c:v>2026-01-31T12:00:00.000Z</c:v>
                </c:pt>
                <c:pt idx="466">
                  <c:v>2026-01-31T12:15:00.000Z</c:v>
                </c:pt>
                <c:pt idx="467">
                  <c:v>2026-01-31T12:30:00.000Z</c:v>
                </c:pt>
                <c:pt idx="468">
                  <c:v>2026-01-31T12:45:00.000Z</c:v>
                </c:pt>
                <c:pt idx="469">
                  <c:v>2026-01-31T13:00:00.000Z</c:v>
                </c:pt>
                <c:pt idx="470">
                  <c:v>2026-01-31T13:15:00.000Z</c:v>
                </c:pt>
                <c:pt idx="471">
                  <c:v>2026-01-31T13:30:00.000Z</c:v>
                </c:pt>
                <c:pt idx="472">
                  <c:v>2026-01-31T13:45:00.000Z</c:v>
                </c:pt>
                <c:pt idx="473">
                  <c:v>2026-01-31T14:00:00.000Z</c:v>
                </c:pt>
                <c:pt idx="474">
                  <c:v>2026-01-31T14:15:00.000Z</c:v>
                </c:pt>
                <c:pt idx="475">
                  <c:v>2026-01-31T14:30:00.000Z</c:v>
                </c:pt>
                <c:pt idx="476">
                  <c:v>2026-01-31T14:45:00.000Z</c:v>
                </c:pt>
                <c:pt idx="477">
                  <c:v>2026-01-31T15:00:00.000Z</c:v>
                </c:pt>
                <c:pt idx="478">
                  <c:v>2026-01-31T15:15:00.000Z</c:v>
                </c:pt>
                <c:pt idx="479">
                  <c:v>2026-01-31T15:30:00.000Z</c:v>
                </c:pt>
                <c:pt idx="480">
                  <c:v>2026-01-31T15:45:00.000Z</c:v>
                </c:pt>
                <c:pt idx="481">
                  <c:v>2026-01-31T16:00:00.000Z</c:v>
                </c:pt>
                <c:pt idx="482">
                  <c:v>2026-01-31T16:15:00.000Z</c:v>
                </c:pt>
                <c:pt idx="483">
                  <c:v>2026-01-31T16:30:00.000Z</c:v>
                </c:pt>
                <c:pt idx="484">
                  <c:v>2026-01-31T16:45:00.000Z</c:v>
                </c:pt>
                <c:pt idx="485">
                  <c:v>2026-01-31T17:00:00.000Z</c:v>
                </c:pt>
                <c:pt idx="486">
                  <c:v>2026-01-31T17:15:00.000Z</c:v>
                </c:pt>
                <c:pt idx="487">
                  <c:v>2026-01-31T17:30:00.000Z</c:v>
                </c:pt>
                <c:pt idx="488">
                  <c:v>2026-01-31T17:45:00.000Z</c:v>
                </c:pt>
                <c:pt idx="489">
                  <c:v>2026-01-31T18:00:00.000Z</c:v>
                </c:pt>
                <c:pt idx="490">
                  <c:v>2026-01-31T18:15:00.000Z</c:v>
                </c:pt>
                <c:pt idx="491">
                  <c:v>2026-01-31T18:30:00.000Z</c:v>
                </c:pt>
                <c:pt idx="492">
                  <c:v>2026-01-31T18:45:00.000Z</c:v>
                </c:pt>
                <c:pt idx="493">
                  <c:v>2026-01-31T19:00:00.000Z</c:v>
                </c:pt>
                <c:pt idx="494">
                  <c:v>2026-01-31T19:15:00.000Z</c:v>
                </c:pt>
                <c:pt idx="495">
                  <c:v>2026-01-31T19:30:00.000Z</c:v>
                </c:pt>
                <c:pt idx="496">
                  <c:v>2026-01-31T19:45:00.000Z</c:v>
                </c:pt>
                <c:pt idx="497">
                  <c:v>2026-01-31T20:00:00.000Z</c:v>
                </c:pt>
                <c:pt idx="498">
                  <c:v>2026-01-31T20:15:00.000Z</c:v>
                </c:pt>
                <c:pt idx="499">
                  <c:v>2026-01-31T20:30:00.000Z</c:v>
                </c:pt>
                <c:pt idx="500">
                  <c:v>2026-01-31T20:45:00.000Z</c:v>
                </c:pt>
                <c:pt idx="501">
                  <c:v>2026-01-31T21:00:00.000Z</c:v>
                </c:pt>
                <c:pt idx="502">
                  <c:v>2026-01-31T21:15:00.000Z</c:v>
                </c:pt>
                <c:pt idx="503">
                  <c:v>2026-01-31T21:30:00.000Z</c:v>
                </c:pt>
                <c:pt idx="504">
                  <c:v>2026-01-31T21:45:00.000Z</c:v>
                </c:pt>
                <c:pt idx="505">
                  <c:v>2026-01-31T22:00:00.000Z</c:v>
                </c:pt>
                <c:pt idx="506">
                  <c:v>2026-01-31T22:15:00.000Z</c:v>
                </c:pt>
                <c:pt idx="507">
                  <c:v>2026-01-31T22:30:00.000Z</c:v>
                </c:pt>
                <c:pt idx="508">
                  <c:v>2026-01-31T22:45:00.000Z</c:v>
                </c:pt>
                <c:pt idx="509">
                  <c:v>2026-01-31T23:00:00.000Z</c:v>
                </c:pt>
                <c:pt idx="510">
                  <c:v>2026-01-31T23:15:00.000Z</c:v>
                </c:pt>
                <c:pt idx="511">
                  <c:v>2026-01-31T23:30:00.000Z</c:v>
                </c:pt>
                <c:pt idx="512">
                  <c:v>2026-01-31T23:45:00.000Z</c:v>
                </c:pt>
                <c:pt idx="513">
                  <c:v>2026-02-01T00:00:00.000Z</c:v>
                </c:pt>
                <c:pt idx="514">
                  <c:v>2026-02-01T00:15:00.000Z</c:v>
                </c:pt>
                <c:pt idx="515">
                  <c:v>2026-02-01T00:30:00.000Z</c:v>
                </c:pt>
                <c:pt idx="516">
                  <c:v>2026-02-01T00:45:00.000Z</c:v>
                </c:pt>
                <c:pt idx="517">
                  <c:v>2026-02-01T01:00:00.000Z</c:v>
                </c:pt>
                <c:pt idx="518">
                  <c:v>2026-02-01T01:15:00.000Z</c:v>
                </c:pt>
                <c:pt idx="519">
                  <c:v>2026-02-01T01:30:00.000Z</c:v>
                </c:pt>
                <c:pt idx="520">
                  <c:v>2026-02-01T01:45:00.000Z</c:v>
                </c:pt>
                <c:pt idx="521">
                  <c:v>2026-02-01T02:00:00.000Z</c:v>
                </c:pt>
                <c:pt idx="522">
                  <c:v>2026-02-01T02:15:00.000Z</c:v>
                </c:pt>
                <c:pt idx="523">
                  <c:v>2026-02-01T02:30:00.000Z</c:v>
                </c:pt>
                <c:pt idx="524">
                  <c:v>2026-02-01T02:45:00.000Z</c:v>
                </c:pt>
                <c:pt idx="525">
                  <c:v>2026-02-01T03:00:00.000Z</c:v>
                </c:pt>
                <c:pt idx="526">
                  <c:v>2026-02-01T03:15:00.000Z</c:v>
                </c:pt>
                <c:pt idx="527">
                  <c:v>2026-02-01T03:30:00.000Z</c:v>
                </c:pt>
                <c:pt idx="528">
                  <c:v>2026-02-01T03:45:00.000Z</c:v>
                </c:pt>
                <c:pt idx="529">
                  <c:v>2026-02-01T04:00:00.000Z</c:v>
                </c:pt>
                <c:pt idx="530">
                  <c:v>2026-02-01T04:15:00.000Z</c:v>
                </c:pt>
                <c:pt idx="531">
                  <c:v>2026-02-01T04:30:00.000Z</c:v>
                </c:pt>
                <c:pt idx="532">
                  <c:v>2026-02-01T04:45:00.000Z</c:v>
                </c:pt>
                <c:pt idx="533">
                  <c:v>2026-02-01T05:00:00.000Z</c:v>
                </c:pt>
                <c:pt idx="534">
                  <c:v>2026-02-01T05:15:00.000Z</c:v>
                </c:pt>
                <c:pt idx="535">
                  <c:v>2026-02-01T05:30:00.000Z</c:v>
                </c:pt>
                <c:pt idx="536">
                  <c:v>2026-02-01T05:45:00.000Z</c:v>
                </c:pt>
                <c:pt idx="537">
                  <c:v>2026-02-01T06:00:00.000Z</c:v>
                </c:pt>
                <c:pt idx="538">
                  <c:v>2026-02-01T06:15:00.000Z</c:v>
                </c:pt>
                <c:pt idx="539">
                  <c:v>2026-02-01T06:30:00.000Z</c:v>
                </c:pt>
                <c:pt idx="540">
                  <c:v>2026-02-01T06:45:00.000Z</c:v>
                </c:pt>
                <c:pt idx="541">
                  <c:v>2026-02-01T07:00:00.000Z</c:v>
                </c:pt>
                <c:pt idx="542">
                  <c:v>2026-02-01T07:15:00.000Z</c:v>
                </c:pt>
                <c:pt idx="543">
                  <c:v>2026-02-01T07:30:00.000Z</c:v>
                </c:pt>
                <c:pt idx="544">
                  <c:v>2026-02-01T07:45:00.000Z</c:v>
                </c:pt>
                <c:pt idx="545">
                  <c:v>2026-02-01T08:00:00.000Z</c:v>
                </c:pt>
                <c:pt idx="546">
                  <c:v>2026-02-01T08:15:00.000Z</c:v>
                </c:pt>
                <c:pt idx="547">
                  <c:v>2026-02-01T08:30:00.000Z</c:v>
                </c:pt>
                <c:pt idx="548">
                  <c:v>2026-02-01T08:45:00.000Z</c:v>
                </c:pt>
                <c:pt idx="549">
                  <c:v>2026-02-01T09:00:00.000Z</c:v>
                </c:pt>
                <c:pt idx="550">
                  <c:v>2026-02-01T09:15:00.000Z</c:v>
                </c:pt>
                <c:pt idx="551">
                  <c:v>2026-02-01T09:30:00.000Z</c:v>
                </c:pt>
                <c:pt idx="552">
                  <c:v>2026-02-01T09:45:00.000Z</c:v>
                </c:pt>
                <c:pt idx="553">
                  <c:v>2026-02-01T10:00:00.000Z</c:v>
                </c:pt>
                <c:pt idx="554">
                  <c:v>2026-02-01T10:15:00.000Z</c:v>
                </c:pt>
                <c:pt idx="555">
                  <c:v>2026-02-01T10:30:00.000Z</c:v>
                </c:pt>
                <c:pt idx="556">
                  <c:v>2026-02-01T10:45:00.000Z</c:v>
                </c:pt>
                <c:pt idx="557">
                  <c:v>2026-02-01T11:00:00.000Z</c:v>
                </c:pt>
                <c:pt idx="558">
                  <c:v>2026-02-01T11:15:00.000Z</c:v>
                </c:pt>
                <c:pt idx="559">
                  <c:v>2026-02-01T11:30:00.000Z</c:v>
                </c:pt>
                <c:pt idx="560">
                  <c:v>2026-02-01T11:45:00.000Z</c:v>
                </c:pt>
                <c:pt idx="561">
                  <c:v>2026-02-01T12:00:00.000Z</c:v>
                </c:pt>
                <c:pt idx="562">
                  <c:v>2026-02-01T12:15:00.000Z</c:v>
                </c:pt>
                <c:pt idx="563">
                  <c:v>2026-02-01T12:30:00.000Z</c:v>
                </c:pt>
                <c:pt idx="564">
                  <c:v>2026-02-01T12:45:00.000Z</c:v>
                </c:pt>
                <c:pt idx="565">
                  <c:v>2026-02-01T13:00:00.000Z</c:v>
                </c:pt>
                <c:pt idx="566">
                  <c:v>2026-02-01T13:15:00.000Z</c:v>
                </c:pt>
                <c:pt idx="567">
                  <c:v>2026-02-01T13:30:00.000Z</c:v>
                </c:pt>
                <c:pt idx="568">
                  <c:v>2026-02-01T13:45:00.000Z</c:v>
                </c:pt>
                <c:pt idx="569">
                  <c:v>2026-02-01T14:00:00.000Z</c:v>
                </c:pt>
                <c:pt idx="570">
                  <c:v>2026-02-01T14:15:00.000Z</c:v>
                </c:pt>
                <c:pt idx="571">
                  <c:v>2026-02-01T14:30:00.000Z</c:v>
                </c:pt>
                <c:pt idx="572">
                  <c:v>2026-02-01T14:45:00.000Z</c:v>
                </c:pt>
                <c:pt idx="573">
                  <c:v>2026-02-01T15:00:00.000Z</c:v>
                </c:pt>
                <c:pt idx="574">
                  <c:v>2026-02-01T15:15:00.000Z</c:v>
                </c:pt>
                <c:pt idx="575">
                  <c:v>2026-02-01T15:30:00.000Z</c:v>
                </c:pt>
                <c:pt idx="576">
                  <c:v>2026-02-01T15:45:00.000Z</c:v>
                </c:pt>
                <c:pt idx="577">
                  <c:v>2026-02-01T16:00:00.000Z</c:v>
                </c:pt>
                <c:pt idx="578">
                  <c:v>2026-02-01T16:15:00.000Z</c:v>
                </c:pt>
                <c:pt idx="579">
                  <c:v>2026-02-01T16:30:00.000Z</c:v>
                </c:pt>
                <c:pt idx="580">
                  <c:v>2026-02-01T16:45:00.000Z</c:v>
                </c:pt>
                <c:pt idx="581">
                  <c:v>2026-02-01T17:00:00.000Z</c:v>
                </c:pt>
                <c:pt idx="582">
                  <c:v>2026-02-01T17:15:00.000Z</c:v>
                </c:pt>
                <c:pt idx="583">
                  <c:v>2026-02-01T17:30:00.000Z</c:v>
                </c:pt>
                <c:pt idx="584">
                  <c:v>2026-02-01T17:45:00.000Z</c:v>
                </c:pt>
                <c:pt idx="585">
                  <c:v>2026-02-01T18:00:00.000Z</c:v>
                </c:pt>
                <c:pt idx="586">
                  <c:v>2026-02-01T18:15:00.000Z</c:v>
                </c:pt>
                <c:pt idx="587">
                  <c:v>2026-02-01T18:30:00.000Z</c:v>
                </c:pt>
                <c:pt idx="588">
                  <c:v>2026-02-01T18:45:00.000Z</c:v>
                </c:pt>
                <c:pt idx="589">
                  <c:v>2026-02-01T19:00:00.000Z</c:v>
                </c:pt>
                <c:pt idx="590">
                  <c:v>2026-02-01T19:15:00.000Z</c:v>
                </c:pt>
                <c:pt idx="591">
                  <c:v>2026-02-01T19:30:00.000Z</c:v>
                </c:pt>
                <c:pt idx="592">
                  <c:v>2026-02-01T19:45:00.000Z</c:v>
                </c:pt>
                <c:pt idx="593">
                  <c:v>2026-02-01T20:00:00.000Z</c:v>
                </c:pt>
                <c:pt idx="594">
                  <c:v>2026-02-01T20:15:00.000Z</c:v>
                </c:pt>
                <c:pt idx="595">
                  <c:v>2026-02-01T20:30:00.000Z</c:v>
                </c:pt>
                <c:pt idx="596">
                  <c:v>2026-02-01T20:45:00.000Z</c:v>
                </c:pt>
                <c:pt idx="597">
                  <c:v>2026-02-01T21:00:00.000Z</c:v>
                </c:pt>
                <c:pt idx="598">
                  <c:v>2026-02-01T21:15:00.000Z</c:v>
                </c:pt>
                <c:pt idx="599">
                  <c:v>2026-02-01T21:30:00.000Z</c:v>
                </c:pt>
                <c:pt idx="600">
                  <c:v>2026-02-01T21:45:00.000Z</c:v>
                </c:pt>
                <c:pt idx="601">
                  <c:v>2026-02-01T22:00:00.000Z</c:v>
                </c:pt>
                <c:pt idx="602">
                  <c:v>2026-02-01T22:15:00.000Z</c:v>
                </c:pt>
                <c:pt idx="603">
                  <c:v>2026-02-01T22:30:00.000Z</c:v>
                </c:pt>
                <c:pt idx="604">
                  <c:v>2026-02-01T22:45:00.000Z</c:v>
                </c:pt>
                <c:pt idx="605">
                  <c:v>2026-02-01T23:00:00.000Z</c:v>
                </c:pt>
                <c:pt idx="606">
                  <c:v>2026-02-01T23:15:00.000Z</c:v>
                </c:pt>
                <c:pt idx="607">
                  <c:v>2026-02-01T23:30:00.000Z</c:v>
                </c:pt>
                <c:pt idx="608">
                  <c:v>2026-02-01T23:45:00.000Z</c:v>
                </c:pt>
                <c:pt idx="609">
                  <c:v>2026-02-02T00:00:00.000Z</c:v>
                </c:pt>
                <c:pt idx="610">
                  <c:v>2026-02-02T00:15:00.000Z</c:v>
                </c:pt>
                <c:pt idx="611">
                  <c:v>2026-02-02T00:30:00.000Z</c:v>
                </c:pt>
                <c:pt idx="612">
                  <c:v>2026-02-02T00:45:00.000Z</c:v>
                </c:pt>
                <c:pt idx="613">
                  <c:v>2026-02-02T01:00:00.000Z</c:v>
                </c:pt>
                <c:pt idx="614">
                  <c:v>2026-02-02T01:15:00.000Z</c:v>
                </c:pt>
                <c:pt idx="615">
                  <c:v>2026-02-02T01:30:00.000Z</c:v>
                </c:pt>
                <c:pt idx="616">
                  <c:v>2026-02-02T01:45:00.000Z</c:v>
                </c:pt>
                <c:pt idx="617">
                  <c:v>2026-02-02T02:00:00.000Z</c:v>
                </c:pt>
                <c:pt idx="618">
                  <c:v>2026-02-02T02:15:00.000Z</c:v>
                </c:pt>
                <c:pt idx="619">
                  <c:v>2026-02-02T02:30:00.000Z</c:v>
                </c:pt>
                <c:pt idx="620">
                  <c:v>2026-02-02T02:45:00.000Z</c:v>
                </c:pt>
                <c:pt idx="621">
                  <c:v>2026-02-02T03:00:00.000Z</c:v>
                </c:pt>
                <c:pt idx="622">
                  <c:v>2026-02-02T03:15:00.000Z</c:v>
                </c:pt>
                <c:pt idx="623">
                  <c:v>2026-02-02T03:30:00.000Z</c:v>
                </c:pt>
                <c:pt idx="624">
                  <c:v>2026-02-02T03:45:00.000Z</c:v>
                </c:pt>
                <c:pt idx="625">
                  <c:v>2026-02-02T04:00:00.000Z</c:v>
                </c:pt>
                <c:pt idx="626">
                  <c:v>2026-02-02T04:15:00.000Z</c:v>
                </c:pt>
                <c:pt idx="627">
                  <c:v>2026-02-02T04:30:00.000Z</c:v>
                </c:pt>
                <c:pt idx="628">
                  <c:v>2026-02-02T04:45:00.000Z</c:v>
                </c:pt>
                <c:pt idx="629">
                  <c:v>2026-02-02T05:00:00.000Z</c:v>
                </c:pt>
                <c:pt idx="630">
                  <c:v>2026-02-02T05:15:00.000Z</c:v>
                </c:pt>
                <c:pt idx="631">
                  <c:v>2026-02-02T05:30:00.000Z</c:v>
                </c:pt>
                <c:pt idx="632">
                  <c:v>2026-02-02T05:45:00.000Z</c:v>
                </c:pt>
                <c:pt idx="633">
                  <c:v>2026-02-02T06:00:00.000Z</c:v>
                </c:pt>
                <c:pt idx="634">
                  <c:v>2026-02-02T06:15:00.000Z</c:v>
                </c:pt>
                <c:pt idx="635">
                  <c:v>2026-02-02T06:30:00.000Z</c:v>
                </c:pt>
                <c:pt idx="636">
                  <c:v>2026-02-02T06:45:00.000Z</c:v>
                </c:pt>
                <c:pt idx="637">
                  <c:v>2026-02-02T07:00:00.000Z</c:v>
                </c:pt>
                <c:pt idx="638">
                  <c:v>2026-02-02T07:15:00.000Z</c:v>
                </c:pt>
                <c:pt idx="639">
                  <c:v>2026-02-02T07:30:00.000Z</c:v>
                </c:pt>
                <c:pt idx="640">
                  <c:v>2026-02-02T07:45:00.000Z</c:v>
                </c:pt>
                <c:pt idx="641">
                  <c:v>2026-02-02T08:00:00.000Z</c:v>
                </c:pt>
                <c:pt idx="642">
                  <c:v>2026-02-02T08:15:00.000Z</c:v>
                </c:pt>
                <c:pt idx="643">
                  <c:v>2026-02-02T08:30:00.000Z</c:v>
                </c:pt>
                <c:pt idx="644">
                  <c:v>2026-02-02T08:45:00.000Z</c:v>
                </c:pt>
                <c:pt idx="645">
                  <c:v>2026-02-02T09:00:00.000Z</c:v>
                </c:pt>
                <c:pt idx="646">
                  <c:v>2026-02-02T09:15:00.000Z</c:v>
                </c:pt>
                <c:pt idx="647">
                  <c:v>2026-02-02T09:30:00.000Z</c:v>
                </c:pt>
                <c:pt idx="648">
                  <c:v>2026-02-02T09:45:00.000Z</c:v>
                </c:pt>
                <c:pt idx="649">
                  <c:v>2026-02-02T10:00:00.000Z</c:v>
                </c:pt>
                <c:pt idx="650">
                  <c:v>2026-02-02T10:15:00.000Z</c:v>
                </c:pt>
                <c:pt idx="651">
                  <c:v>2026-02-02T10:30:00.000Z</c:v>
                </c:pt>
                <c:pt idx="652">
                  <c:v>2026-02-02T10:45:00.000Z</c:v>
                </c:pt>
                <c:pt idx="653">
                  <c:v>2026-02-02T11:00:00.000Z</c:v>
                </c:pt>
                <c:pt idx="654">
                  <c:v>2026-02-02T11:15:00.000Z</c:v>
                </c:pt>
                <c:pt idx="655">
                  <c:v>2026-02-02T11:30:00.000Z</c:v>
                </c:pt>
                <c:pt idx="656">
                  <c:v>2026-02-02T11:45:00.000Z</c:v>
                </c:pt>
                <c:pt idx="657">
                  <c:v>2026-02-02T12:00:00.000Z</c:v>
                </c:pt>
                <c:pt idx="658">
                  <c:v>2026-02-02T12:15:00.000Z</c:v>
                </c:pt>
                <c:pt idx="659">
                  <c:v>2026-02-02T12:30:00.000Z</c:v>
                </c:pt>
                <c:pt idx="660">
                  <c:v>2026-02-02T12:45:00.000Z</c:v>
                </c:pt>
                <c:pt idx="661">
                  <c:v>2026-02-02T13:00:00.000Z</c:v>
                </c:pt>
                <c:pt idx="662">
                  <c:v>2026-02-02T13:15:00.000Z</c:v>
                </c:pt>
                <c:pt idx="663">
                  <c:v>2026-02-02T13:30:00.000Z</c:v>
                </c:pt>
                <c:pt idx="664">
                  <c:v>2026-02-02T13:45:00.000Z</c:v>
                </c:pt>
                <c:pt idx="665">
                  <c:v>2026-02-02T14:00:00.000Z</c:v>
                </c:pt>
                <c:pt idx="666">
                  <c:v>2026-02-02T14:15:00.000Z</c:v>
                </c:pt>
                <c:pt idx="667">
                  <c:v>2026-02-02T14:30:00.000Z</c:v>
                </c:pt>
                <c:pt idx="668">
                  <c:v>2026-02-02T14:45:00.000Z</c:v>
                </c:pt>
                <c:pt idx="669">
                  <c:v>2026-02-02T15:00:00.000Z</c:v>
                </c:pt>
                <c:pt idx="670">
                  <c:v>2026-02-02T15:15:00.000Z</c:v>
                </c:pt>
                <c:pt idx="671">
                  <c:v>2026-02-02T15:30:00.000Z</c:v>
                </c:pt>
                <c:pt idx="672">
                  <c:v>2026-02-02T15:45:00.000Z</c:v>
                </c:pt>
                <c:pt idx="673">
                  <c:v>2026-02-02T16:00:00.000Z</c:v>
                </c:pt>
                <c:pt idx="674">
                  <c:v>2026-02-02T16:15:00.000Z</c:v>
                </c:pt>
                <c:pt idx="675">
                  <c:v>2026-02-02T16:30:00.000Z</c:v>
                </c:pt>
                <c:pt idx="676">
                  <c:v>2026-02-02T16:45:00.000Z</c:v>
                </c:pt>
                <c:pt idx="677">
                  <c:v>2026-02-02T17:00:00.000Z</c:v>
                </c:pt>
                <c:pt idx="678">
                  <c:v>2026-02-02T17:15:00.000Z</c:v>
                </c:pt>
                <c:pt idx="679">
                  <c:v>2026-02-02T17:30:00.000Z</c:v>
                </c:pt>
                <c:pt idx="680">
                  <c:v>2026-02-02T17:45:00.000Z</c:v>
                </c:pt>
                <c:pt idx="681">
                  <c:v>2026-02-02T18:00:00.000Z</c:v>
                </c:pt>
                <c:pt idx="682">
                  <c:v>2026-02-02T18:15:00.000Z</c:v>
                </c:pt>
                <c:pt idx="683">
                  <c:v>2026-02-02T18:30:00.000Z</c:v>
                </c:pt>
                <c:pt idx="684">
                  <c:v>2026-02-02T18:45:00.000Z</c:v>
                </c:pt>
                <c:pt idx="685">
                  <c:v>2026-02-02T19:00:00.000Z</c:v>
                </c:pt>
                <c:pt idx="686">
                  <c:v>2026-02-02T19:15:00.000Z</c:v>
                </c:pt>
                <c:pt idx="687">
                  <c:v>2026-02-02T19:30:00.000Z</c:v>
                </c:pt>
                <c:pt idx="688">
                  <c:v>2026-02-02T19:45:00.000Z</c:v>
                </c:pt>
                <c:pt idx="689">
                  <c:v>2026-02-02T20:00:00.000Z</c:v>
                </c:pt>
                <c:pt idx="690">
                  <c:v>2026-02-02T20:15:00.000Z</c:v>
                </c:pt>
                <c:pt idx="691">
                  <c:v>2026-02-02T20:30:00.000Z</c:v>
                </c:pt>
                <c:pt idx="692">
                  <c:v>2026-02-02T20:45:00.000Z</c:v>
                </c:pt>
                <c:pt idx="693">
                  <c:v>2026-02-02T21:00:00.000Z</c:v>
                </c:pt>
                <c:pt idx="694">
                  <c:v>2026-02-02T21:15:00.000Z</c:v>
                </c:pt>
                <c:pt idx="695">
                  <c:v>2026-02-02T21:30:00.000Z</c:v>
                </c:pt>
                <c:pt idx="696">
                  <c:v>2026-02-02T21:45:00.000Z</c:v>
                </c:pt>
                <c:pt idx="697">
                  <c:v>2026-02-02T22:00:00.000Z</c:v>
                </c:pt>
                <c:pt idx="698">
                  <c:v>2026-02-02T22:15:00.000Z</c:v>
                </c:pt>
                <c:pt idx="699">
                  <c:v>2026-02-02T22:30:00.000Z</c:v>
                </c:pt>
                <c:pt idx="700">
                  <c:v>2026-02-02T22:45:00.000Z</c:v>
                </c:pt>
                <c:pt idx="701">
                  <c:v>2026-02-02T23:00:00.000Z</c:v>
                </c:pt>
                <c:pt idx="702">
                  <c:v>2026-02-02T23:15:00.000Z</c:v>
                </c:pt>
                <c:pt idx="703">
                  <c:v>2026-02-02T23:30:00.000Z</c:v>
                </c:pt>
                <c:pt idx="704">
                  <c:v>2026-02-02T23:45:00.000Z</c:v>
                </c:pt>
                <c:pt idx="705">
                  <c:v>2026-02-03T00:00:00.000Z</c:v>
                </c:pt>
                <c:pt idx="706">
                  <c:v>2026-02-03T00:15:00.000Z</c:v>
                </c:pt>
                <c:pt idx="707">
                  <c:v>2026-02-03T00:30:00.000Z</c:v>
                </c:pt>
                <c:pt idx="708">
                  <c:v>2026-02-03T00:45:00.000Z</c:v>
                </c:pt>
                <c:pt idx="709">
                  <c:v>2026-02-03T01:00:00.000Z</c:v>
                </c:pt>
                <c:pt idx="710">
                  <c:v>2026-02-03T01:15:00.000Z</c:v>
                </c:pt>
                <c:pt idx="711">
                  <c:v>2026-02-03T01:30:00.000Z</c:v>
                </c:pt>
                <c:pt idx="712">
                  <c:v>2026-02-03T01:45:00.000Z</c:v>
                </c:pt>
                <c:pt idx="713">
                  <c:v>2026-02-03T02:00:00.000Z</c:v>
                </c:pt>
                <c:pt idx="714">
                  <c:v>2026-02-03T02:15:00.000Z</c:v>
                </c:pt>
                <c:pt idx="715">
                  <c:v>2026-02-03T02:30:00.000Z</c:v>
                </c:pt>
                <c:pt idx="716">
                  <c:v>2026-02-03T02:45:00.000Z</c:v>
                </c:pt>
                <c:pt idx="717">
                  <c:v>2026-02-03T03:00:00.000Z</c:v>
                </c:pt>
                <c:pt idx="718">
                  <c:v>2026-02-03T03:15:00.000Z</c:v>
                </c:pt>
                <c:pt idx="719">
                  <c:v>2026-02-03T03:30:00.000Z</c:v>
                </c:pt>
                <c:pt idx="720">
                  <c:v>2026-02-03T03:45:00.000Z</c:v>
                </c:pt>
                <c:pt idx="721">
                  <c:v>2026-02-03T04:00:00.000Z</c:v>
                </c:pt>
                <c:pt idx="722">
                  <c:v>2026-02-03T04:15:00.000Z</c:v>
                </c:pt>
                <c:pt idx="723">
                  <c:v>2026-02-03T04:30:00.000Z</c:v>
                </c:pt>
                <c:pt idx="724">
                  <c:v>2026-02-03T04:45:00.000Z</c:v>
                </c:pt>
                <c:pt idx="725">
                  <c:v>2026-02-03T05:00:00.000Z</c:v>
                </c:pt>
                <c:pt idx="726">
                  <c:v>2026-02-03T05:15:00.000Z</c:v>
                </c:pt>
                <c:pt idx="727">
                  <c:v>2026-02-03T05:30:00.000Z</c:v>
                </c:pt>
                <c:pt idx="728">
                  <c:v>2026-02-03T05:45:00.000Z</c:v>
                </c:pt>
                <c:pt idx="729">
                  <c:v>2026-02-03T06:00:00.000Z</c:v>
                </c:pt>
                <c:pt idx="730">
                  <c:v>2026-02-03T06:15:00.000Z</c:v>
                </c:pt>
                <c:pt idx="731">
                  <c:v>2026-02-03T06:30:00.000Z</c:v>
                </c:pt>
                <c:pt idx="732">
                  <c:v>2026-02-03T06:45:00.000Z</c:v>
                </c:pt>
                <c:pt idx="733">
                  <c:v>2026-02-03T07:00:00.000Z</c:v>
                </c:pt>
                <c:pt idx="734">
                  <c:v>2026-02-03T07:15:00.000Z</c:v>
                </c:pt>
                <c:pt idx="735">
                  <c:v>2026-02-03T07:30:00.000Z</c:v>
                </c:pt>
                <c:pt idx="736">
                  <c:v>2026-02-03T07:45:00.000Z</c:v>
                </c:pt>
                <c:pt idx="737">
                  <c:v>2026-02-03T08:00:00.000Z</c:v>
                </c:pt>
                <c:pt idx="738">
                  <c:v>2026-02-03T08:15:00.000Z</c:v>
                </c:pt>
                <c:pt idx="739">
                  <c:v>2026-02-03T08:30:00.000Z</c:v>
                </c:pt>
                <c:pt idx="740">
                  <c:v>2026-02-03T08:45:00.000Z</c:v>
                </c:pt>
                <c:pt idx="741">
                  <c:v>2026-02-03T09:00:00.000Z</c:v>
                </c:pt>
                <c:pt idx="742">
                  <c:v>2026-02-03T09:15:00.000Z</c:v>
                </c:pt>
                <c:pt idx="743">
                  <c:v>2026-02-03T09:30:00.000Z</c:v>
                </c:pt>
                <c:pt idx="744">
                  <c:v>2026-02-03T09:45:00.000Z</c:v>
                </c:pt>
                <c:pt idx="745">
                  <c:v>2026-02-03T10:00:00.000Z</c:v>
                </c:pt>
                <c:pt idx="746">
                  <c:v>2026-02-03T10:15:00.000Z</c:v>
                </c:pt>
                <c:pt idx="747">
                  <c:v>2026-02-03T10:30:00.000Z</c:v>
                </c:pt>
                <c:pt idx="748">
                  <c:v>2026-02-03T10:45:00.000Z</c:v>
                </c:pt>
                <c:pt idx="749">
                  <c:v>2026-02-03T11:00:00.000Z</c:v>
                </c:pt>
                <c:pt idx="750">
                  <c:v>2026-02-03T11:15:00.000Z</c:v>
                </c:pt>
                <c:pt idx="751">
                  <c:v>2026-02-03T11:30:00.000Z</c:v>
                </c:pt>
                <c:pt idx="752">
                  <c:v>2026-02-03T11:45:00.000Z</c:v>
                </c:pt>
                <c:pt idx="753">
                  <c:v>2026-02-03T12:00:00.000Z</c:v>
                </c:pt>
                <c:pt idx="754">
                  <c:v>2026-02-03T12:15:00.000Z</c:v>
                </c:pt>
                <c:pt idx="755">
                  <c:v>2026-02-03T12:30:00.000Z</c:v>
                </c:pt>
                <c:pt idx="756">
                  <c:v>2026-02-03T12:45:00.000Z</c:v>
                </c:pt>
                <c:pt idx="757">
                  <c:v>2026-02-03T13:00:00.000Z</c:v>
                </c:pt>
                <c:pt idx="758">
                  <c:v>2026-02-03T13:15:00.000Z</c:v>
                </c:pt>
                <c:pt idx="759">
                  <c:v>2026-02-03T13:30:00.000Z</c:v>
                </c:pt>
                <c:pt idx="760">
                  <c:v>2026-02-03T13:45:00.000Z</c:v>
                </c:pt>
                <c:pt idx="761">
                  <c:v>2026-02-03T14:00:00.000Z</c:v>
                </c:pt>
                <c:pt idx="762">
                  <c:v>2026-02-03T14:15:00.000Z</c:v>
                </c:pt>
                <c:pt idx="763">
                  <c:v>2026-02-03T14:30:00.000Z</c:v>
                </c:pt>
                <c:pt idx="764">
                  <c:v>2026-02-03T14:45:00.000Z</c:v>
                </c:pt>
                <c:pt idx="765">
                  <c:v>2026-02-03T15:00:00.000Z</c:v>
                </c:pt>
                <c:pt idx="766">
                  <c:v>2026-02-03T15:15:00.000Z</c:v>
                </c:pt>
                <c:pt idx="767">
                  <c:v>2026-02-03T15:30:00.000Z</c:v>
                </c:pt>
                <c:pt idx="768">
                  <c:v>2026-02-03T15:45:00.000Z</c:v>
                </c:pt>
                <c:pt idx="769">
                  <c:v>2026-02-03T16:00:00.000Z</c:v>
                </c:pt>
                <c:pt idx="770">
                  <c:v>2026-02-03T16:15:00.000Z</c:v>
                </c:pt>
                <c:pt idx="771">
                  <c:v>2026-02-03T16:30:00.000Z</c:v>
                </c:pt>
                <c:pt idx="772">
                  <c:v>2026-02-03T16:45:00.000Z</c:v>
                </c:pt>
                <c:pt idx="773">
                  <c:v>2026-02-03T17:00:00.000Z</c:v>
                </c:pt>
                <c:pt idx="774">
                  <c:v>2026-02-03T17:15:00.000Z</c:v>
                </c:pt>
                <c:pt idx="775">
                  <c:v>2026-02-03T17:30:00.000Z</c:v>
                </c:pt>
                <c:pt idx="776">
                  <c:v>2026-02-03T17:45:00.000Z</c:v>
                </c:pt>
                <c:pt idx="777">
                  <c:v>2026-02-03T18:00:00.000Z</c:v>
                </c:pt>
                <c:pt idx="778">
                  <c:v>2026-02-03T18:15:00.000Z</c:v>
                </c:pt>
                <c:pt idx="779">
                  <c:v>2026-02-03T18:30:00.000Z</c:v>
                </c:pt>
                <c:pt idx="780">
                  <c:v>2026-02-03T18:45:00.000Z</c:v>
                </c:pt>
                <c:pt idx="781">
                  <c:v>2026-02-03T19:00:00.000Z</c:v>
                </c:pt>
                <c:pt idx="782">
                  <c:v>2026-02-03T19:15:00.000Z</c:v>
                </c:pt>
                <c:pt idx="783">
                  <c:v>2026-02-03T19:30:00.000Z</c:v>
                </c:pt>
                <c:pt idx="784">
                  <c:v>2026-02-03T19:45:00.000Z</c:v>
                </c:pt>
                <c:pt idx="785">
                  <c:v>2026-02-03T20:00:00.000Z</c:v>
                </c:pt>
                <c:pt idx="786">
                  <c:v>2026-02-03T20:15:00.000Z</c:v>
                </c:pt>
                <c:pt idx="787">
                  <c:v>2026-02-03T20:30:00.000Z</c:v>
                </c:pt>
                <c:pt idx="788">
                  <c:v>2026-02-03T20:45:00.000Z</c:v>
                </c:pt>
                <c:pt idx="789">
                  <c:v>2026-02-03T21:00:00.000Z</c:v>
                </c:pt>
                <c:pt idx="790">
                  <c:v>2026-02-03T21:15:00.000Z</c:v>
                </c:pt>
                <c:pt idx="791">
                  <c:v>2026-02-03T21:30:00.000Z</c:v>
                </c:pt>
                <c:pt idx="792">
                  <c:v>2026-02-03T21:45:00.000Z</c:v>
                </c:pt>
                <c:pt idx="793">
                  <c:v>2026-02-03T22:00:00.000Z</c:v>
                </c:pt>
                <c:pt idx="794">
                  <c:v>2026-02-03T22:15:00.000Z</c:v>
                </c:pt>
                <c:pt idx="795">
                  <c:v>2026-02-03T22:30:00.000Z</c:v>
                </c:pt>
                <c:pt idx="796">
                  <c:v>2026-02-03T22:45:00.000Z</c:v>
                </c:pt>
                <c:pt idx="797">
                  <c:v>2026-02-03T23:00:00.000Z</c:v>
                </c:pt>
                <c:pt idx="798">
                  <c:v>2026-02-03T23:15:00.000Z</c:v>
                </c:pt>
                <c:pt idx="799">
                  <c:v>2026-02-03T23:30:00.000Z</c:v>
                </c:pt>
                <c:pt idx="800">
                  <c:v>2026-02-03T23:45:00.000Z</c:v>
                </c:pt>
                <c:pt idx="801">
                  <c:v>2026-02-04T00:00:00.000Z</c:v>
                </c:pt>
                <c:pt idx="802">
                  <c:v>2026-02-04T00:15:00.000Z</c:v>
                </c:pt>
                <c:pt idx="803">
                  <c:v>2026-02-04T00:30:00.000Z</c:v>
                </c:pt>
                <c:pt idx="804">
                  <c:v>2026-02-04T00:45:00.000Z</c:v>
                </c:pt>
                <c:pt idx="805">
                  <c:v>2026-02-04T01:00:00.000Z</c:v>
                </c:pt>
                <c:pt idx="806">
                  <c:v>2026-02-04T01:15:00.000Z</c:v>
                </c:pt>
                <c:pt idx="807">
                  <c:v>2026-02-04T01:30:00.000Z</c:v>
                </c:pt>
                <c:pt idx="808">
                  <c:v>2026-02-04T01:45:00.000Z</c:v>
                </c:pt>
                <c:pt idx="809">
                  <c:v>2026-02-04T02:00:00.000Z</c:v>
                </c:pt>
                <c:pt idx="810">
                  <c:v>2026-02-04T02:15:00.000Z</c:v>
                </c:pt>
                <c:pt idx="811">
                  <c:v>2026-02-04T02:30:00.000Z</c:v>
                </c:pt>
                <c:pt idx="812">
                  <c:v>2026-02-04T02:45:00.000Z</c:v>
                </c:pt>
                <c:pt idx="813">
                  <c:v>2026-02-04T03:00:00.000Z</c:v>
                </c:pt>
                <c:pt idx="814">
                  <c:v>2026-02-04T03:15:00.000Z</c:v>
                </c:pt>
                <c:pt idx="815">
                  <c:v>2026-02-04T03:30:00.000Z</c:v>
                </c:pt>
                <c:pt idx="816">
                  <c:v>2026-02-04T03:45:00.000Z</c:v>
                </c:pt>
                <c:pt idx="817">
                  <c:v>2026-02-04T04:00:00.000Z</c:v>
                </c:pt>
                <c:pt idx="818">
                  <c:v>2026-02-04T04:15:00.000Z</c:v>
                </c:pt>
                <c:pt idx="819">
                  <c:v>2026-02-04T04:30:00.000Z</c:v>
                </c:pt>
                <c:pt idx="820">
                  <c:v>2026-02-04T04:45:00.000Z</c:v>
                </c:pt>
                <c:pt idx="821">
                  <c:v>2026-02-04T05:00:00.000Z</c:v>
                </c:pt>
                <c:pt idx="822">
                  <c:v>2026-02-04T05:15:00.000Z</c:v>
                </c:pt>
                <c:pt idx="823">
                  <c:v>2026-02-04T05:30:00.000Z</c:v>
                </c:pt>
                <c:pt idx="824">
                  <c:v>2026-02-04T05:45:00.000Z</c:v>
                </c:pt>
                <c:pt idx="825">
                  <c:v>2026-02-04T06:00:00.000Z</c:v>
                </c:pt>
                <c:pt idx="826">
                  <c:v>2026-02-04T06:15:00.000Z</c:v>
                </c:pt>
                <c:pt idx="827">
                  <c:v>2026-02-04T06:30:00.000Z</c:v>
                </c:pt>
                <c:pt idx="828">
                  <c:v>2026-02-04T06:45:00.000Z</c:v>
                </c:pt>
                <c:pt idx="829">
                  <c:v>2026-02-04T07:00:00.000Z</c:v>
                </c:pt>
                <c:pt idx="830">
                  <c:v>2026-02-04T07:15:00.000Z</c:v>
                </c:pt>
                <c:pt idx="831">
                  <c:v>2026-02-04T07:30:00.000Z</c:v>
                </c:pt>
                <c:pt idx="832">
                  <c:v>2026-02-04T07:45:00.000Z</c:v>
                </c:pt>
                <c:pt idx="833">
                  <c:v>2026-02-04T08:00:00.000Z</c:v>
                </c:pt>
                <c:pt idx="834">
                  <c:v>2026-02-04T08:15:00.000Z</c:v>
                </c:pt>
                <c:pt idx="835">
                  <c:v>2026-02-04T08:30:00.000Z</c:v>
                </c:pt>
                <c:pt idx="836">
                  <c:v>2026-02-04T08:45:00.000Z</c:v>
                </c:pt>
                <c:pt idx="837">
                  <c:v>2026-02-04T09:00:00.000Z</c:v>
                </c:pt>
                <c:pt idx="838">
                  <c:v>2026-02-04T09:15:00.000Z</c:v>
                </c:pt>
                <c:pt idx="839">
                  <c:v>2026-02-04T09:30:00.000Z</c:v>
                </c:pt>
                <c:pt idx="840">
                  <c:v>2026-02-04T09:45:00.000Z</c:v>
                </c:pt>
                <c:pt idx="841">
                  <c:v>2026-02-04T10:00:00.000Z</c:v>
                </c:pt>
                <c:pt idx="842">
                  <c:v>2026-02-04T10:15:00.000Z</c:v>
                </c:pt>
                <c:pt idx="843">
                  <c:v>2026-02-04T10:30:00.000Z</c:v>
                </c:pt>
                <c:pt idx="844">
                  <c:v>2026-02-04T10:45:00.000Z</c:v>
                </c:pt>
                <c:pt idx="845">
                  <c:v>2026-02-04T11:00:00.000Z</c:v>
                </c:pt>
                <c:pt idx="846">
                  <c:v>2026-02-04T11:15:00.000Z</c:v>
                </c:pt>
                <c:pt idx="847">
                  <c:v>2026-02-04T11:30:00.000Z</c:v>
                </c:pt>
                <c:pt idx="848">
                  <c:v>2026-02-04T11:45:00.000Z</c:v>
                </c:pt>
                <c:pt idx="849">
                  <c:v>2026-02-04T12:00:00.000Z</c:v>
                </c:pt>
                <c:pt idx="850">
                  <c:v>2026-02-04T12:15:00.000Z</c:v>
                </c:pt>
                <c:pt idx="851">
                  <c:v>2026-02-04T12:30:00.000Z</c:v>
                </c:pt>
                <c:pt idx="852">
                  <c:v>2026-02-04T12:45:00.000Z</c:v>
                </c:pt>
                <c:pt idx="853">
                  <c:v>2026-02-04T13:00:00.000Z</c:v>
                </c:pt>
                <c:pt idx="854">
                  <c:v>2026-02-04T13:15:00.000Z</c:v>
                </c:pt>
                <c:pt idx="855">
                  <c:v>2026-02-04T13:30:00.000Z</c:v>
                </c:pt>
                <c:pt idx="856">
                  <c:v>2026-02-04T13:45:00.000Z</c:v>
                </c:pt>
                <c:pt idx="857">
                  <c:v>2026-02-04T14:00:00.000Z</c:v>
                </c:pt>
                <c:pt idx="858">
                  <c:v>2026-02-04T14:15:00.000Z</c:v>
                </c:pt>
                <c:pt idx="859">
                  <c:v>2026-02-04T14:30:00.000Z</c:v>
                </c:pt>
                <c:pt idx="860">
                  <c:v>2026-02-04T14:45:00.000Z</c:v>
                </c:pt>
                <c:pt idx="861">
                  <c:v>2026-02-04T15:00:00.000Z</c:v>
                </c:pt>
                <c:pt idx="862">
                  <c:v>2026-02-04T15:15:00.000Z</c:v>
                </c:pt>
                <c:pt idx="863">
                  <c:v>2026-02-04T15:30:00.000Z</c:v>
                </c:pt>
                <c:pt idx="864">
                  <c:v>2026-02-04T15:45:00.000Z</c:v>
                </c:pt>
                <c:pt idx="865">
                  <c:v>2026-02-04T16:00:00.000Z</c:v>
                </c:pt>
                <c:pt idx="866">
                  <c:v>2026-02-04T16:15:00.000Z</c:v>
                </c:pt>
                <c:pt idx="867">
                  <c:v>2026-02-04T16:30:00.000Z</c:v>
                </c:pt>
                <c:pt idx="868">
                  <c:v>2026-02-04T16:45:00.000Z</c:v>
                </c:pt>
                <c:pt idx="869">
                  <c:v>2026-02-04T17:00:00.000Z</c:v>
                </c:pt>
                <c:pt idx="870">
                  <c:v>2026-02-04T17:15:00.000Z</c:v>
                </c:pt>
                <c:pt idx="871">
                  <c:v>2026-02-04T17:30:00.000Z</c:v>
                </c:pt>
                <c:pt idx="872">
                  <c:v>2026-02-04T17:45:00.000Z</c:v>
                </c:pt>
                <c:pt idx="873">
                  <c:v>2026-02-04T18:00:00.000Z</c:v>
                </c:pt>
                <c:pt idx="874">
                  <c:v>2026-02-04T18:15:00.000Z</c:v>
                </c:pt>
                <c:pt idx="875">
                  <c:v>2026-02-04T18:30:00.000Z</c:v>
                </c:pt>
                <c:pt idx="876">
                  <c:v>2026-02-04T18:45:00.000Z</c:v>
                </c:pt>
                <c:pt idx="877">
                  <c:v>2026-02-04T19:00:00.000Z</c:v>
                </c:pt>
                <c:pt idx="878">
                  <c:v>2026-02-04T19:15:00.000Z</c:v>
                </c:pt>
                <c:pt idx="879">
                  <c:v>2026-02-04T19:30:00.000Z</c:v>
                </c:pt>
                <c:pt idx="880">
                  <c:v>2026-02-04T19:45:00.000Z</c:v>
                </c:pt>
                <c:pt idx="881">
                  <c:v>2026-02-04T20:00:00.000Z</c:v>
                </c:pt>
                <c:pt idx="882">
                  <c:v>2026-02-04T20:15:00.000Z</c:v>
                </c:pt>
                <c:pt idx="883">
                  <c:v>2026-02-04T20:30:00.000Z</c:v>
                </c:pt>
                <c:pt idx="884">
                  <c:v>2026-02-04T20:45:00.000Z</c:v>
                </c:pt>
                <c:pt idx="885">
                  <c:v>2026-02-04T21:00:00.000Z</c:v>
                </c:pt>
                <c:pt idx="886">
                  <c:v>2026-02-04T21:15:00.000Z</c:v>
                </c:pt>
                <c:pt idx="887">
                  <c:v>2026-02-04T21:30:00.000Z</c:v>
                </c:pt>
                <c:pt idx="888">
                  <c:v>2026-02-04T21:45:00.000Z</c:v>
                </c:pt>
                <c:pt idx="889">
                  <c:v>2026-02-04T22:00:00.000Z</c:v>
                </c:pt>
                <c:pt idx="890">
                  <c:v>2026-02-04T22:15:00.000Z</c:v>
                </c:pt>
                <c:pt idx="891">
                  <c:v>2026-02-04T22:30:00.000Z</c:v>
                </c:pt>
                <c:pt idx="892">
                  <c:v>2026-02-04T22:45:00.000Z</c:v>
                </c:pt>
                <c:pt idx="893">
                  <c:v>2026-02-04T23:00:00.000Z</c:v>
                </c:pt>
                <c:pt idx="894">
                  <c:v>2026-02-04T23:15:00.000Z</c:v>
                </c:pt>
                <c:pt idx="895">
                  <c:v>2026-02-04T23:30:00.000Z</c:v>
                </c:pt>
                <c:pt idx="896">
                  <c:v>2026-02-04T23:45:00.000Z</c:v>
                </c:pt>
                <c:pt idx="897">
                  <c:v>2026-02-05T00:00:00.000Z</c:v>
                </c:pt>
                <c:pt idx="898">
                  <c:v>2026-02-05T00:15:00.000Z</c:v>
                </c:pt>
                <c:pt idx="899">
                  <c:v>2026-02-05T00:30:00.000Z</c:v>
                </c:pt>
                <c:pt idx="900">
                  <c:v>2026-02-05T00:45:00.000Z</c:v>
                </c:pt>
                <c:pt idx="901">
                  <c:v>2026-02-05T01:00:00.000Z</c:v>
                </c:pt>
                <c:pt idx="902">
                  <c:v>2026-02-05T01:15:00.000Z</c:v>
                </c:pt>
                <c:pt idx="903">
                  <c:v>2026-02-05T01:30:00.000Z</c:v>
                </c:pt>
                <c:pt idx="904">
                  <c:v>2026-02-05T01:45:00.000Z</c:v>
                </c:pt>
                <c:pt idx="905">
                  <c:v>2026-02-05T02:00:00.000Z</c:v>
                </c:pt>
                <c:pt idx="906">
                  <c:v>2026-02-05T02:15:00.000Z</c:v>
                </c:pt>
                <c:pt idx="907">
                  <c:v>2026-02-05T02:30:00.000Z</c:v>
                </c:pt>
                <c:pt idx="908">
                  <c:v>2026-02-05T02:45:00.000Z</c:v>
                </c:pt>
                <c:pt idx="909">
                  <c:v>2026-02-05T03:00:00.000Z</c:v>
                </c:pt>
                <c:pt idx="910">
                  <c:v>2026-02-05T03:15:00.000Z</c:v>
                </c:pt>
                <c:pt idx="911">
                  <c:v>2026-02-05T03:30:00.000Z</c:v>
                </c:pt>
                <c:pt idx="912">
                  <c:v>2026-02-05T03:45:00.000Z</c:v>
                </c:pt>
                <c:pt idx="913">
                  <c:v>2026-02-05T04:00:00.000Z</c:v>
                </c:pt>
                <c:pt idx="914">
                  <c:v>2026-02-05T04:15:00.000Z</c:v>
                </c:pt>
                <c:pt idx="915">
                  <c:v>2026-02-05T04:30:00.000Z</c:v>
                </c:pt>
                <c:pt idx="916">
                  <c:v>2026-02-05T04:45:00.000Z</c:v>
                </c:pt>
                <c:pt idx="917">
                  <c:v>2026-02-05T05:00:00.000Z</c:v>
                </c:pt>
                <c:pt idx="918">
                  <c:v>2026-02-05T05:15:00.000Z</c:v>
                </c:pt>
                <c:pt idx="919">
                  <c:v>2026-02-05T05:30:00.000Z</c:v>
                </c:pt>
                <c:pt idx="920">
                  <c:v>2026-02-05T05:45:00.000Z</c:v>
                </c:pt>
                <c:pt idx="921">
                  <c:v>2026-02-05T06:00:00.000Z</c:v>
                </c:pt>
                <c:pt idx="922">
                  <c:v>2026-02-05T06:15:00.000Z</c:v>
                </c:pt>
                <c:pt idx="923">
                  <c:v>2026-02-05T06:30:00.000Z</c:v>
                </c:pt>
                <c:pt idx="924">
                  <c:v>2026-02-05T06:45:00.000Z</c:v>
                </c:pt>
                <c:pt idx="925">
                  <c:v>2026-02-05T07:00:00.000Z</c:v>
                </c:pt>
                <c:pt idx="926">
                  <c:v>2026-02-05T07:15:00.000Z</c:v>
                </c:pt>
                <c:pt idx="927">
                  <c:v>2026-02-05T07:30:00.000Z</c:v>
                </c:pt>
                <c:pt idx="928">
                  <c:v>2026-02-05T07:45:00.000Z</c:v>
                </c:pt>
                <c:pt idx="929">
                  <c:v>2026-02-05T08:00:00.000Z</c:v>
                </c:pt>
                <c:pt idx="930">
                  <c:v>2026-02-05T08:15:00.000Z</c:v>
                </c:pt>
                <c:pt idx="931">
                  <c:v>2026-02-05T08:30:00.000Z</c:v>
                </c:pt>
                <c:pt idx="932">
                  <c:v>2026-02-05T08:45:00.000Z</c:v>
                </c:pt>
                <c:pt idx="933">
                  <c:v>2026-02-05T09:00:00.000Z</c:v>
                </c:pt>
                <c:pt idx="934">
                  <c:v>2026-02-05T09:15:00.000Z</c:v>
                </c:pt>
                <c:pt idx="935">
                  <c:v>2026-02-05T09:30:00.000Z</c:v>
                </c:pt>
                <c:pt idx="936">
                  <c:v>2026-02-05T09:45:00.000Z</c:v>
                </c:pt>
                <c:pt idx="937">
                  <c:v>2026-02-05T10:00:00.000Z</c:v>
                </c:pt>
                <c:pt idx="938">
                  <c:v>2026-02-05T10:15:00.000Z</c:v>
                </c:pt>
                <c:pt idx="939">
                  <c:v>2026-02-05T10:30:00.000Z</c:v>
                </c:pt>
                <c:pt idx="940">
                  <c:v>2026-02-05T10:45:00.000Z</c:v>
                </c:pt>
                <c:pt idx="941">
                  <c:v>2026-02-05T11:00:00.000Z</c:v>
                </c:pt>
                <c:pt idx="942">
                  <c:v>2026-02-05T11:15:00.000Z</c:v>
                </c:pt>
                <c:pt idx="943">
                  <c:v>2026-02-05T11:30:00.000Z</c:v>
                </c:pt>
                <c:pt idx="944">
                  <c:v>2026-02-05T11:45:00.000Z</c:v>
                </c:pt>
                <c:pt idx="945">
                  <c:v>2026-02-05T12:00:00.000Z</c:v>
                </c:pt>
                <c:pt idx="946">
                  <c:v>2026-02-05T12:15:00.000Z</c:v>
                </c:pt>
                <c:pt idx="947">
                  <c:v>2026-02-05T12:30:00.000Z</c:v>
                </c:pt>
                <c:pt idx="948">
                  <c:v>2026-02-05T12:45:00.000Z</c:v>
                </c:pt>
                <c:pt idx="949">
                  <c:v>2026-02-05T13:00:00.000Z</c:v>
                </c:pt>
                <c:pt idx="950">
                  <c:v>2026-02-05T13:15:00.000Z</c:v>
                </c:pt>
                <c:pt idx="951">
                  <c:v>2026-02-05T13:30:00.000Z</c:v>
                </c:pt>
                <c:pt idx="952">
                  <c:v>2026-02-05T13:45:00.000Z</c:v>
                </c:pt>
                <c:pt idx="953">
                  <c:v>2026-02-05T14:00:00.000Z</c:v>
                </c:pt>
                <c:pt idx="954">
                  <c:v>2026-02-05T14:15:00.000Z</c:v>
                </c:pt>
                <c:pt idx="955">
                  <c:v>2026-02-05T14:30:00.000Z</c:v>
                </c:pt>
                <c:pt idx="956">
                  <c:v>2026-02-05T14:45:00.000Z</c:v>
                </c:pt>
                <c:pt idx="957">
                  <c:v>2026-02-05T15:00:00.000Z</c:v>
                </c:pt>
                <c:pt idx="958">
                  <c:v>2026-02-05T15:15:00.000Z</c:v>
                </c:pt>
                <c:pt idx="959">
                  <c:v>2026-02-05T15:30:00.000Z</c:v>
                </c:pt>
                <c:pt idx="960">
                  <c:v>2026-02-05T15:45:00.000Z</c:v>
                </c:pt>
                <c:pt idx="961">
                  <c:v>2026-02-05T16:00:00.000Z</c:v>
                </c:pt>
                <c:pt idx="962">
                  <c:v>2026-02-05T16:15:00.000Z</c:v>
                </c:pt>
                <c:pt idx="963">
                  <c:v>2026-02-05T16:30:00.000Z</c:v>
                </c:pt>
                <c:pt idx="964">
                  <c:v>2026-02-05T16:45:00.000Z</c:v>
                </c:pt>
                <c:pt idx="965">
                  <c:v>2026-02-05T17:00:00.000Z</c:v>
                </c:pt>
                <c:pt idx="966">
                  <c:v>2026-02-05T17:15:00.000Z</c:v>
                </c:pt>
                <c:pt idx="967">
                  <c:v>2026-02-05T17:30:00.000Z</c:v>
                </c:pt>
                <c:pt idx="968">
                  <c:v>2026-02-05T17:45:00.000Z</c:v>
                </c:pt>
                <c:pt idx="969">
                  <c:v>2026-02-05T18:00:00.000Z</c:v>
                </c:pt>
                <c:pt idx="970">
                  <c:v>2026-02-05T18:15:00.000Z</c:v>
                </c:pt>
                <c:pt idx="971">
                  <c:v>2026-02-05T18:30:00.000Z</c:v>
                </c:pt>
                <c:pt idx="972">
                  <c:v>2026-02-05T18:45:00.000Z</c:v>
                </c:pt>
                <c:pt idx="973">
                  <c:v>2026-02-05T19:00:00.000Z</c:v>
                </c:pt>
                <c:pt idx="974">
                  <c:v>2026-02-05T19:15:00.000Z</c:v>
                </c:pt>
                <c:pt idx="975">
                  <c:v>2026-02-05T19:30:00.000Z</c:v>
                </c:pt>
                <c:pt idx="976">
                  <c:v>2026-02-05T19:45:00.000Z</c:v>
                </c:pt>
                <c:pt idx="977">
                  <c:v>2026-02-05T20:00:00.000Z</c:v>
                </c:pt>
                <c:pt idx="978">
                  <c:v>2026-02-05T20:15:00.000Z</c:v>
                </c:pt>
                <c:pt idx="979">
                  <c:v>2026-02-05T20:30:00.000Z</c:v>
                </c:pt>
                <c:pt idx="980">
                  <c:v>2026-02-05T20:45:00.000Z</c:v>
                </c:pt>
                <c:pt idx="981">
                  <c:v>2026-02-05T21:00:00.000Z</c:v>
                </c:pt>
                <c:pt idx="982">
                  <c:v>2026-02-05T21:15:00.000Z</c:v>
                </c:pt>
                <c:pt idx="983">
                  <c:v>2026-02-05T21:30:00.000Z</c:v>
                </c:pt>
                <c:pt idx="984">
                  <c:v>2026-02-05T21:45:00.000Z</c:v>
                </c:pt>
                <c:pt idx="985">
                  <c:v>2026-02-05T22:00:00.000Z</c:v>
                </c:pt>
                <c:pt idx="986">
                  <c:v>2026-02-05T22:15:00.000Z</c:v>
                </c:pt>
                <c:pt idx="987">
                  <c:v>2026-02-05T22:30:00.000Z</c:v>
                </c:pt>
                <c:pt idx="988">
                  <c:v>2026-02-05T22:45:00.000Z</c:v>
                </c:pt>
                <c:pt idx="989">
                  <c:v>2026-02-05T23:00:00.000Z</c:v>
                </c:pt>
                <c:pt idx="990">
                  <c:v>2026-02-05T23:15:00.000Z</c:v>
                </c:pt>
                <c:pt idx="991">
                  <c:v>2026-02-05T23:30:00.000Z</c:v>
                </c:pt>
                <c:pt idx="992">
                  <c:v>2026-02-05T23:45:00.000Z</c:v>
                </c:pt>
                <c:pt idx="993">
                  <c:v>2026-02-06T00:00:00.000Z</c:v>
                </c:pt>
                <c:pt idx="994">
                  <c:v>2026-02-06T00:15:00.000Z</c:v>
                </c:pt>
                <c:pt idx="995">
                  <c:v>2026-02-06T00:30:00.000Z</c:v>
                </c:pt>
                <c:pt idx="996">
                  <c:v>2026-02-06T00:45:00.000Z</c:v>
                </c:pt>
                <c:pt idx="997">
                  <c:v>2026-02-06T01:00:00.000Z</c:v>
                </c:pt>
                <c:pt idx="998">
                  <c:v>2026-02-06T01:15:00.000Z</c:v>
                </c:pt>
                <c:pt idx="999">
                  <c:v>2026-02-06T01:30:00.000Z</c:v>
                </c:pt>
                <c:pt idx="1000">
                  <c:v>2026-02-06T01:45:00.000Z</c:v>
                </c:pt>
                <c:pt idx="1001">
                  <c:v>2026-02-06T02:00:00.000Z</c:v>
                </c:pt>
                <c:pt idx="1002">
                  <c:v>2026-02-06T02:15:00.000Z</c:v>
                </c:pt>
                <c:pt idx="1003">
                  <c:v>2026-02-06T02:30:00.000Z</c:v>
                </c:pt>
                <c:pt idx="1004">
                  <c:v>2026-02-06T02:45:00.000Z</c:v>
                </c:pt>
                <c:pt idx="1005">
                  <c:v>2026-02-06T03:00:00.000Z</c:v>
                </c:pt>
                <c:pt idx="1006">
                  <c:v>2026-02-06T03:15:00.000Z</c:v>
                </c:pt>
                <c:pt idx="1007">
                  <c:v>2026-02-06T03:30:00.000Z</c:v>
                </c:pt>
                <c:pt idx="1008">
                  <c:v>2026-02-06T03:45:00.000Z</c:v>
                </c:pt>
                <c:pt idx="1009">
                  <c:v>2026-02-06T04:00:00.000Z</c:v>
                </c:pt>
                <c:pt idx="1010">
                  <c:v>2026-02-06T04:15:00.000Z</c:v>
                </c:pt>
                <c:pt idx="1011">
                  <c:v>2026-02-06T04:30:00.000Z</c:v>
                </c:pt>
                <c:pt idx="1012">
                  <c:v>2026-02-06T04:45:00.000Z</c:v>
                </c:pt>
                <c:pt idx="1013">
                  <c:v>2026-02-06T05:00:00.000Z</c:v>
                </c:pt>
                <c:pt idx="1014">
                  <c:v>2026-02-06T05:15:00.000Z</c:v>
                </c:pt>
                <c:pt idx="1015">
                  <c:v>2026-02-06T05:30:00.000Z</c:v>
                </c:pt>
                <c:pt idx="1016">
                  <c:v>2026-02-06T05:45:00.000Z</c:v>
                </c:pt>
                <c:pt idx="1017">
                  <c:v>2026-02-06T06:00:00.000Z</c:v>
                </c:pt>
                <c:pt idx="1018">
                  <c:v>2026-02-06T06:15:00.000Z</c:v>
                </c:pt>
                <c:pt idx="1019">
                  <c:v>2026-02-06T06:30:00.000Z</c:v>
                </c:pt>
                <c:pt idx="1020">
                  <c:v>2026-02-06T06:45:00.000Z</c:v>
                </c:pt>
                <c:pt idx="1021">
                  <c:v>2026-02-06T07:00:00.000Z</c:v>
                </c:pt>
                <c:pt idx="1022">
                  <c:v>2026-02-06T07:15:00.000Z</c:v>
                </c:pt>
                <c:pt idx="1023">
                  <c:v>2026-02-06T07:30:00.000Z</c:v>
                </c:pt>
                <c:pt idx="1024">
                  <c:v>2026-02-06T07:45:00.000Z</c:v>
                </c:pt>
                <c:pt idx="1025">
                  <c:v>2026-02-06T08:00:00.000Z</c:v>
                </c:pt>
                <c:pt idx="1026">
                  <c:v>2026-02-06T08:15:00.000Z</c:v>
                </c:pt>
                <c:pt idx="1027">
                  <c:v>2026-02-06T08:30:00.000Z</c:v>
                </c:pt>
                <c:pt idx="1028">
                  <c:v>2026-02-06T08:45:00.000Z</c:v>
                </c:pt>
                <c:pt idx="1029">
                  <c:v>2026-02-06T09:00:00.000Z</c:v>
                </c:pt>
                <c:pt idx="1030">
                  <c:v>2026-02-06T09:15:00.000Z</c:v>
                </c:pt>
                <c:pt idx="1031">
                  <c:v>2026-02-06T09:30:00.000Z</c:v>
                </c:pt>
                <c:pt idx="1032">
                  <c:v>2026-02-06T09:45:00.000Z</c:v>
                </c:pt>
                <c:pt idx="1033">
                  <c:v>2026-02-06T10:00:00.000Z</c:v>
                </c:pt>
                <c:pt idx="1034">
                  <c:v>2026-02-06T10:15:00.000Z</c:v>
                </c:pt>
                <c:pt idx="1035">
                  <c:v>2026-02-06T10:30:00.000Z</c:v>
                </c:pt>
                <c:pt idx="1036">
                  <c:v>2026-02-06T10:45:00.000Z</c:v>
                </c:pt>
                <c:pt idx="1037">
                  <c:v>2026-02-06T11:00:00.000Z</c:v>
                </c:pt>
                <c:pt idx="1038">
                  <c:v>2026-02-06T11:15:00.000Z</c:v>
                </c:pt>
                <c:pt idx="1039">
                  <c:v>2026-02-06T11:30:00.000Z</c:v>
                </c:pt>
                <c:pt idx="1040">
                  <c:v>2026-02-06T11:45:00.000Z</c:v>
                </c:pt>
                <c:pt idx="1041">
                  <c:v>2026-02-06T12:00:00.000Z</c:v>
                </c:pt>
                <c:pt idx="1042">
                  <c:v>2026-02-06T12:15:00.000Z</c:v>
                </c:pt>
                <c:pt idx="1043">
                  <c:v>2026-02-06T12:30:00.000Z</c:v>
                </c:pt>
                <c:pt idx="1044">
                  <c:v>2026-02-06T12:45:00.000Z</c:v>
                </c:pt>
                <c:pt idx="1045">
                  <c:v>2026-02-06T13:00:00.000Z</c:v>
                </c:pt>
              </c:strCache>
            </c:strRef>
          </c:xVal>
          <c:yVal>
            <c:numRef>
              <c:f>'nebuleair_export (1)'!$B$1:$B$1046</c:f>
              <c:numCache>
                <c:formatCode>General</c:formatCode>
                <c:ptCount val="1046"/>
                <c:pt idx="0">
                  <c:v>0</c:v>
                </c:pt>
                <c:pt idx="1">
                  <c:v>1.9366666666666601</c:v>
                </c:pt>
                <c:pt idx="2">
                  <c:v>2.1599999999999899</c:v>
                </c:pt>
                <c:pt idx="3">
                  <c:v>1.5599999999999901</c:v>
                </c:pt>
                <c:pt idx="4">
                  <c:v>1.59666666666666</c:v>
                </c:pt>
                <c:pt idx="5">
                  <c:v>1.4299999999999899</c:v>
                </c:pt>
                <c:pt idx="6">
                  <c:v>2.2966666666666602</c:v>
                </c:pt>
                <c:pt idx="7">
                  <c:v>2.2000000000000002</c:v>
                </c:pt>
                <c:pt idx="8">
                  <c:v>2.99</c:v>
                </c:pt>
                <c:pt idx="9">
                  <c:v>3.2266666666666599</c:v>
                </c:pt>
                <c:pt idx="10">
                  <c:v>2.4966666666666599</c:v>
                </c:pt>
                <c:pt idx="11">
                  <c:v>2.78</c:v>
                </c:pt>
                <c:pt idx="12">
                  <c:v>2.8133333333333299</c:v>
                </c:pt>
                <c:pt idx="13">
                  <c:v>3.0933333333333302</c:v>
                </c:pt>
                <c:pt idx="14">
                  <c:v>4.66</c:v>
                </c:pt>
                <c:pt idx="15">
                  <c:v>4.0533333333333301</c:v>
                </c:pt>
                <c:pt idx="16">
                  <c:v>3.55</c:v>
                </c:pt>
                <c:pt idx="17">
                  <c:v>12.0966666666666</c:v>
                </c:pt>
                <c:pt idx="18">
                  <c:v>15.29</c:v>
                </c:pt>
                <c:pt idx="19">
                  <c:v>16.1533333333333</c:v>
                </c:pt>
                <c:pt idx="20">
                  <c:v>15.81</c:v>
                </c:pt>
                <c:pt idx="21">
                  <c:v>14.9466666666666</c:v>
                </c:pt>
                <c:pt idx="22">
                  <c:v>9.3833333333333293</c:v>
                </c:pt>
                <c:pt idx="23">
                  <c:v>11.3233333333333</c:v>
                </c:pt>
                <c:pt idx="24">
                  <c:v>14.4266666666666</c:v>
                </c:pt>
                <c:pt idx="25">
                  <c:v>14.76</c:v>
                </c:pt>
                <c:pt idx="26">
                  <c:v>14.08</c:v>
                </c:pt>
                <c:pt idx="27">
                  <c:v>14.283333333333299</c:v>
                </c:pt>
                <c:pt idx="28">
                  <c:v>14.223333333333301</c:v>
                </c:pt>
                <c:pt idx="29">
                  <c:v>11.3433333333333</c:v>
                </c:pt>
                <c:pt idx="30">
                  <c:v>12.6133333333333</c:v>
                </c:pt>
                <c:pt idx="31">
                  <c:v>11.3799999999999</c:v>
                </c:pt>
                <c:pt idx="32">
                  <c:v>9.66</c:v>
                </c:pt>
                <c:pt idx="33">
                  <c:v>7.4666666666666597</c:v>
                </c:pt>
                <c:pt idx="34">
                  <c:v>5.9866666666666601</c:v>
                </c:pt>
                <c:pt idx="35">
                  <c:v>6.7266666666666604</c:v>
                </c:pt>
                <c:pt idx="36">
                  <c:v>7.2166666666666597</c:v>
                </c:pt>
                <c:pt idx="37">
                  <c:v>6.68333333333333</c:v>
                </c:pt>
                <c:pt idx="38">
                  <c:v>6.2233333333333301</c:v>
                </c:pt>
                <c:pt idx="39">
                  <c:v>4.9433333333333298</c:v>
                </c:pt>
                <c:pt idx="40">
                  <c:v>4.2766666666666602</c:v>
                </c:pt>
                <c:pt idx="41">
                  <c:v>3.86666666666666</c:v>
                </c:pt>
                <c:pt idx="42">
                  <c:v>3.12333333333333</c:v>
                </c:pt>
                <c:pt idx="43">
                  <c:v>2.91</c:v>
                </c:pt>
                <c:pt idx="44">
                  <c:v>3.88</c:v>
                </c:pt>
                <c:pt idx="45">
                  <c:v>2.48</c:v>
                </c:pt>
                <c:pt idx="46">
                  <c:v>2.0933333333333302</c:v>
                </c:pt>
                <c:pt idx="47">
                  <c:v>2.0299999999999998</c:v>
                </c:pt>
                <c:pt idx="48">
                  <c:v>1.88333333333333</c:v>
                </c:pt>
                <c:pt idx="49">
                  <c:v>2.0866666666666598</c:v>
                </c:pt>
                <c:pt idx="50">
                  <c:v>2.0299999999999998</c:v>
                </c:pt>
                <c:pt idx="51">
                  <c:v>2.44</c:v>
                </c:pt>
                <c:pt idx="52">
                  <c:v>2.36666666666666</c:v>
                </c:pt>
                <c:pt idx="53">
                  <c:v>2.08</c:v>
                </c:pt>
                <c:pt idx="54">
                  <c:v>3.4033333333333302</c:v>
                </c:pt>
                <c:pt idx="55">
                  <c:v>2.21999999999999</c:v>
                </c:pt>
                <c:pt idx="56">
                  <c:v>2.4633333333333298</c:v>
                </c:pt>
                <c:pt idx="57">
                  <c:v>2.4766666666666599</c:v>
                </c:pt>
                <c:pt idx="58">
                  <c:v>2.5866666666666598</c:v>
                </c:pt>
                <c:pt idx="59">
                  <c:v>2.71</c:v>
                </c:pt>
                <c:pt idx="60">
                  <c:v>3.0933333333333302</c:v>
                </c:pt>
                <c:pt idx="61">
                  <c:v>3.4799999999999902</c:v>
                </c:pt>
                <c:pt idx="62">
                  <c:v>3.0833333333333299</c:v>
                </c:pt>
                <c:pt idx="63">
                  <c:v>3.57666666666666</c:v>
                </c:pt>
                <c:pt idx="64">
                  <c:v>3.03666666666666</c:v>
                </c:pt>
                <c:pt idx="65">
                  <c:v>2.9966666666666599</c:v>
                </c:pt>
                <c:pt idx="66">
                  <c:v>2.68333333333333</c:v>
                </c:pt>
                <c:pt idx="67">
                  <c:v>1.62666666666666</c:v>
                </c:pt>
                <c:pt idx="68">
                  <c:v>1.2533333333333301</c:v>
                </c:pt>
                <c:pt idx="69">
                  <c:v>1.5633333333333299</c:v>
                </c:pt>
                <c:pt idx="70">
                  <c:v>1.36333333333333</c:v>
                </c:pt>
                <c:pt idx="71">
                  <c:v>1.4833333333333301</c:v>
                </c:pt>
                <c:pt idx="72">
                  <c:v>1.26</c:v>
                </c:pt>
                <c:pt idx="73">
                  <c:v>1.27666666666666</c:v>
                </c:pt>
                <c:pt idx="74">
                  <c:v>1.71333333333333</c:v>
                </c:pt>
                <c:pt idx="75">
                  <c:v>2.25</c:v>
                </c:pt>
                <c:pt idx="76">
                  <c:v>2.16333333333333</c:v>
                </c:pt>
                <c:pt idx="77">
                  <c:v>2.66333333333333</c:v>
                </c:pt>
                <c:pt idx="78">
                  <c:v>2.9566666666666599</c:v>
                </c:pt>
                <c:pt idx="79">
                  <c:v>4.39333333333333</c:v>
                </c:pt>
                <c:pt idx="80">
                  <c:v>3.6666666666666599</c:v>
                </c:pt>
                <c:pt idx="81">
                  <c:v>4.28666666666666</c:v>
                </c:pt>
                <c:pt idx="82">
                  <c:v>5.4766666666666604</c:v>
                </c:pt>
                <c:pt idx="83">
                  <c:v>7.25</c:v>
                </c:pt>
                <c:pt idx="84">
                  <c:v>10.0166666666666</c:v>
                </c:pt>
                <c:pt idx="85">
                  <c:v>10.199999999999999</c:v>
                </c:pt>
                <c:pt idx="86">
                  <c:v>9.6999999999999993</c:v>
                </c:pt>
                <c:pt idx="87">
                  <c:v>10.0266666666666</c:v>
                </c:pt>
                <c:pt idx="88">
                  <c:v>10.639999999999899</c:v>
                </c:pt>
                <c:pt idx="89">
                  <c:v>12.7866666666666</c:v>
                </c:pt>
                <c:pt idx="90">
                  <c:v>10.5233333333333</c:v>
                </c:pt>
                <c:pt idx="91">
                  <c:v>12.0899999999999</c:v>
                </c:pt>
                <c:pt idx="92">
                  <c:v>14.736666666666601</c:v>
                </c:pt>
                <c:pt idx="93">
                  <c:v>14.6733333333333</c:v>
                </c:pt>
                <c:pt idx="94">
                  <c:v>13.719999999999899</c:v>
                </c:pt>
                <c:pt idx="95">
                  <c:v>14.0266666666666</c:v>
                </c:pt>
                <c:pt idx="96">
                  <c:v>13.983333333333301</c:v>
                </c:pt>
                <c:pt idx="97">
                  <c:v>12.043333333333299</c:v>
                </c:pt>
                <c:pt idx="98">
                  <c:v>11.7866666666666</c:v>
                </c:pt>
                <c:pt idx="99">
                  <c:v>13.0133333333333</c:v>
                </c:pt>
                <c:pt idx="100">
                  <c:v>13.5233333333333</c:v>
                </c:pt>
                <c:pt idx="101">
                  <c:v>12</c:v>
                </c:pt>
                <c:pt idx="102">
                  <c:v>12.1999999999999</c:v>
                </c:pt>
                <c:pt idx="103">
                  <c:v>12.806666666666599</c:v>
                </c:pt>
                <c:pt idx="104">
                  <c:v>12.6699999999999</c:v>
                </c:pt>
                <c:pt idx="105">
                  <c:v>11.5766666666666</c:v>
                </c:pt>
                <c:pt idx="106">
                  <c:v>10.979999999999899</c:v>
                </c:pt>
                <c:pt idx="107">
                  <c:v>10.1066666666666</c:v>
                </c:pt>
                <c:pt idx="108">
                  <c:v>8.8733333333333295</c:v>
                </c:pt>
                <c:pt idx="109">
                  <c:v>8.7966666666666598</c:v>
                </c:pt>
                <c:pt idx="110">
                  <c:v>9.5689655172413701</c:v>
                </c:pt>
                <c:pt idx="111">
                  <c:v>7.6633333333333304</c:v>
                </c:pt>
                <c:pt idx="112">
                  <c:v>5.81</c:v>
                </c:pt>
                <c:pt idx="113">
                  <c:v>6.0758620689655096</c:v>
                </c:pt>
                <c:pt idx="114">
                  <c:v>7.4451612903225799</c:v>
                </c:pt>
                <c:pt idx="115">
                  <c:v>6.96999999999999</c:v>
                </c:pt>
                <c:pt idx="116">
                  <c:v>7.7033333333333296</c:v>
                </c:pt>
                <c:pt idx="117">
                  <c:v>7.46</c:v>
                </c:pt>
                <c:pt idx="118">
                  <c:v>5.2666666666666604</c:v>
                </c:pt>
                <c:pt idx="119">
                  <c:v>5.2566666666666597</c:v>
                </c:pt>
                <c:pt idx="120">
                  <c:v>4.5066666666666597</c:v>
                </c:pt>
                <c:pt idx="121">
                  <c:v>4.37</c:v>
                </c:pt>
                <c:pt idx="122">
                  <c:v>3.48999999999999</c:v>
                </c:pt>
                <c:pt idx="123">
                  <c:v>4.13</c:v>
                </c:pt>
                <c:pt idx="124">
                  <c:v>4.2133333333333303</c:v>
                </c:pt>
                <c:pt idx="125">
                  <c:v>4.51</c:v>
                </c:pt>
                <c:pt idx="126">
                  <c:v>3.9966666666666599</c:v>
                </c:pt>
                <c:pt idx="127">
                  <c:v>6.8633333333333297</c:v>
                </c:pt>
                <c:pt idx="128">
                  <c:v>4.5466666666666598</c:v>
                </c:pt>
                <c:pt idx="129">
                  <c:v>4.21</c:v>
                </c:pt>
                <c:pt idx="130">
                  <c:v>3.94</c:v>
                </c:pt>
                <c:pt idx="131">
                  <c:v>5.0199999999999996</c:v>
                </c:pt>
                <c:pt idx="132">
                  <c:v>4.1900000000000004</c:v>
                </c:pt>
                <c:pt idx="133">
                  <c:v>3.7933333333333299</c:v>
                </c:pt>
                <c:pt idx="134">
                  <c:v>2.4966666666666599</c:v>
                </c:pt>
                <c:pt idx="135">
                  <c:v>1.7933333333333299</c:v>
                </c:pt>
                <c:pt idx="136">
                  <c:v>1.44333333333333</c:v>
                </c:pt>
                <c:pt idx="137">
                  <c:v>0.95333333333333303</c:v>
                </c:pt>
                <c:pt idx="138">
                  <c:v>1.7666666666666599</c:v>
                </c:pt>
                <c:pt idx="139">
                  <c:v>2.2166666666666601</c:v>
                </c:pt>
                <c:pt idx="140">
                  <c:v>2.5799999999999899</c:v>
                </c:pt>
                <c:pt idx="141">
                  <c:v>0.75</c:v>
                </c:pt>
                <c:pt idx="142">
                  <c:v>0.68333333333333302</c:v>
                </c:pt>
                <c:pt idx="143">
                  <c:v>0.47</c:v>
                </c:pt>
                <c:pt idx="144">
                  <c:v>0.56999999999999995</c:v>
                </c:pt>
                <c:pt idx="145">
                  <c:v>0.56999999999999895</c:v>
                </c:pt>
                <c:pt idx="146">
                  <c:v>0.353333333333333</c:v>
                </c:pt>
                <c:pt idx="147">
                  <c:v>0.38333333333333303</c:v>
                </c:pt>
                <c:pt idx="148">
                  <c:v>0.37333333333333302</c:v>
                </c:pt>
                <c:pt idx="149">
                  <c:v>0.46999999999999897</c:v>
                </c:pt>
                <c:pt idx="150">
                  <c:v>0.42666666666666597</c:v>
                </c:pt>
                <c:pt idx="151">
                  <c:v>0.37666666666666598</c:v>
                </c:pt>
                <c:pt idx="152">
                  <c:v>0.36333333333333301</c:v>
                </c:pt>
                <c:pt idx="153">
                  <c:v>0.44</c:v>
                </c:pt>
                <c:pt idx="154">
                  <c:v>0.65999999999999903</c:v>
                </c:pt>
                <c:pt idx="155">
                  <c:v>0.619999999999999</c:v>
                </c:pt>
                <c:pt idx="156">
                  <c:v>0.54999999999999905</c:v>
                </c:pt>
                <c:pt idx="157">
                  <c:v>1.5033333333333301</c:v>
                </c:pt>
                <c:pt idx="158">
                  <c:v>0.99666666666666603</c:v>
                </c:pt>
                <c:pt idx="159">
                  <c:v>0.71999999999999897</c:v>
                </c:pt>
                <c:pt idx="160">
                  <c:v>0.78999999999999904</c:v>
                </c:pt>
                <c:pt idx="161">
                  <c:v>0.68666666666666698</c:v>
                </c:pt>
                <c:pt idx="162">
                  <c:v>0.74</c:v>
                </c:pt>
                <c:pt idx="163">
                  <c:v>0.74333333333333296</c:v>
                </c:pt>
                <c:pt idx="164">
                  <c:v>0.96333333333333304</c:v>
                </c:pt>
                <c:pt idx="165">
                  <c:v>0.97</c:v>
                </c:pt>
                <c:pt idx="166">
                  <c:v>1.78999999999999</c:v>
                </c:pt>
                <c:pt idx="167">
                  <c:v>1.2266666666666599</c:v>
                </c:pt>
                <c:pt idx="168">
                  <c:v>1.57666666666666</c:v>
                </c:pt>
                <c:pt idx="169">
                  <c:v>1.3599999999999901</c:v>
                </c:pt>
                <c:pt idx="170">
                  <c:v>1.37333333333333</c:v>
                </c:pt>
                <c:pt idx="171">
                  <c:v>1.4366666666666601</c:v>
                </c:pt>
                <c:pt idx="172">
                  <c:v>1.3333333333333299</c:v>
                </c:pt>
                <c:pt idx="173">
                  <c:v>1.1100000000000001</c:v>
                </c:pt>
                <c:pt idx="174">
                  <c:v>1.0433333333333299</c:v>
                </c:pt>
                <c:pt idx="175">
                  <c:v>1.4666666666666599</c:v>
                </c:pt>
                <c:pt idx="176">
                  <c:v>1.32666666666666</c:v>
                </c:pt>
                <c:pt idx="177">
                  <c:v>1.32666666666666</c:v>
                </c:pt>
                <c:pt idx="178">
                  <c:v>1.3233333333333299</c:v>
                </c:pt>
                <c:pt idx="179">
                  <c:v>1.4199999999999899</c:v>
                </c:pt>
                <c:pt idx="180">
                  <c:v>1.31666666666666</c:v>
                </c:pt>
                <c:pt idx="181">
                  <c:v>1.8099999999999901</c:v>
                </c:pt>
                <c:pt idx="182">
                  <c:v>1.39</c:v>
                </c:pt>
                <c:pt idx="183">
                  <c:v>1.0133333333333301</c:v>
                </c:pt>
                <c:pt idx="184">
                  <c:v>0.913333333333333</c:v>
                </c:pt>
                <c:pt idx="185">
                  <c:v>0.89</c:v>
                </c:pt>
                <c:pt idx="186">
                  <c:v>1.13333333333333</c:v>
                </c:pt>
                <c:pt idx="187">
                  <c:v>0.93</c:v>
                </c:pt>
                <c:pt idx="188">
                  <c:v>0.97333333333333305</c:v>
                </c:pt>
                <c:pt idx="189">
                  <c:v>0.85666666666666602</c:v>
                </c:pt>
                <c:pt idx="190">
                  <c:v>1.26999999999999</c:v>
                </c:pt>
                <c:pt idx="191">
                  <c:v>1.1599999999999999</c:v>
                </c:pt>
                <c:pt idx="192">
                  <c:v>1.15333333333333</c:v>
                </c:pt>
                <c:pt idx="193">
                  <c:v>1.44333333333333</c:v>
                </c:pt>
                <c:pt idx="194">
                  <c:v>1.17333333333333</c:v>
                </c:pt>
                <c:pt idx="195">
                  <c:v>1.1866666666666601</c:v>
                </c:pt>
                <c:pt idx="196">
                  <c:v>1.42333333333333</c:v>
                </c:pt>
                <c:pt idx="197">
                  <c:v>1.90333333333333</c:v>
                </c:pt>
                <c:pt idx="198">
                  <c:v>1.7333333333333301</c:v>
                </c:pt>
                <c:pt idx="199">
                  <c:v>2.4933333333333301</c:v>
                </c:pt>
                <c:pt idx="200">
                  <c:v>1.98</c:v>
                </c:pt>
                <c:pt idx="201">
                  <c:v>2.7299999999999902</c:v>
                </c:pt>
                <c:pt idx="202">
                  <c:v>4.3366666666666598</c:v>
                </c:pt>
                <c:pt idx="203">
                  <c:v>2.8966666666666598</c:v>
                </c:pt>
                <c:pt idx="204">
                  <c:v>3.0633333333333299</c:v>
                </c:pt>
                <c:pt idx="205">
                  <c:v>2.8333333333333299</c:v>
                </c:pt>
                <c:pt idx="206">
                  <c:v>2.35</c:v>
                </c:pt>
                <c:pt idx="207">
                  <c:v>2.0833333333333299</c:v>
                </c:pt>
                <c:pt idx="208">
                  <c:v>1.7233333333333301</c:v>
                </c:pt>
                <c:pt idx="209">
                  <c:v>2.7299999999999902</c:v>
                </c:pt>
                <c:pt idx="210">
                  <c:v>2.48</c:v>
                </c:pt>
                <c:pt idx="211">
                  <c:v>2.6566666666666601</c:v>
                </c:pt>
                <c:pt idx="212">
                  <c:v>2.1</c:v>
                </c:pt>
                <c:pt idx="213">
                  <c:v>2.0833333333333299</c:v>
                </c:pt>
                <c:pt idx="214">
                  <c:v>2</c:v>
                </c:pt>
                <c:pt idx="215">
                  <c:v>1.8899999999999899</c:v>
                </c:pt>
                <c:pt idx="216">
                  <c:v>1.81666666666666</c:v>
                </c:pt>
                <c:pt idx="217">
                  <c:v>1.7533333333333301</c:v>
                </c:pt>
                <c:pt idx="218">
                  <c:v>2.0699999999999998</c:v>
                </c:pt>
                <c:pt idx="219">
                  <c:v>1.8</c:v>
                </c:pt>
                <c:pt idx="220">
                  <c:v>1.8866666666666601</c:v>
                </c:pt>
                <c:pt idx="221">
                  <c:v>1.7633333333333301</c:v>
                </c:pt>
                <c:pt idx="222">
                  <c:v>1.55</c:v>
                </c:pt>
                <c:pt idx="223">
                  <c:v>1.71</c:v>
                </c:pt>
                <c:pt idx="224">
                  <c:v>2.03666666666666</c:v>
                </c:pt>
                <c:pt idx="225">
                  <c:v>1.7366666666666599</c:v>
                </c:pt>
                <c:pt idx="226">
                  <c:v>1.82</c:v>
                </c:pt>
                <c:pt idx="227">
                  <c:v>2.2766666666666602</c:v>
                </c:pt>
                <c:pt idx="228">
                  <c:v>2.2533333333333299</c:v>
                </c:pt>
                <c:pt idx="229">
                  <c:v>2.4700000000000002</c:v>
                </c:pt>
                <c:pt idx="230">
                  <c:v>2.18333333333333</c:v>
                </c:pt>
                <c:pt idx="231">
                  <c:v>2.0833333333333299</c:v>
                </c:pt>
                <c:pt idx="232">
                  <c:v>2.0833333333333299</c:v>
                </c:pt>
                <c:pt idx="233">
                  <c:v>2.5133333333333301</c:v>
                </c:pt>
                <c:pt idx="234">
                  <c:v>3.05666666666666</c:v>
                </c:pt>
                <c:pt idx="235">
                  <c:v>3.09666666666666</c:v>
                </c:pt>
                <c:pt idx="236">
                  <c:v>3.09666666666666</c:v>
                </c:pt>
                <c:pt idx="237">
                  <c:v>3.0533333333333301</c:v>
                </c:pt>
                <c:pt idx="238">
                  <c:v>2.8833333333333302</c:v>
                </c:pt>
                <c:pt idx="239">
                  <c:v>2.69999999999999</c:v>
                </c:pt>
                <c:pt idx="240">
                  <c:v>2.7933333333333299</c:v>
                </c:pt>
                <c:pt idx="241">
                  <c:v>2.6866666666666599</c:v>
                </c:pt>
                <c:pt idx="242">
                  <c:v>2.3099999999999898</c:v>
                </c:pt>
                <c:pt idx="243">
                  <c:v>2.44</c:v>
                </c:pt>
                <c:pt idx="244">
                  <c:v>2.0666666666666602</c:v>
                </c:pt>
                <c:pt idx="245">
                  <c:v>2.0933333333333302</c:v>
                </c:pt>
                <c:pt idx="246">
                  <c:v>2.8</c:v>
                </c:pt>
                <c:pt idx="247">
                  <c:v>2.4633333333333298</c:v>
                </c:pt>
                <c:pt idx="248">
                  <c:v>2.30666666666666</c:v>
                </c:pt>
                <c:pt idx="249">
                  <c:v>2.2999999999999901</c:v>
                </c:pt>
                <c:pt idx="250">
                  <c:v>2.6399999999999899</c:v>
                </c:pt>
                <c:pt idx="251">
                  <c:v>2.2633333333333301</c:v>
                </c:pt>
                <c:pt idx="252">
                  <c:v>2.5599999999999898</c:v>
                </c:pt>
                <c:pt idx="253">
                  <c:v>2.7299999999999902</c:v>
                </c:pt>
                <c:pt idx="254">
                  <c:v>2.8633333333333302</c:v>
                </c:pt>
                <c:pt idx="255">
                  <c:v>3.0066666666666602</c:v>
                </c:pt>
                <c:pt idx="256">
                  <c:v>1.9933333333333301</c:v>
                </c:pt>
                <c:pt idx="257">
                  <c:v>2.37</c:v>
                </c:pt>
                <c:pt idx="258">
                  <c:v>2.2533333333333299</c:v>
                </c:pt>
                <c:pt idx="259">
                  <c:v>2.53666666666666</c:v>
                </c:pt>
                <c:pt idx="260">
                  <c:v>2.81</c:v>
                </c:pt>
                <c:pt idx="261">
                  <c:v>3.2633333333333301</c:v>
                </c:pt>
                <c:pt idx="262">
                  <c:v>3.0633333333333299</c:v>
                </c:pt>
                <c:pt idx="263">
                  <c:v>2.5733333333333301</c:v>
                </c:pt>
                <c:pt idx="264">
                  <c:v>2.7166666666666601</c:v>
                </c:pt>
                <c:pt idx="265">
                  <c:v>2.5133333333333301</c:v>
                </c:pt>
                <c:pt idx="266">
                  <c:v>2.8866666666666601</c:v>
                </c:pt>
                <c:pt idx="267">
                  <c:v>2.64</c:v>
                </c:pt>
                <c:pt idx="268">
                  <c:v>2.38</c:v>
                </c:pt>
                <c:pt idx="269">
                  <c:v>1.9566666666666599</c:v>
                </c:pt>
                <c:pt idx="270">
                  <c:v>1.82</c:v>
                </c:pt>
                <c:pt idx="271">
                  <c:v>2.0899999999999901</c:v>
                </c:pt>
                <c:pt idx="272">
                  <c:v>2.3033333333333301</c:v>
                </c:pt>
                <c:pt idx="273">
                  <c:v>2.3499999999999899</c:v>
                </c:pt>
                <c:pt idx="274">
                  <c:v>2.3166666666666602</c:v>
                </c:pt>
                <c:pt idx="275">
                  <c:v>2.1466666666666598</c:v>
                </c:pt>
                <c:pt idx="276">
                  <c:v>1.6866666666666601</c:v>
                </c:pt>
                <c:pt idx="277">
                  <c:v>1.4833333333333301</c:v>
                </c:pt>
                <c:pt idx="278">
                  <c:v>1.6366666666666601</c:v>
                </c:pt>
                <c:pt idx="279">
                  <c:v>1.29666666666666</c:v>
                </c:pt>
                <c:pt idx="280">
                  <c:v>1.31666666666666</c:v>
                </c:pt>
                <c:pt idx="281">
                  <c:v>1.89</c:v>
                </c:pt>
                <c:pt idx="282">
                  <c:v>1.2233333333333301</c:v>
                </c:pt>
                <c:pt idx="283">
                  <c:v>1.4866666666666599</c:v>
                </c:pt>
                <c:pt idx="284">
                  <c:v>1.38</c:v>
                </c:pt>
                <c:pt idx="285">
                  <c:v>1.28</c:v>
                </c:pt>
                <c:pt idx="286">
                  <c:v>1.4566666666666599</c:v>
                </c:pt>
                <c:pt idx="287">
                  <c:v>1.7366666666666599</c:v>
                </c:pt>
                <c:pt idx="288">
                  <c:v>1.44</c:v>
                </c:pt>
                <c:pt idx="289">
                  <c:v>1.7833333333333301</c:v>
                </c:pt>
                <c:pt idx="290">
                  <c:v>1.62666666666666</c:v>
                </c:pt>
                <c:pt idx="291">
                  <c:v>1.9466666666666601</c:v>
                </c:pt>
                <c:pt idx="292">
                  <c:v>2.1933333333333298</c:v>
                </c:pt>
                <c:pt idx="293">
                  <c:v>2.34666666666666</c:v>
                </c:pt>
                <c:pt idx="294">
                  <c:v>2.1466666666666598</c:v>
                </c:pt>
                <c:pt idx="295">
                  <c:v>3.6933333333333298</c:v>
                </c:pt>
                <c:pt idx="296">
                  <c:v>2.62333333333333</c:v>
                </c:pt>
                <c:pt idx="297">
                  <c:v>2.79</c:v>
                </c:pt>
                <c:pt idx="298">
                  <c:v>2.6766666666666601</c:v>
                </c:pt>
                <c:pt idx="299">
                  <c:v>3.1366666666666601</c:v>
                </c:pt>
                <c:pt idx="300">
                  <c:v>3.6033333333333299</c:v>
                </c:pt>
                <c:pt idx="301">
                  <c:v>6.1466666666666603</c:v>
                </c:pt>
                <c:pt idx="302">
                  <c:v>11.626666666666599</c:v>
                </c:pt>
                <c:pt idx="303">
                  <c:v>9.2366666666666593</c:v>
                </c:pt>
                <c:pt idx="304">
                  <c:v>4.0433333333333303</c:v>
                </c:pt>
                <c:pt idx="305">
                  <c:v>5.9866666666666601</c:v>
                </c:pt>
                <c:pt idx="306">
                  <c:v>2.8166666666666602</c:v>
                </c:pt>
                <c:pt idx="307">
                  <c:v>3.6566666666666601</c:v>
                </c:pt>
                <c:pt idx="308">
                  <c:v>8.2733333333333299</c:v>
                </c:pt>
                <c:pt idx="309">
                  <c:v>8.1033333333333299</c:v>
                </c:pt>
                <c:pt idx="310">
                  <c:v>8.1666666666666607</c:v>
                </c:pt>
                <c:pt idx="311">
                  <c:v>6.76</c:v>
                </c:pt>
                <c:pt idx="312">
                  <c:v>12.2566666666666</c:v>
                </c:pt>
                <c:pt idx="313">
                  <c:v>11.976666666666601</c:v>
                </c:pt>
                <c:pt idx="314">
                  <c:v>10.06</c:v>
                </c:pt>
                <c:pt idx="315">
                  <c:v>11.533333333333299</c:v>
                </c:pt>
                <c:pt idx="316">
                  <c:v>11.543333333333299</c:v>
                </c:pt>
                <c:pt idx="317">
                  <c:v>12.486666666666601</c:v>
                </c:pt>
                <c:pt idx="318">
                  <c:v>14.6999999999999</c:v>
                </c:pt>
                <c:pt idx="319">
                  <c:v>17.11</c:v>
                </c:pt>
                <c:pt idx="320">
                  <c:v>14.543333333333299</c:v>
                </c:pt>
                <c:pt idx="321">
                  <c:v>13.12</c:v>
                </c:pt>
                <c:pt idx="322">
                  <c:v>9.4600000000000009</c:v>
                </c:pt>
                <c:pt idx="323">
                  <c:v>6.6066666666666602</c:v>
                </c:pt>
                <c:pt idx="324">
                  <c:v>5.59</c:v>
                </c:pt>
                <c:pt idx="325">
                  <c:v>5.2066666666666599</c:v>
                </c:pt>
                <c:pt idx="326">
                  <c:v>7.18</c:v>
                </c:pt>
                <c:pt idx="327">
                  <c:v>10.79</c:v>
                </c:pt>
                <c:pt idx="328">
                  <c:v>6.1</c:v>
                </c:pt>
                <c:pt idx="329">
                  <c:v>5.61666666666666</c:v>
                </c:pt>
                <c:pt idx="330">
                  <c:v>5.6866666666666603</c:v>
                </c:pt>
                <c:pt idx="331">
                  <c:v>6.4633333333333303</c:v>
                </c:pt>
                <c:pt idx="332">
                  <c:v>4.6966666666666601</c:v>
                </c:pt>
                <c:pt idx="333">
                  <c:v>6.7033333333333296</c:v>
                </c:pt>
                <c:pt idx="334">
                  <c:v>5.4666666666666597</c:v>
                </c:pt>
                <c:pt idx="335">
                  <c:v>5.2533333333333303</c:v>
                </c:pt>
                <c:pt idx="336">
                  <c:v>5.1333333333333302</c:v>
                </c:pt>
                <c:pt idx="337">
                  <c:v>3.4299999999999899</c:v>
                </c:pt>
                <c:pt idx="338">
                  <c:v>3.4666666666666601</c:v>
                </c:pt>
                <c:pt idx="339">
                  <c:v>3.4566666666666599</c:v>
                </c:pt>
                <c:pt idx="340">
                  <c:v>3.3433333333333302</c:v>
                </c:pt>
                <c:pt idx="341">
                  <c:v>4.2666666666666604</c:v>
                </c:pt>
                <c:pt idx="342">
                  <c:v>3.1866666666666599</c:v>
                </c:pt>
                <c:pt idx="343">
                  <c:v>2.6</c:v>
                </c:pt>
                <c:pt idx="344">
                  <c:v>3.2499999999999898</c:v>
                </c:pt>
                <c:pt idx="345">
                  <c:v>2.66333333333333</c:v>
                </c:pt>
                <c:pt idx="346">
                  <c:v>3.05666666666666</c:v>
                </c:pt>
                <c:pt idx="347">
                  <c:v>3.67</c:v>
                </c:pt>
                <c:pt idx="348">
                  <c:v>2.1566666666666601</c:v>
                </c:pt>
                <c:pt idx="349">
                  <c:v>3.2133333333333298</c:v>
                </c:pt>
                <c:pt idx="350">
                  <c:v>3.7833333333333301</c:v>
                </c:pt>
                <c:pt idx="351">
                  <c:v>2.58</c:v>
                </c:pt>
                <c:pt idx="352">
                  <c:v>2.0433333333333299</c:v>
                </c:pt>
                <c:pt idx="353">
                  <c:v>3.1866666666666599</c:v>
                </c:pt>
                <c:pt idx="354">
                  <c:v>3.32</c:v>
                </c:pt>
                <c:pt idx="355">
                  <c:v>4.64333333333333</c:v>
                </c:pt>
                <c:pt idx="356">
                  <c:v>3.21</c:v>
                </c:pt>
                <c:pt idx="357">
                  <c:v>3.0599999999999898</c:v>
                </c:pt>
                <c:pt idx="358">
                  <c:v>2.7466666666666599</c:v>
                </c:pt>
                <c:pt idx="359">
                  <c:v>2.6766666666666601</c:v>
                </c:pt>
                <c:pt idx="360">
                  <c:v>2.4933333333333301</c:v>
                </c:pt>
                <c:pt idx="361">
                  <c:v>2.85</c:v>
                </c:pt>
                <c:pt idx="362">
                  <c:v>2.30666666666666</c:v>
                </c:pt>
                <c:pt idx="363">
                  <c:v>2.4633333333333298</c:v>
                </c:pt>
                <c:pt idx="364">
                  <c:v>2.09666666666666</c:v>
                </c:pt>
                <c:pt idx="365">
                  <c:v>1.8533333333333299</c:v>
                </c:pt>
                <c:pt idx="366">
                  <c:v>1.37666666666666</c:v>
                </c:pt>
                <c:pt idx="367">
                  <c:v>1.4299999999999899</c:v>
                </c:pt>
                <c:pt idx="368">
                  <c:v>1.61666666666666</c:v>
                </c:pt>
                <c:pt idx="369">
                  <c:v>1.5066666666666599</c:v>
                </c:pt>
                <c:pt idx="370">
                  <c:v>1.1000000000000001</c:v>
                </c:pt>
                <c:pt idx="371">
                  <c:v>1.29666666666666</c:v>
                </c:pt>
                <c:pt idx="372">
                  <c:v>1.66333333333333</c:v>
                </c:pt>
                <c:pt idx="373">
                  <c:v>1.7233333333333301</c:v>
                </c:pt>
                <c:pt idx="374">
                  <c:v>1.61666666666666</c:v>
                </c:pt>
                <c:pt idx="375">
                  <c:v>2.57666666666666</c:v>
                </c:pt>
                <c:pt idx="376">
                  <c:v>3.74</c:v>
                </c:pt>
                <c:pt idx="377">
                  <c:v>3.6199999999999899</c:v>
                </c:pt>
                <c:pt idx="378">
                  <c:v>3.6799999999999899</c:v>
                </c:pt>
                <c:pt idx="379">
                  <c:v>3.3833333333333302</c:v>
                </c:pt>
                <c:pt idx="380">
                  <c:v>3.45333333333333</c:v>
                </c:pt>
                <c:pt idx="381">
                  <c:v>3.0033333333333299</c:v>
                </c:pt>
                <c:pt idx="382">
                  <c:v>3.6466666666666598</c:v>
                </c:pt>
                <c:pt idx="383">
                  <c:v>4.28</c:v>
                </c:pt>
                <c:pt idx="384">
                  <c:v>3.9833333333333298</c:v>
                </c:pt>
                <c:pt idx="385">
                  <c:v>4.2033333333333296</c:v>
                </c:pt>
                <c:pt idx="386">
                  <c:v>4.47</c:v>
                </c:pt>
                <c:pt idx="387">
                  <c:v>5.5533333333333301</c:v>
                </c:pt>
                <c:pt idx="388">
                  <c:v>5.0333333333333297</c:v>
                </c:pt>
                <c:pt idx="389">
                  <c:v>6.52</c:v>
                </c:pt>
                <c:pt idx="390">
                  <c:v>5.95</c:v>
                </c:pt>
                <c:pt idx="391">
                  <c:v>5.0166666666666604</c:v>
                </c:pt>
                <c:pt idx="392">
                  <c:v>4.7233333333333301</c:v>
                </c:pt>
                <c:pt idx="393">
                  <c:v>3.8366666666666598</c:v>
                </c:pt>
                <c:pt idx="394">
                  <c:v>4.9366666666666603</c:v>
                </c:pt>
                <c:pt idx="395">
                  <c:v>6.9733333333333301</c:v>
                </c:pt>
                <c:pt idx="396">
                  <c:v>10.24</c:v>
                </c:pt>
                <c:pt idx="397">
                  <c:v>12.6899999999999</c:v>
                </c:pt>
                <c:pt idx="398">
                  <c:v>14.8333333333333</c:v>
                </c:pt>
                <c:pt idx="399">
                  <c:v>15.873333333333299</c:v>
                </c:pt>
                <c:pt idx="400">
                  <c:v>14.03</c:v>
                </c:pt>
                <c:pt idx="401">
                  <c:v>14.389999999999899</c:v>
                </c:pt>
                <c:pt idx="402">
                  <c:v>18.389999999999901</c:v>
                </c:pt>
                <c:pt idx="403">
                  <c:v>17.0766666666666</c:v>
                </c:pt>
                <c:pt idx="404">
                  <c:v>16.373333333333299</c:v>
                </c:pt>
                <c:pt idx="405">
                  <c:v>16.413333333333298</c:v>
                </c:pt>
                <c:pt idx="406">
                  <c:v>16.563333333333301</c:v>
                </c:pt>
                <c:pt idx="407">
                  <c:v>15.98</c:v>
                </c:pt>
                <c:pt idx="408">
                  <c:v>13.02</c:v>
                </c:pt>
                <c:pt idx="409">
                  <c:v>13.22</c:v>
                </c:pt>
                <c:pt idx="410">
                  <c:v>11.303333333333301</c:v>
                </c:pt>
                <c:pt idx="411">
                  <c:v>11.986666666666601</c:v>
                </c:pt>
                <c:pt idx="412">
                  <c:v>13.58</c:v>
                </c:pt>
                <c:pt idx="413">
                  <c:v>10.6966666666666</c:v>
                </c:pt>
                <c:pt idx="414">
                  <c:v>10.6066666666666</c:v>
                </c:pt>
                <c:pt idx="415">
                  <c:v>6.7266666666666604</c:v>
                </c:pt>
                <c:pt idx="416">
                  <c:v>6.67</c:v>
                </c:pt>
                <c:pt idx="417">
                  <c:v>8.9666666666666597</c:v>
                </c:pt>
                <c:pt idx="418">
                  <c:v>9.3333333333333304</c:v>
                </c:pt>
                <c:pt idx="419">
                  <c:v>7.3</c:v>
                </c:pt>
                <c:pt idx="420">
                  <c:v>7.38</c:v>
                </c:pt>
                <c:pt idx="421">
                  <c:v>7.1899999999999897</c:v>
                </c:pt>
                <c:pt idx="422">
                  <c:v>6.65</c:v>
                </c:pt>
                <c:pt idx="423">
                  <c:v>6.1966666666666601</c:v>
                </c:pt>
                <c:pt idx="424">
                  <c:v>5.1233333333333304</c:v>
                </c:pt>
                <c:pt idx="425">
                  <c:v>4.13</c:v>
                </c:pt>
                <c:pt idx="426">
                  <c:v>4.5199999999999996</c:v>
                </c:pt>
                <c:pt idx="427">
                  <c:v>4.91</c:v>
                </c:pt>
                <c:pt idx="428">
                  <c:v>5.4466666666666601</c:v>
                </c:pt>
                <c:pt idx="429">
                  <c:v>4.3833333333333302</c:v>
                </c:pt>
                <c:pt idx="430">
                  <c:v>4.2233333333333301</c:v>
                </c:pt>
                <c:pt idx="431">
                  <c:v>3.28</c:v>
                </c:pt>
                <c:pt idx="432">
                  <c:v>3.55</c:v>
                </c:pt>
                <c:pt idx="433">
                  <c:v>3.29</c:v>
                </c:pt>
                <c:pt idx="434">
                  <c:v>3.1566666666666601</c:v>
                </c:pt>
                <c:pt idx="435">
                  <c:v>3.25999999999999</c:v>
                </c:pt>
                <c:pt idx="436">
                  <c:v>3.0466666666666602</c:v>
                </c:pt>
                <c:pt idx="437">
                  <c:v>2.8299999999999899</c:v>
                </c:pt>
                <c:pt idx="438">
                  <c:v>2.2433333333333301</c:v>
                </c:pt>
                <c:pt idx="439">
                  <c:v>2.13</c:v>
                </c:pt>
                <c:pt idx="440">
                  <c:v>1.8799999999999899</c:v>
                </c:pt>
                <c:pt idx="441">
                  <c:v>1.90333333333333</c:v>
                </c:pt>
                <c:pt idx="442">
                  <c:v>1.2833333333333301</c:v>
                </c:pt>
                <c:pt idx="443">
                  <c:v>1.0233333333333301</c:v>
                </c:pt>
                <c:pt idx="444">
                  <c:v>1.71333333333333</c:v>
                </c:pt>
                <c:pt idx="445">
                  <c:v>1.8333333333333299</c:v>
                </c:pt>
                <c:pt idx="446">
                  <c:v>2.2633333333333301</c:v>
                </c:pt>
                <c:pt idx="447">
                  <c:v>2.5533333333333301</c:v>
                </c:pt>
                <c:pt idx="448">
                  <c:v>2.5033333333333299</c:v>
                </c:pt>
                <c:pt idx="449">
                  <c:v>3.6333333333333302</c:v>
                </c:pt>
                <c:pt idx="450">
                  <c:v>2.6099999999999901</c:v>
                </c:pt>
                <c:pt idx="451">
                  <c:v>2.86</c:v>
                </c:pt>
                <c:pt idx="452">
                  <c:v>2.4799999999999902</c:v>
                </c:pt>
                <c:pt idx="453">
                  <c:v>2.04</c:v>
                </c:pt>
                <c:pt idx="454">
                  <c:v>2.4599999999999902</c:v>
                </c:pt>
                <c:pt idx="455">
                  <c:v>2.46</c:v>
                </c:pt>
                <c:pt idx="456">
                  <c:v>1.4066666666666601</c:v>
                </c:pt>
                <c:pt idx="457">
                  <c:v>1.3866666666666601</c:v>
                </c:pt>
                <c:pt idx="458">
                  <c:v>1.5133333333333301</c:v>
                </c:pt>
                <c:pt idx="459">
                  <c:v>1.75</c:v>
                </c:pt>
                <c:pt idx="460">
                  <c:v>2.5433333333333299</c:v>
                </c:pt>
                <c:pt idx="461">
                  <c:v>2.69999999999999</c:v>
                </c:pt>
                <c:pt idx="462">
                  <c:v>2.46999999999999</c:v>
                </c:pt>
                <c:pt idx="463">
                  <c:v>3.2166666666666601</c:v>
                </c:pt>
                <c:pt idx="464">
                  <c:v>3.07</c:v>
                </c:pt>
                <c:pt idx="465">
                  <c:v>3.2733333333333299</c:v>
                </c:pt>
                <c:pt idx="466">
                  <c:v>3.62333333333333</c:v>
                </c:pt>
                <c:pt idx="467">
                  <c:v>3.66333333333333</c:v>
                </c:pt>
                <c:pt idx="468">
                  <c:v>2.3833333333333302</c:v>
                </c:pt>
                <c:pt idx="469">
                  <c:v>2.4733333333333301</c:v>
                </c:pt>
                <c:pt idx="470">
                  <c:v>2.2933333333333299</c:v>
                </c:pt>
                <c:pt idx="471">
                  <c:v>2.9966666666666599</c:v>
                </c:pt>
                <c:pt idx="472">
                  <c:v>3.20333333333333</c:v>
                </c:pt>
                <c:pt idx="473">
                  <c:v>4.22</c:v>
                </c:pt>
                <c:pt idx="474">
                  <c:v>4.45</c:v>
                </c:pt>
                <c:pt idx="475">
                  <c:v>4.5733333333333297</c:v>
                </c:pt>
                <c:pt idx="476">
                  <c:v>4.8766666666666598</c:v>
                </c:pt>
                <c:pt idx="477">
                  <c:v>3.9799999999999902</c:v>
                </c:pt>
                <c:pt idx="478">
                  <c:v>4.3466666666666596</c:v>
                </c:pt>
                <c:pt idx="479">
                  <c:v>4.7166666666666597</c:v>
                </c:pt>
                <c:pt idx="480">
                  <c:v>2.8866666666666601</c:v>
                </c:pt>
                <c:pt idx="481">
                  <c:v>3.49</c:v>
                </c:pt>
                <c:pt idx="482">
                  <c:v>3.4999999999999898</c:v>
                </c:pt>
                <c:pt idx="483">
                  <c:v>3.42</c:v>
                </c:pt>
                <c:pt idx="484">
                  <c:v>3.53666666666666</c:v>
                </c:pt>
                <c:pt idx="485">
                  <c:v>3.8233333333333301</c:v>
                </c:pt>
                <c:pt idx="486">
                  <c:v>3.30666666666666</c:v>
                </c:pt>
                <c:pt idx="487">
                  <c:v>3.1866666666666599</c:v>
                </c:pt>
                <c:pt idx="488">
                  <c:v>3.99</c:v>
                </c:pt>
                <c:pt idx="489">
                  <c:v>4.47</c:v>
                </c:pt>
                <c:pt idx="490">
                  <c:v>4.8999999999999897</c:v>
                </c:pt>
                <c:pt idx="491">
                  <c:v>7.27</c:v>
                </c:pt>
                <c:pt idx="492">
                  <c:v>8.24</c:v>
                </c:pt>
                <c:pt idx="493">
                  <c:v>14.25</c:v>
                </c:pt>
                <c:pt idx="494">
                  <c:v>18.55</c:v>
                </c:pt>
                <c:pt idx="495">
                  <c:v>20.696666666666601</c:v>
                </c:pt>
                <c:pt idx="496">
                  <c:v>12.4199999999999</c:v>
                </c:pt>
                <c:pt idx="497">
                  <c:v>7.6866666666666603</c:v>
                </c:pt>
                <c:pt idx="498">
                  <c:v>7.9666666666666597</c:v>
                </c:pt>
                <c:pt idx="499">
                  <c:v>8.8833333333333293</c:v>
                </c:pt>
                <c:pt idx="500">
                  <c:v>8.3466666666666605</c:v>
                </c:pt>
                <c:pt idx="501">
                  <c:v>7.87</c:v>
                </c:pt>
                <c:pt idx="502">
                  <c:v>6.1966666666666601</c:v>
                </c:pt>
                <c:pt idx="503">
                  <c:v>4.8966666666666603</c:v>
                </c:pt>
                <c:pt idx="504">
                  <c:v>4.1266666666666598</c:v>
                </c:pt>
                <c:pt idx="505">
                  <c:v>3.84666666666666</c:v>
                </c:pt>
                <c:pt idx="506">
                  <c:v>2.7566666666666602</c:v>
                </c:pt>
                <c:pt idx="507">
                  <c:v>2.3566666666666598</c:v>
                </c:pt>
                <c:pt idx="508">
                  <c:v>3.18333333333333</c:v>
                </c:pt>
                <c:pt idx="509">
                  <c:v>2.7966666666666602</c:v>
                </c:pt>
                <c:pt idx="510">
                  <c:v>1.86666666666666</c:v>
                </c:pt>
                <c:pt idx="511">
                  <c:v>1.7733333333333301</c:v>
                </c:pt>
                <c:pt idx="512">
                  <c:v>1.5699999999999901</c:v>
                </c:pt>
                <c:pt idx="513">
                  <c:v>1.96333333333333</c:v>
                </c:pt>
                <c:pt idx="514">
                  <c:v>1.8133333333333299</c:v>
                </c:pt>
                <c:pt idx="515">
                  <c:v>1.8333333333333299</c:v>
                </c:pt>
                <c:pt idx="516">
                  <c:v>1.6666666666666601</c:v>
                </c:pt>
                <c:pt idx="517">
                  <c:v>1.64333333333333</c:v>
                </c:pt>
                <c:pt idx="518">
                  <c:v>2.1</c:v>
                </c:pt>
                <c:pt idx="519">
                  <c:v>1.94999999999999</c:v>
                </c:pt>
                <c:pt idx="520">
                  <c:v>2.1566666666666601</c:v>
                </c:pt>
                <c:pt idx="521">
                  <c:v>1.9866666666666599</c:v>
                </c:pt>
                <c:pt idx="522">
                  <c:v>2.1866666666666599</c:v>
                </c:pt>
                <c:pt idx="523">
                  <c:v>1.7633333333333301</c:v>
                </c:pt>
                <c:pt idx="524">
                  <c:v>2.4466666666666601</c:v>
                </c:pt>
                <c:pt idx="525">
                  <c:v>2.8133333333333299</c:v>
                </c:pt>
                <c:pt idx="526">
                  <c:v>3.8366666666666598</c:v>
                </c:pt>
                <c:pt idx="527">
                  <c:v>4.7133333333333303</c:v>
                </c:pt>
                <c:pt idx="528">
                  <c:v>5.3233333333333297</c:v>
                </c:pt>
                <c:pt idx="529">
                  <c:v>5.3799999999999901</c:v>
                </c:pt>
                <c:pt idx="530">
                  <c:v>4.22</c:v>
                </c:pt>
                <c:pt idx="531">
                  <c:v>3.84666666666666</c:v>
                </c:pt>
                <c:pt idx="532">
                  <c:v>3.9833333333333298</c:v>
                </c:pt>
                <c:pt idx="533">
                  <c:v>4.1766666666666596</c:v>
                </c:pt>
                <c:pt idx="534">
                  <c:v>3.55666666666666</c:v>
                </c:pt>
                <c:pt idx="535">
                  <c:v>3.8033333333333301</c:v>
                </c:pt>
                <c:pt idx="536">
                  <c:v>4.0933333333333302</c:v>
                </c:pt>
                <c:pt idx="537">
                  <c:v>4.4899999999999904</c:v>
                </c:pt>
                <c:pt idx="538">
                  <c:v>4.6399999999999997</c:v>
                </c:pt>
                <c:pt idx="539">
                  <c:v>5.0199999999999996</c:v>
                </c:pt>
                <c:pt idx="540">
                  <c:v>4.3233333333333297</c:v>
                </c:pt>
                <c:pt idx="541">
                  <c:v>3.9866666666666601</c:v>
                </c:pt>
                <c:pt idx="542">
                  <c:v>4.0666666666666602</c:v>
                </c:pt>
                <c:pt idx="543">
                  <c:v>4.1966666666666601</c:v>
                </c:pt>
                <c:pt idx="544">
                  <c:v>4.4666666666666597</c:v>
                </c:pt>
                <c:pt idx="545">
                  <c:v>4.1966666666666601</c:v>
                </c:pt>
                <c:pt idx="546">
                  <c:v>5.4833333333333298</c:v>
                </c:pt>
                <c:pt idx="547">
                  <c:v>4.4666666666666597</c:v>
                </c:pt>
                <c:pt idx="548">
                  <c:v>3.4066666666666601</c:v>
                </c:pt>
                <c:pt idx="549">
                  <c:v>3.1933333333333298</c:v>
                </c:pt>
                <c:pt idx="550">
                  <c:v>3.03</c:v>
                </c:pt>
                <c:pt idx="551">
                  <c:v>2.4633333333333298</c:v>
                </c:pt>
                <c:pt idx="552">
                  <c:v>2.2000000000000002</c:v>
                </c:pt>
                <c:pt idx="553">
                  <c:v>2.31</c:v>
                </c:pt>
                <c:pt idx="554">
                  <c:v>2.4666666666666601</c:v>
                </c:pt>
                <c:pt idx="555">
                  <c:v>2.33</c:v>
                </c:pt>
                <c:pt idx="556">
                  <c:v>2.3866666666666601</c:v>
                </c:pt>
                <c:pt idx="557">
                  <c:v>2.1133333333333302</c:v>
                </c:pt>
                <c:pt idx="558">
                  <c:v>1.7466666666666599</c:v>
                </c:pt>
                <c:pt idx="559">
                  <c:v>2.0166666666666599</c:v>
                </c:pt>
                <c:pt idx="560">
                  <c:v>1.85666666666666</c:v>
                </c:pt>
                <c:pt idx="561">
                  <c:v>1.6</c:v>
                </c:pt>
                <c:pt idx="562">
                  <c:v>1.3333333333333299</c:v>
                </c:pt>
                <c:pt idx="563">
                  <c:v>1.08666666666666</c:v>
                </c:pt>
                <c:pt idx="564">
                  <c:v>0.87</c:v>
                </c:pt>
                <c:pt idx="565">
                  <c:v>0.78</c:v>
                </c:pt>
                <c:pt idx="566">
                  <c:v>0.67333333333333301</c:v>
                </c:pt>
                <c:pt idx="567">
                  <c:v>0.64999999999999902</c:v>
                </c:pt>
                <c:pt idx="568">
                  <c:v>0.79</c:v>
                </c:pt>
                <c:pt idx="569">
                  <c:v>0.75666666666666704</c:v>
                </c:pt>
                <c:pt idx="570">
                  <c:v>0.96</c:v>
                </c:pt>
                <c:pt idx="571">
                  <c:v>0.65333333333333299</c:v>
                </c:pt>
                <c:pt idx="572">
                  <c:v>0.85</c:v>
                </c:pt>
                <c:pt idx="573">
                  <c:v>0.62</c:v>
                </c:pt>
                <c:pt idx="574">
                  <c:v>1.03</c:v>
                </c:pt>
                <c:pt idx="575">
                  <c:v>1.03</c:v>
                </c:pt>
                <c:pt idx="576">
                  <c:v>0.93666666666666698</c:v>
                </c:pt>
                <c:pt idx="577">
                  <c:v>1.2833333333333301</c:v>
                </c:pt>
                <c:pt idx="578">
                  <c:v>1.01999999999999</c:v>
                </c:pt>
                <c:pt idx="579">
                  <c:v>1.19333333333333</c:v>
                </c:pt>
                <c:pt idx="580">
                  <c:v>1.92</c:v>
                </c:pt>
                <c:pt idx="581">
                  <c:v>1.34666666666666</c:v>
                </c:pt>
                <c:pt idx="582">
                  <c:v>1.39333333333333</c:v>
                </c:pt>
                <c:pt idx="583">
                  <c:v>1.2733333333333301</c:v>
                </c:pt>
                <c:pt idx="584">
                  <c:v>1.8133333333333299</c:v>
                </c:pt>
                <c:pt idx="585">
                  <c:v>2.1466666666666598</c:v>
                </c:pt>
                <c:pt idx="586">
                  <c:v>2.7166666666666601</c:v>
                </c:pt>
                <c:pt idx="587">
                  <c:v>3.0833333333333299</c:v>
                </c:pt>
                <c:pt idx="588">
                  <c:v>2.4266666666666601</c:v>
                </c:pt>
                <c:pt idx="589">
                  <c:v>3.47</c:v>
                </c:pt>
                <c:pt idx="590">
                  <c:v>4.0233333333333299</c:v>
                </c:pt>
                <c:pt idx="591">
                  <c:v>14.2466666666666</c:v>
                </c:pt>
                <c:pt idx="592">
                  <c:v>17.260000000000002</c:v>
                </c:pt>
                <c:pt idx="593">
                  <c:v>12.953333333333299</c:v>
                </c:pt>
                <c:pt idx="594">
                  <c:v>12.3666666666666</c:v>
                </c:pt>
                <c:pt idx="595">
                  <c:v>12.39</c:v>
                </c:pt>
                <c:pt idx="596">
                  <c:v>15.986666666666601</c:v>
                </c:pt>
                <c:pt idx="597">
                  <c:v>15.9133333333333</c:v>
                </c:pt>
                <c:pt idx="598">
                  <c:v>16.27</c:v>
                </c:pt>
                <c:pt idx="599">
                  <c:v>16.91</c:v>
                </c:pt>
                <c:pt idx="600">
                  <c:v>16.106666666666602</c:v>
                </c:pt>
                <c:pt idx="601">
                  <c:v>15.556666666666599</c:v>
                </c:pt>
                <c:pt idx="602">
                  <c:v>16.32</c:v>
                </c:pt>
                <c:pt idx="603">
                  <c:v>16.73</c:v>
                </c:pt>
                <c:pt idx="604">
                  <c:v>18.79</c:v>
                </c:pt>
                <c:pt idx="605">
                  <c:v>15.2</c:v>
                </c:pt>
                <c:pt idx="606">
                  <c:v>26.126666666666601</c:v>
                </c:pt>
                <c:pt idx="607">
                  <c:v>24.523333333333301</c:v>
                </c:pt>
                <c:pt idx="608">
                  <c:v>19.873333333333299</c:v>
                </c:pt>
                <c:pt idx="609">
                  <c:v>22.036666666666601</c:v>
                </c:pt>
                <c:pt idx="610">
                  <c:v>27.293333333333301</c:v>
                </c:pt>
                <c:pt idx="611">
                  <c:v>14.886666666666599</c:v>
                </c:pt>
                <c:pt idx="612">
                  <c:v>9.8433333333333302</c:v>
                </c:pt>
                <c:pt idx="613">
                  <c:v>9.15</c:v>
                </c:pt>
                <c:pt idx="614">
                  <c:v>7.7233333333333301</c:v>
                </c:pt>
                <c:pt idx="615">
                  <c:v>8.6300000000000008</c:v>
                </c:pt>
                <c:pt idx="616">
                  <c:v>7.9066666666666601</c:v>
                </c:pt>
                <c:pt idx="617">
                  <c:v>6.8066666666666604</c:v>
                </c:pt>
                <c:pt idx="618">
                  <c:v>5.1266666666666598</c:v>
                </c:pt>
                <c:pt idx="619">
                  <c:v>4.3833333333333302</c:v>
                </c:pt>
                <c:pt idx="620">
                  <c:v>6.06</c:v>
                </c:pt>
                <c:pt idx="621">
                  <c:v>6.1733333333333302</c:v>
                </c:pt>
                <c:pt idx="622">
                  <c:v>4.7399999999999904</c:v>
                </c:pt>
                <c:pt idx="623">
                  <c:v>5.3466666666666596</c:v>
                </c:pt>
                <c:pt idx="624">
                  <c:v>4.9800000000000004</c:v>
                </c:pt>
                <c:pt idx="625">
                  <c:v>6.5166666666666604</c:v>
                </c:pt>
                <c:pt idx="626">
                  <c:v>5.2466666666666599</c:v>
                </c:pt>
                <c:pt idx="627">
                  <c:v>3.99</c:v>
                </c:pt>
                <c:pt idx="628">
                  <c:v>4.1733333333333302</c:v>
                </c:pt>
                <c:pt idx="629">
                  <c:v>3.9233333333333298</c:v>
                </c:pt>
                <c:pt idx="630">
                  <c:v>4.37</c:v>
                </c:pt>
                <c:pt idx="631">
                  <c:v>5.0633333333333299</c:v>
                </c:pt>
                <c:pt idx="632">
                  <c:v>5.31</c:v>
                </c:pt>
                <c:pt idx="633">
                  <c:v>5.1333333333333302</c:v>
                </c:pt>
                <c:pt idx="634">
                  <c:v>5.4433333333333298</c:v>
                </c:pt>
                <c:pt idx="635">
                  <c:v>5.28666666666666</c:v>
                </c:pt>
                <c:pt idx="636">
                  <c:v>5.3733333333333304</c:v>
                </c:pt>
                <c:pt idx="637">
                  <c:v>5.1599999999999904</c:v>
                </c:pt>
                <c:pt idx="638">
                  <c:v>5.1933333333333298</c:v>
                </c:pt>
                <c:pt idx="639">
                  <c:v>4.7966666666666598</c:v>
                </c:pt>
                <c:pt idx="640">
                  <c:v>4.7766666666666602</c:v>
                </c:pt>
                <c:pt idx="641">
                  <c:v>4.75</c:v>
                </c:pt>
                <c:pt idx="642">
                  <c:v>5.6366666666666596</c:v>
                </c:pt>
                <c:pt idx="643">
                  <c:v>4.8600000000000003</c:v>
                </c:pt>
                <c:pt idx="644">
                  <c:v>5.2433333333333296</c:v>
                </c:pt>
                <c:pt idx="645">
                  <c:v>4.5466666666666598</c:v>
                </c:pt>
                <c:pt idx="646">
                  <c:v>3.89333333333333</c:v>
                </c:pt>
                <c:pt idx="647">
                  <c:v>3.2833333333333301</c:v>
                </c:pt>
                <c:pt idx="648">
                  <c:v>3.25999999999999</c:v>
                </c:pt>
                <c:pt idx="649">
                  <c:v>4.05</c:v>
                </c:pt>
                <c:pt idx="650">
                  <c:v>4.4299999999999899</c:v>
                </c:pt>
                <c:pt idx="651">
                  <c:v>4.03</c:v>
                </c:pt>
                <c:pt idx="652">
                  <c:v>4.1633333333333304</c:v>
                </c:pt>
                <c:pt idx="653">
                  <c:v>4.2699999999999996</c:v>
                </c:pt>
                <c:pt idx="654">
                  <c:v>4.82</c:v>
                </c:pt>
                <c:pt idx="655">
                  <c:v>4.6566666666666601</c:v>
                </c:pt>
                <c:pt idx="656">
                  <c:v>4.5199999999999996</c:v>
                </c:pt>
                <c:pt idx="657">
                  <c:v>4.9466666666666601</c:v>
                </c:pt>
                <c:pt idx="658">
                  <c:v>4.9466666666666601</c:v>
                </c:pt>
                <c:pt idx="659">
                  <c:v>4.9466666666666601</c:v>
                </c:pt>
                <c:pt idx="660">
                  <c:v>4.6199999999999903</c:v>
                </c:pt>
                <c:pt idx="661">
                  <c:v>4.91</c:v>
                </c:pt>
                <c:pt idx="662">
                  <c:v>5.1666666666666599</c:v>
                </c:pt>
                <c:pt idx="663">
                  <c:v>5.1766666666666596</c:v>
                </c:pt>
                <c:pt idx="664">
                  <c:v>5.54</c:v>
                </c:pt>
                <c:pt idx="665">
                  <c:v>5.7033333333333296</c:v>
                </c:pt>
                <c:pt idx="666">
                  <c:v>5.6366666666666596</c:v>
                </c:pt>
                <c:pt idx="667">
                  <c:v>6.07666666666666</c:v>
                </c:pt>
                <c:pt idx="668">
                  <c:v>6.0733333333333297</c:v>
                </c:pt>
                <c:pt idx="669">
                  <c:v>6.1899999999999897</c:v>
                </c:pt>
                <c:pt idx="670">
                  <c:v>5.36</c:v>
                </c:pt>
                <c:pt idx="671">
                  <c:v>4.9233333333333302</c:v>
                </c:pt>
                <c:pt idx="672">
                  <c:v>4.9533333333333296</c:v>
                </c:pt>
                <c:pt idx="673">
                  <c:v>5.39</c:v>
                </c:pt>
                <c:pt idx="674">
                  <c:v>4.3566666666666602</c:v>
                </c:pt>
                <c:pt idx="675">
                  <c:v>3.12333333333333</c:v>
                </c:pt>
                <c:pt idx="676">
                  <c:v>2.8</c:v>
                </c:pt>
                <c:pt idx="677">
                  <c:v>4.0166666666666604</c:v>
                </c:pt>
                <c:pt idx="678">
                  <c:v>4.0133333333333301</c:v>
                </c:pt>
                <c:pt idx="679">
                  <c:v>3.9099999999999899</c:v>
                </c:pt>
                <c:pt idx="680">
                  <c:v>3.7666666666666599</c:v>
                </c:pt>
                <c:pt idx="681">
                  <c:v>4.0299999999999896</c:v>
                </c:pt>
                <c:pt idx="682">
                  <c:v>3.3133333333333299</c:v>
                </c:pt>
                <c:pt idx="683">
                  <c:v>2.5833333333333299</c:v>
                </c:pt>
                <c:pt idx="684">
                  <c:v>2.8</c:v>
                </c:pt>
                <c:pt idx="685">
                  <c:v>3.9833333333333298</c:v>
                </c:pt>
                <c:pt idx="686">
                  <c:v>6.47</c:v>
                </c:pt>
                <c:pt idx="687">
                  <c:v>5.3366666666666598</c:v>
                </c:pt>
                <c:pt idx="688">
                  <c:v>9.3166666666666593</c:v>
                </c:pt>
                <c:pt idx="689">
                  <c:v>9.3099999999999898</c:v>
                </c:pt>
                <c:pt idx="690">
                  <c:v>8.5566666666666595</c:v>
                </c:pt>
                <c:pt idx="691">
                  <c:v>7.4866666666666601</c:v>
                </c:pt>
                <c:pt idx="692">
                  <c:v>8.4966666666666608</c:v>
                </c:pt>
                <c:pt idx="693">
                  <c:v>8.1466666666666594</c:v>
                </c:pt>
                <c:pt idx="694">
                  <c:v>8.4599999999999902</c:v>
                </c:pt>
                <c:pt idx="695">
                  <c:v>9.1</c:v>
                </c:pt>
                <c:pt idx="696">
                  <c:v>9.4499999999999993</c:v>
                </c:pt>
                <c:pt idx="697">
                  <c:v>10.1133333333333</c:v>
                </c:pt>
                <c:pt idx="698">
                  <c:v>11.8266666666666</c:v>
                </c:pt>
                <c:pt idx="699">
                  <c:v>12.1833333333333</c:v>
                </c:pt>
                <c:pt idx="700">
                  <c:v>12.45</c:v>
                </c:pt>
                <c:pt idx="701">
                  <c:v>12.056666666666599</c:v>
                </c:pt>
                <c:pt idx="702">
                  <c:v>12.4266666666666</c:v>
                </c:pt>
                <c:pt idx="703">
                  <c:v>7.2166666666666597</c:v>
                </c:pt>
                <c:pt idx="704">
                  <c:v>12.213333333333299</c:v>
                </c:pt>
                <c:pt idx="705">
                  <c:v>13.2433333333333</c:v>
                </c:pt>
                <c:pt idx="706">
                  <c:v>13.85</c:v>
                </c:pt>
                <c:pt idx="707">
                  <c:v>12.3599999999999</c:v>
                </c:pt>
                <c:pt idx="708">
                  <c:v>10.223333333333301</c:v>
                </c:pt>
                <c:pt idx="709">
                  <c:v>10.51</c:v>
                </c:pt>
                <c:pt idx="710">
                  <c:v>10.7633333333333</c:v>
                </c:pt>
                <c:pt idx="711">
                  <c:v>11.2433333333333</c:v>
                </c:pt>
                <c:pt idx="712">
                  <c:v>10.973333333333301</c:v>
                </c:pt>
                <c:pt idx="713">
                  <c:v>10.3633333333333</c:v>
                </c:pt>
                <c:pt idx="714">
                  <c:v>6.6666666666666696</c:v>
                </c:pt>
                <c:pt idx="715">
                  <c:v>5.2166666666666597</c:v>
                </c:pt>
                <c:pt idx="716">
                  <c:v>6.5266666666666602</c:v>
                </c:pt>
                <c:pt idx="717">
                  <c:v>1.9666666666666599</c:v>
                </c:pt>
                <c:pt idx="718">
                  <c:v>0.73333333333333295</c:v>
                </c:pt>
                <c:pt idx="719">
                  <c:v>0.73333333333333295</c:v>
                </c:pt>
                <c:pt idx="720">
                  <c:v>0.51</c:v>
                </c:pt>
                <c:pt idx="721">
                  <c:v>0.64333333333333298</c:v>
                </c:pt>
                <c:pt idx="722">
                  <c:v>0.63666666666666605</c:v>
                </c:pt>
                <c:pt idx="723">
                  <c:v>0.56666666666666599</c:v>
                </c:pt>
                <c:pt idx="724">
                  <c:v>0.49666666666666598</c:v>
                </c:pt>
                <c:pt idx="725">
                  <c:v>0.78666666666666596</c:v>
                </c:pt>
                <c:pt idx="726">
                  <c:v>0.88333333333333297</c:v>
                </c:pt>
                <c:pt idx="727">
                  <c:v>0.81333333333333202</c:v>
                </c:pt>
                <c:pt idx="728">
                  <c:v>1.0833333333333299</c:v>
                </c:pt>
                <c:pt idx="729">
                  <c:v>1.1666666666666601</c:v>
                </c:pt>
                <c:pt idx="730">
                  <c:v>1.43333333333333</c:v>
                </c:pt>
                <c:pt idx="731">
                  <c:v>1.70333333333333</c:v>
                </c:pt>
                <c:pt idx="732">
                  <c:v>1.57</c:v>
                </c:pt>
                <c:pt idx="733">
                  <c:v>2.2766666666666602</c:v>
                </c:pt>
                <c:pt idx="734">
                  <c:v>2.5266666666666602</c:v>
                </c:pt>
                <c:pt idx="735">
                  <c:v>2.6266666666666598</c:v>
                </c:pt>
                <c:pt idx="736">
                  <c:v>2.88</c:v>
                </c:pt>
                <c:pt idx="737">
                  <c:v>3.1666666666666599</c:v>
                </c:pt>
                <c:pt idx="738">
                  <c:v>1.9833333333333301</c:v>
                </c:pt>
                <c:pt idx="739">
                  <c:v>1.7166666666666599</c:v>
                </c:pt>
                <c:pt idx="740">
                  <c:v>1.78666666666666</c:v>
                </c:pt>
                <c:pt idx="741">
                  <c:v>1.7166666666666599</c:v>
                </c:pt>
                <c:pt idx="742">
                  <c:v>2.4866666666666601</c:v>
                </c:pt>
                <c:pt idx="743">
                  <c:v>2.3199999999999998</c:v>
                </c:pt>
                <c:pt idx="744">
                  <c:v>2.6133333333333302</c:v>
                </c:pt>
                <c:pt idx="745">
                  <c:v>3.3333333333333299</c:v>
                </c:pt>
                <c:pt idx="746">
                  <c:v>3.6033333333333299</c:v>
                </c:pt>
                <c:pt idx="747">
                  <c:v>4.2366666666666601</c:v>
                </c:pt>
                <c:pt idx="748">
                  <c:v>4.36666666666666</c:v>
                </c:pt>
                <c:pt idx="749">
                  <c:v>3.2433333333333301</c:v>
                </c:pt>
                <c:pt idx="750">
                  <c:v>2.56</c:v>
                </c:pt>
                <c:pt idx="751">
                  <c:v>2.4866666666666601</c:v>
                </c:pt>
                <c:pt idx="752">
                  <c:v>2.86666666666666</c:v>
                </c:pt>
                <c:pt idx="753">
                  <c:v>2.38</c:v>
                </c:pt>
                <c:pt idx="754">
                  <c:v>2.2599999999999998</c:v>
                </c:pt>
                <c:pt idx="755">
                  <c:v>2.7166666666666601</c:v>
                </c:pt>
                <c:pt idx="756">
                  <c:v>2.2599999999999998</c:v>
                </c:pt>
                <c:pt idx="757">
                  <c:v>2.4066666666666601</c:v>
                </c:pt>
                <c:pt idx="758">
                  <c:v>1.72999999999999</c:v>
                </c:pt>
                <c:pt idx="759">
                  <c:v>1.84</c:v>
                </c:pt>
                <c:pt idx="760">
                  <c:v>1.73</c:v>
                </c:pt>
                <c:pt idx="761">
                  <c:v>1.81666666666666</c:v>
                </c:pt>
                <c:pt idx="762">
                  <c:v>2.1800000000000002</c:v>
                </c:pt>
                <c:pt idx="763">
                  <c:v>1.88</c:v>
                </c:pt>
                <c:pt idx="764">
                  <c:v>2.2733333333333299</c:v>
                </c:pt>
                <c:pt idx="765">
                  <c:v>3.03666666666666</c:v>
                </c:pt>
                <c:pt idx="766">
                  <c:v>3.9766666666666599</c:v>
                </c:pt>
                <c:pt idx="767">
                  <c:v>4.9733333333333301</c:v>
                </c:pt>
                <c:pt idx="768">
                  <c:v>4.6466666666666603</c:v>
                </c:pt>
                <c:pt idx="769">
                  <c:v>5.25</c:v>
                </c:pt>
                <c:pt idx="770">
                  <c:v>5.1266666666666598</c:v>
                </c:pt>
                <c:pt idx="771">
                  <c:v>5.43333333333333</c:v>
                </c:pt>
                <c:pt idx="772">
                  <c:v>5.1966666666666601</c:v>
                </c:pt>
                <c:pt idx="773">
                  <c:v>5.4866666666666601</c:v>
                </c:pt>
                <c:pt idx="774">
                  <c:v>5.1033333333333299</c:v>
                </c:pt>
                <c:pt idx="775">
                  <c:v>5.77</c:v>
                </c:pt>
                <c:pt idx="776">
                  <c:v>5.0166666666666604</c:v>
                </c:pt>
                <c:pt idx="777">
                  <c:v>4.7033333333333296</c:v>
                </c:pt>
                <c:pt idx="778">
                  <c:v>4.6266666666666598</c:v>
                </c:pt>
                <c:pt idx="779">
                  <c:v>4.2066666666666599</c:v>
                </c:pt>
                <c:pt idx="780">
                  <c:v>4.7833333333333297</c:v>
                </c:pt>
                <c:pt idx="781">
                  <c:v>3.98</c:v>
                </c:pt>
                <c:pt idx="782">
                  <c:v>3.5233333333333299</c:v>
                </c:pt>
                <c:pt idx="783">
                  <c:v>5.14333333333333</c:v>
                </c:pt>
                <c:pt idx="784">
                  <c:v>4.1933333333333298</c:v>
                </c:pt>
                <c:pt idx="785">
                  <c:v>5.35</c:v>
                </c:pt>
                <c:pt idx="786">
                  <c:v>3.6933333333333298</c:v>
                </c:pt>
                <c:pt idx="787">
                  <c:v>3.9433333333333298</c:v>
                </c:pt>
                <c:pt idx="788">
                  <c:v>4.24</c:v>
                </c:pt>
                <c:pt idx="789">
                  <c:v>3.78</c:v>
                </c:pt>
                <c:pt idx="790">
                  <c:v>3.9733333333333301</c:v>
                </c:pt>
                <c:pt idx="791">
                  <c:v>3.78</c:v>
                </c:pt>
                <c:pt idx="792">
                  <c:v>3.20333333333333</c:v>
                </c:pt>
                <c:pt idx="793">
                  <c:v>3.7166666666666601</c:v>
                </c:pt>
                <c:pt idx="794">
                  <c:v>3.1499999999999901</c:v>
                </c:pt>
                <c:pt idx="795">
                  <c:v>3.4733333333333301</c:v>
                </c:pt>
                <c:pt idx="796">
                  <c:v>3.55</c:v>
                </c:pt>
                <c:pt idx="797">
                  <c:v>3.46</c:v>
                </c:pt>
                <c:pt idx="798">
                  <c:v>4.13</c:v>
                </c:pt>
                <c:pt idx="799">
                  <c:v>3.78</c:v>
                </c:pt>
                <c:pt idx="800">
                  <c:v>3.7433333333333301</c:v>
                </c:pt>
                <c:pt idx="801">
                  <c:v>4.43</c:v>
                </c:pt>
                <c:pt idx="802">
                  <c:v>4.1466666666666603</c:v>
                </c:pt>
                <c:pt idx="803">
                  <c:v>3.8833333333333302</c:v>
                </c:pt>
                <c:pt idx="804">
                  <c:v>3.6966666666666601</c:v>
                </c:pt>
                <c:pt idx="805">
                  <c:v>3.3566666666666598</c:v>
                </c:pt>
                <c:pt idx="806">
                  <c:v>3.2466666666666599</c:v>
                </c:pt>
                <c:pt idx="807">
                  <c:v>3.4399999999999902</c:v>
                </c:pt>
                <c:pt idx="808">
                  <c:v>3.1933333333333298</c:v>
                </c:pt>
                <c:pt idx="809">
                  <c:v>2.88</c:v>
                </c:pt>
                <c:pt idx="810">
                  <c:v>2.9033333333333302</c:v>
                </c:pt>
                <c:pt idx="811">
                  <c:v>2.4733333333333301</c:v>
                </c:pt>
                <c:pt idx="812">
                  <c:v>2.4199999999999902</c:v>
                </c:pt>
                <c:pt idx="813">
                  <c:v>2.4033333333333302</c:v>
                </c:pt>
                <c:pt idx="814">
                  <c:v>2.14</c:v>
                </c:pt>
                <c:pt idx="815">
                  <c:v>2.0633333333333299</c:v>
                </c:pt>
                <c:pt idx="816">
                  <c:v>1.7</c:v>
                </c:pt>
                <c:pt idx="817">
                  <c:v>1.86666666666666</c:v>
                </c:pt>
                <c:pt idx="818">
                  <c:v>2.17</c:v>
                </c:pt>
                <c:pt idx="819">
                  <c:v>1.8999999999999899</c:v>
                </c:pt>
                <c:pt idx="820">
                  <c:v>2.0099999999999998</c:v>
                </c:pt>
                <c:pt idx="821">
                  <c:v>1.9066666666666601</c:v>
                </c:pt>
                <c:pt idx="822">
                  <c:v>1.96</c:v>
                </c:pt>
                <c:pt idx="823">
                  <c:v>1.7666666666666599</c:v>
                </c:pt>
                <c:pt idx="824">
                  <c:v>1.7466666666666599</c:v>
                </c:pt>
                <c:pt idx="825">
                  <c:v>1.68</c:v>
                </c:pt>
                <c:pt idx="826">
                  <c:v>1.4166666666666601</c:v>
                </c:pt>
                <c:pt idx="827">
                  <c:v>1.12666666666666</c:v>
                </c:pt>
                <c:pt idx="828">
                  <c:v>1.19333333333333</c:v>
                </c:pt>
                <c:pt idx="829">
                  <c:v>1.07</c:v>
                </c:pt>
                <c:pt idx="830">
                  <c:v>1.17333333333333</c:v>
                </c:pt>
                <c:pt idx="831">
                  <c:v>1.3133333333333299</c:v>
                </c:pt>
                <c:pt idx="832">
                  <c:v>1.2999999999999901</c:v>
                </c:pt>
                <c:pt idx="833">
                  <c:v>1.2566666666666599</c:v>
                </c:pt>
                <c:pt idx="834">
                  <c:v>1.1466666666666601</c:v>
                </c:pt>
                <c:pt idx="835">
                  <c:v>1.4933333333333301</c:v>
                </c:pt>
                <c:pt idx="836">
                  <c:v>1.37666666666666</c:v>
                </c:pt>
                <c:pt idx="837">
                  <c:v>1.9666666666666599</c:v>
                </c:pt>
                <c:pt idx="838">
                  <c:v>1.83666666666666</c:v>
                </c:pt>
                <c:pt idx="839">
                  <c:v>1.6966666666666601</c:v>
                </c:pt>
                <c:pt idx="840">
                  <c:v>1.9833333333333301</c:v>
                </c:pt>
                <c:pt idx="841">
                  <c:v>1.31666666666666</c:v>
                </c:pt>
                <c:pt idx="842">
                  <c:v>1.3966666666666601</c:v>
                </c:pt>
                <c:pt idx="843">
                  <c:v>1.15333333333333</c:v>
                </c:pt>
                <c:pt idx="844">
                  <c:v>1.33666666666666</c:v>
                </c:pt>
                <c:pt idx="845">
                  <c:v>1.57</c:v>
                </c:pt>
                <c:pt idx="846">
                  <c:v>1.67333333333333</c:v>
                </c:pt>
                <c:pt idx="847">
                  <c:v>1.5066666666666599</c:v>
                </c:pt>
                <c:pt idx="848">
                  <c:v>1.0533333333333299</c:v>
                </c:pt>
                <c:pt idx="849">
                  <c:v>1.08666666666666</c:v>
                </c:pt>
                <c:pt idx="850">
                  <c:v>1.13333333333333</c:v>
                </c:pt>
                <c:pt idx="851">
                  <c:v>0.97666666666666602</c:v>
                </c:pt>
                <c:pt idx="852">
                  <c:v>1.1599999999999999</c:v>
                </c:pt>
                <c:pt idx="853">
                  <c:v>0.89333333333333298</c:v>
                </c:pt>
                <c:pt idx="854">
                  <c:v>1.1566666666666601</c:v>
                </c:pt>
                <c:pt idx="855">
                  <c:v>1.3</c:v>
                </c:pt>
                <c:pt idx="856">
                  <c:v>1.4833333333333301</c:v>
                </c:pt>
                <c:pt idx="857">
                  <c:v>1.79666666666666</c:v>
                </c:pt>
                <c:pt idx="858">
                  <c:v>2.4233333333333298</c:v>
                </c:pt>
                <c:pt idx="859">
                  <c:v>2.0833333333333299</c:v>
                </c:pt>
                <c:pt idx="860">
                  <c:v>2.4166666666666599</c:v>
                </c:pt>
                <c:pt idx="861">
                  <c:v>3.0866666666666598</c:v>
                </c:pt>
                <c:pt idx="862">
                  <c:v>3.1399999999999899</c:v>
                </c:pt>
                <c:pt idx="863">
                  <c:v>2.94</c:v>
                </c:pt>
                <c:pt idx="864">
                  <c:v>3.0633333333333299</c:v>
                </c:pt>
                <c:pt idx="865">
                  <c:v>2.63</c:v>
                </c:pt>
                <c:pt idx="866">
                  <c:v>3.35</c:v>
                </c:pt>
                <c:pt idx="867">
                  <c:v>2.4733333333333301</c:v>
                </c:pt>
                <c:pt idx="868">
                  <c:v>2.82666666666666</c:v>
                </c:pt>
                <c:pt idx="869">
                  <c:v>2.4466666666666601</c:v>
                </c:pt>
                <c:pt idx="870">
                  <c:v>3.5466666666666602</c:v>
                </c:pt>
                <c:pt idx="871">
                  <c:v>3.1066666666666598</c:v>
                </c:pt>
                <c:pt idx="872">
                  <c:v>2.63</c:v>
                </c:pt>
                <c:pt idx="873">
                  <c:v>3.3533333333333299</c:v>
                </c:pt>
                <c:pt idx="874">
                  <c:v>3.0333333333333301</c:v>
                </c:pt>
                <c:pt idx="875">
                  <c:v>2.3399999999999901</c:v>
                </c:pt>
                <c:pt idx="876">
                  <c:v>3.98</c:v>
                </c:pt>
                <c:pt idx="877">
                  <c:v>6.2133333333333303</c:v>
                </c:pt>
                <c:pt idx="878">
                  <c:v>5.1533333333333298</c:v>
                </c:pt>
                <c:pt idx="879">
                  <c:v>5.6633333333333304</c:v>
                </c:pt>
                <c:pt idx="880">
                  <c:v>4.32666666666666</c:v>
                </c:pt>
                <c:pt idx="881">
                  <c:v>3.2833333333333301</c:v>
                </c:pt>
                <c:pt idx="882">
                  <c:v>3.9966666666666599</c:v>
                </c:pt>
                <c:pt idx="883">
                  <c:v>3.57</c:v>
                </c:pt>
                <c:pt idx="884">
                  <c:v>2.4</c:v>
                </c:pt>
                <c:pt idx="885">
                  <c:v>2.4866666666666601</c:v>
                </c:pt>
                <c:pt idx="886">
                  <c:v>2.5333333333333301</c:v>
                </c:pt>
                <c:pt idx="887">
                  <c:v>2.75</c:v>
                </c:pt>
                <c:pt idx="888">
                  <c:v>3.0866666666666598</c:v>
                </c:pt>
                <c:pt idx="889">
                  <c:v>5.07666666666666</c:v>
                </c:pt>
                <c:pt idx="890">
                  <c:v>3.9566666666666599</c:v>
                </c:pt>
                <c:pt idx="891">
                  <c:v>4.93</c:v>
                </c:pt>
                <c:pt idx="892">
                  <c:v>7.0733333333333297</c:v>
                </c:pt>
                <c:pt idx="893">
                  <c:v>6.2233333333333301</c:v>
                </c:pt>
                <c:pt idx="894">
                  <c:v>5.6299999999999901</c:v>
                </c:pt>
                <c:pt idx="895">
                  <c:v>3.5933333333333302</c:v>
                </c:pt>
                <c:pt idx="896">
                  <c:v>5.0333333333333297</c:v>
                </c:pt>
                <c:pt idx="897">
                  <c:v>6.3766666666666598</c:v>
                </c:pt>
                <c:pt idx="898">
                  <c:v>8.0066666666666606</c:v>
                </c:pt>
                <c:pt idx="899">
                  <c:v>7.1333333333333302</c:v>
                </c:pt>
                <c:pt idx="900">
                  <c:v>4.37</c:v>
                </c:pt>
                <c:pt idx="901">
                  <c:v>2.9866666666666601</c:v>
                </c:pt>
                <c:pt idx="902">
                  <c:v>1.7066666666666599</c:v>
                </c:pt>
                <c:pt idx="903">
                  <c:v>3.01</c:v>
                </c:pt>
                <c:pt idx="904">
                  <c:v>6.12</c:v>
                </c:pt>
                <c:pt idx="905">
                  <c:v>5.62</c:v>
                </c:pt>
                <c:pt idx="906">
                  <c:v>5.2666666666666604</c:v>
                </c:pt>
                <c:pt idx="907">
                  <c:v>5.6</c:v>
                </c:pt>
                <c:pt idx="908">
                  <c:v>5.51</c:v>
                </c:pt>
                <c:pt idx="909">
                  <c:v>5.3033333333333301</c:v>
                </c:pt>
                <c:pt idx="910">
                  <c:v>4.0966666666666596</c:v>
                </c:pt>
                <c:pt idx="911">
                  <c:v>3.6099999999999901</c:v>
                </c:pt>
                <c:pt idx="912">
                  <c:v>3.1766666666666601</c:v>
                </c:pt>
                <c:pt idx="913">
                  <c:v>2.9566666666666599</c:v>
                </c:pt>
                <c:pt idx="914">
                  <c:v>2.89333333333333</c:v>
                </c:pt>
                <c:pt idx="915">
                  <c:v>3.2333333333333298</c:v>
                </c:pt>
                <c:pt idx="916">
                  <c:v>3.1133333333333302</c:v>
                </c:pt>
                <c:pt idx="917">
                  <c:v>2.3533333333333299</c:v>
                </c:pt>
                <c:pt idx="918">
                  <c:v>3.2533333333333299</c:v>
                </c:pt>
                <c:pt idx="919">
                  <c:v>3.3533333333333299</c:v>
                </c:pt>
                <c:pt idx="920">
                  <c:v>2.8566666666666598</c:v>
                </c:pt>
                <c:pt idx="921">
                  <c:v>2.7499999999999898</c:v>
                </c:pt>
                <c:pt idx="922">
                  <c:v>2.8333333333333299</c:v>
                </c:pt>
                <c:pt idx="923">
                  <c:v>3.11666666666666</c:v>
                </c:pt>
                <c:pt idx="924">
                  <c:v>2.6266666666666598</c:v>
                </c:pt>
                <c:pt idx="925">
                  <c:v>3.5833333333333299</c:v>
                </c:pt>
                <c:pt idx="926">
                  <c:v>4.3166666666666602</c:v>
                </c:pt>
                <c:pt idx="927">
                  <c:v>3.9566666666666599</c:v>
                </c:pt>
                <c:pt idx="928">
                  <c:v>3.3299999999999899</c:v>
                </c:pt>
                <c:pt idx="929">
                  <c:v>5.8966666666666603</c:v>
                </c:pt>
                <c:pt idx="930">
                  <c:v>2.7666666666666599</c:v>
                </c:pt>
                <c:pt idx="931">
                  <c:v>3.3033333333333301</c:v>
                </c:pt>
                <c:pt idx="932">
                  <c:v>4.2266666666666604</c:v>
                </c:pt>
                <c:pt idx="933">
                  <c:v>5.0966666666666596</c:v>
                </c:pt>
                <c:pt idx="934">
                  <c:v>3.8033333333333301</c:v>
                </c:pt>
                <c:pt idx="935">
                  <c:v>2.7966666666666602</c:v>
                </c:pt>
                <c:pt idx="936">
                  <c:v>3.62333333333333</c:v>
                </c:pt>
                <c:pt idx="937">
                  <c:v>3.89</c:v>
                </c:pt>
                <c:pt idx="938">
                  <c:v>2.2733333333333299</c:v>
                </c:pt>
                <c:pt idx="939">
                  <c:v>2.03666666666666</c:v>
                </c:pt>
                <c:pt idx="940">
                  <c:v>2.5066666666666602</c:v>
                </c:pt>
                <c:pt idx="941">
                  <c:v>3.3</c:v>
                </c:pt>
                <c:pt idx="942">
                  <c:v>2.73</c:v>
                </c:pt>
                <c:pt idx="943">
                  <c:v>3.8033333333333301</c:v>
                </c:pt>
                <c:pt idx="944">
                  <c:v>2.68333333333333</c:v>
                </c:pt>
                <c:pt idx="945">
                  <c:v>2.07666666666666</c:v>
                </c:pt>
                <c:pt idx="946">
                  <c:v>2.23999999999999</c:v>
                </c:pt>
                <c:pt idx="947">
                  <c:v>1.88</c:v>
                </c:pt>
                <c:pt idx="948">
                  <c:v>2.34666666666666</c:v>
                </c:pt>
                <c:pt idx="949">
                  <c:v>2.31</c:v>
                </c:pt>
                <c:pt idx="950">
                  <c:v>2.64333333333333</c:v>
                </c:pt>
                <c:pt idx="951">
                  <c:v>2.8366666666666598</c:v>
                </c:pt>
                <c:pt idx="952">
                  <c:v>3.30666666666666</c:v>
                </c:pt>
                <c:pt idx="953">
                  <c:v>3.41</c:v>
                </c:pt>
                <c:pt idx="954">
                  <c:v>3.4666666666666601</c:v>
                </c:pt>
                <c:pt idx="955">
                  <c:v>4.2133333333333303</c:v>
                </c:pt>
                <c:pt idx="956">
                  <c:v>3.9733333333333301</c:v>
                </c:pt>
                <c:pt idx="957">
                  <c:v>3.2933333333333299</c:v>
                </c:pt>
                <c:pt idx="958">
                  <c:v>2.7933333333333299</c:v>
                </c:pt>
                <c:pt idx="959">
                  <c:v>2.6066666666666598</c:v>
                </c:pt>
                <c:pt idx="960">
                  <c:v>2.64333333333333</c:v>
                </c:pt>
                <c:pt idx="961">
                  <c:v>1.73</c:v>
                </c:pt>
                <c:pt idx="962">
                  <c:v>1.0333333333333301</c:v>
                </c:pt>
                <c:pt idx="963">
                  <c:v>1.29666666666666</c:v>
                </c:pt>
                <c:pt idx="964">
                  <c:v>0.68666666666666598</c:v>
                </c:pt>
                <c:pt idx="965">
                  <c:v>0.44</c:v>
                </c:pt>
                <c:pt idx="966">
                  <c:v>0.65666666666666595</c:v>
                </c:pt>
                <c:pt idx="967">
                  <c:v>0.62333333333333296</c:v>
                </c:pt>
                <c:pt idx="968">
                  <c:v>0.68333333333333302</c:v>
                </c:pt>
                <c:pt idx="969">
                  <c:v>0.67</c:v>
                </c:pt>
                <c:pt idx="970">
                  <c:v>0.63</c:v>
                </c:pt>
                <c:pt idx="971">
                  <c:v>0.97333333333333305</c:v>
                </c:pt>
                <c:pt idx="972">
                  <c:v>2.30666666666666</c:v>
                </c:pt>
                <c:pt idx="973">
                  <c:v>16.95</c:v>
                </c:pt>
                <c:pt idx="974">
                  <c:v>15.4466666666666</c:v>
                </c:pt>
                <c:pt idx="975">
                  <c:v>11.283333333333299</c:v>
                </c:pt>
                <c:pt idx="976">
                  <c:v>8.3066666666666595</c:v>
                </c:pt>
                <c:pt idx="977">
                  <c:v>5.2266666666666604</c:v>
                </c:pt>
                <c:pt idx="978">
                  <c:v>2.92</c:v>
                </c:pt>
                <c:pt idx="979">
                  <c:v>2.7766666666666602</c:v>
                </c:pt>
                <c:pt idx="980">
                  <c:v>1.7933333333333299</c:v>
                </c:pt>
                <c:pt idx="981">
                  <c:v>1.76</c:v>
                </c:pt>
                <c:pt idx="982">
                  <c:v>1.64333333333333</c:v>
                </c:pt>
                <c:pt idx="983">
                  <c:v>2.0499999999999998</c:v>
                </c:pt>
                <c:pt idx="984">
                  <c:v>3.5833333333333299</c:v>
                </c:pt>
                <c:pt idx="985">
                  <c:v>3.3533333333333299</c:v>
                </c:pt>
                <c:pt idx="986">
                  <c:v>2.6266666666666598</c:v>
                </c:pt>
                <c:pt idx="987">
                  <c:v>3.08</c:v>
                </c:pt>
                <c:pt idx="988">
                  <c:v>3.19999999999999</c:v>
                </c:pt>
                <c:pt idx="989">
                  <c:v>3.4266666666666601</c:v>
                </c:pt>
                <c:pt idx="990">
                  <c:v>1.8899999999999899</c:v>
                </c:pt>
                <c:pt idx="991">
                  <c:v>1.68</c:v>
                </c:pt>
                <c:pt idx="992">
                  <c:v>1.9833333333333301</c:v>
                </c:pt>
                <c:pt idx="993">
                  <c:v>1.7366666666666599</c:v>
                </c:pt>
                <c:pt idx="994">
                  <c:v>1.3</c:v>
                </c:pt>
                <c:pt idx="995">
                  <c:v>1.54666666666666</c:v>
                </c:pt>
                <c:pt idx="996">
                  <c:v>1.82666666666666</c:v>
                </c:pt>
                <c:pt idx="997">
                  <c:v>2.1466666666666598</c:v>
                </c:pt>
                <c:pt idx="998">
                  <c:v>1.62</c:v>
                </c:pt>
                <c:pt idx="999">
                  <c:v>1.08666666666666</c:v>
                </c:pt>
                <c:pt idx="1000">
                  <c:v>1.4866666666666599</c:v>
                </c:pt>
                <c:pt idx="1001">
                  <c:v>4.87</c:v>
                </c:pt>
                <c:pt idx="1002">
                  <c:v>4.0866666666666598</c:v>
                </c:pt>
                <c:pt idx="1003">
                  <c:v>4.47</c:v>
                </c:pt>
                <c:pt idx="1004">
                  <c:v>3.87</c:v>
                </c:pt>
                <c:pt idx="1005">
                  <c:v>1.5633333333333299</c:v>
                </c:pt>
                <c:pt idx="1006">
                  <c:v>1.0733333333333299</c:v>
                </c:pt>
                <c:pt idx="1007">
                  <c:v>0.81666666666666599</c:v>
                </c:pt>
                <c:pt idx="1008">
                  <c:v>1.1766666666666601</c:v>
                </c:pt>
                <c:pt idx="1009">
                  <c:v>1.70333333333333</c:v>
                </c:pt>
                <c:pt idx="1010">
                  <c:v>2.3033333333333301</c:v>
                </c:pt>
                <c:pt idx="1011">
                  <c:v>0.98</c:v>
                </c:pt>
                <c:pt idx="1012">
                  <c:v>0.93666666666666598</c:v>
                </c:pt>
                <c:pt idx="1013">
                  <c:v>1.48999999999999</c:v>
                </c:pt>
                <c:pt idx="1014">
                  <c:v>1.0233333333333301</c:v>
                </c:pt>
                <c:pt idx="1015">
                  <c:v>1.15333333333333</c:v>
                </c:pt>
                <c:pt idx="1016">
                  <c:v>1.4833333333333301</c:v>
                </c:pt>
                <c:pt idx="1017">
                  <c:v>1.6</c:v>
                </c:pt>
                <c:pt idx="1018">
                  <c:v>1.71999999999999</c:v>
                </c:pt>
                <c:pt idx="1019">
                  <c:v>1.0733333333333299</c:v>
                </c:pt>
                <c:pt idx="1020">
                  <c:v>1.2666666666666599</c:v>
                </c:pt>
                <c:pt idx="1021">
                  <c:v>1.6033333333333299</c:v>
                </c:pt>
                <c:pt idx="1022">
                  <c:v>1.5166666666666599</c:v>
                </c:pt>
                <c:pt idx="1023">
                  <c:v>2.5466666666666602</c:v>
                </c:pt>
                <c:pt idx="1024">
                  <c:v>2.9466666666666601</c:v>
                </c:pt>
                <c:pt idx="1025">
                  <c:v>3.2633333333333301</c:v>
                </c:pt>
                <c:pt idx="1026">
                  <c:v>3.82666666666666</c:v>
                </c:pt>
                <c:pt idx="1027">
                  <c:v>2.4233333333333298</c:v>
                </c:pt>
                <c:pt idx="1028">
                  <c:v>2.7566666666666602</c:v>
                </c:pt>
                <c:pt idx="1029">
                  <c:v>2.80666666666666</c:v>
                </c:pt>
                <c:pt idx="1030">
                  <c:v>2.4866666666666601</c:v>
                </c:pt>
                <c:pt idx="1031">
                  <c:v>2.2766666666666602</c:v>
                </c:pt>
                <c:pt idx="1032">
                  <c:v>2.4733333333333301</c:v>
                </c:pt>
                <c:pt idx="1033">
                  <c:v>2.62333333333333</c:v>
                </c:pt>
                <c:pt idx="1034">
                  <c:v>2.6666666666666599</c:v>
                </c:pt>
                <c:pt idx="1035">
                  <c:v>2.84666666666666</c:v>
                </c:pt>
                <c:pt idx="1036">
                  <c:v>2.8433333333333302</c:v>
                </c:pt>
                <c:pt idx="1037">
                  <c:v>2.63</c:v>
                </c:pt>
                <c:pt idx="1038">
                  <c:v>2.3866666666666601</c:v>
                </c:pt>
                <c:pt idx="1039">
                  <c:v>2.1966666666666601</c:v>
                </c:pt>
                <c:pt idx="1040">
                  <c:v>2.9099999999999899</c:v>
                </c:pt>
                <c:pt idx="1041">
                  <c:v>3.34666666666666</c:v>
                </c:pt>
                <c:pt idx="1042">
                  <c:v>3.7266666666666599</c:v>
                </c:pt>
                <c:pt idx="1043">
                  <c:v>4.1233333333333304</c:v>
                </c:pt>
                <c:pt idx="1044">
                  <c:v>4.5199999999999996</c:v>
                </c:pt>
                <c:pt idx="1045">
                  <c:v>2.62333333333333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68-417C-8C2C-24DB8B7EE658}"/>
            </c:ext>
          </c:extLst>
        </c:ser>
        <c:ser>
          <c:idx val="1"/>
          <c:order val="1"/>
          <c:tx>
            <c:v>PM2.5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'nebuleair_export (1)'!$A$1:$A$1046</c:f>
              <c:strCache>
                <c:ptCount val="1046"/>
                <c:pt idx="0">
                  <c:v>time</c:v>
                </c:pt>
                <c:pt idx="1">
                  <c:v>2026-01-26T16:00:00.000Z</c:v>
                </c:pt>
                <c:pt idx="2">
                  <c:v>2026-01-26T16:15:00.000Z</c:v>
                </c:pt>
                <c:pt idx="3">
                  <c:v>2026-01-26T16:30:00.000Z</c:v>
                </c:pt>
                <c:pt idx="4">
                  <c:v>2026-01-26T16:45:00.000Z</c:v>
                </c:pt>
                <c:pt idx="5">
                  <c:v>2026-01-26T17:00:00.000Z</c:v>
                </c:pt>
                <c:pt idx="6">
                  <c:v>2026-01-26T17:15:00.000Z</c:v>
                </c:pt>
                <c:pt idx="7">
                  <c:v>2026-01-26T17:30:00.000Z</c:v>
                </c:pt>
                <c:pt idx="8">
                  <c:v>2026-01-26T17:45:00.000Z</c:v>
                </c:pt>
                <c:pt idx="9">
                  <c:v>2026-01-26T18:00:00.000Z</c:v>
                </c:pt>
                <c:pt idx="10">
                  <c:v>2026-01-26T18:15:00.000Z</c:v>
                </c:pt>
                <c:pt idx="11">
                  <c:v>2026-01-26T18:30:00.000Z</c:v>
                </c:pt>
                <c:pt idx="12">
                  <c:v>2026-01-26T18:45:00.000Z</c:v>
                </c:pt>
                <c:pt idx="13">
                  <c:v>2026-01-26T19:00:00.000Z</c:v>
                </c:pt>
                <c:pt idx="14">
                  <c:v>2026-01-26T19:15:00.000Z</c:v>
                </c:pt>
                <c:pt idx="15">
                  <c:v>2026-01-26T19:30:00.000Z</c:v>
                </c:pt>
                <c:pt idx="16">
                  <c:v>2026-01-26T19:45:00.000Z</c:v>
                </c:pt>
                <c:pt idx="17">
                  <c:v>2026-01-26T20:00:00.000Z</c:v>
                </c:pt>
                <c:pt idx="18">
                  <c:v>2026-01-26T20:15:00.000Z</c:v>
                </c:pt>
                <c:pt idx="19">
                  <c:v>2026-01-26T20:30:00.000Z</c:v>
                </c:pt>
                <c:pt idx="20">
                  <c:v>2026-01-26T20:45:00.000Z</c:v>
                </c:pt>
                <c:pt idx="21">
                  <c:v>2026-01-26T21:00:00.000Z</c:v>
                </c:pt>
                <c:pt idx="22">
                  <c:v>2026-01-26T21:15:00.000Z</c:v>
                </c:pt>
                <c:pt idx="23">
                  <c:v>2026-01-26T21:30:00.000Z</c:v>
                </c:pt>
                <c:pt idx="24">
                  <c:v>2026-01-26T21:45:00.000Z</c:v>
                </c:pt>
                <c:pt idx="25">
                  <c:v>2026-01-26T22:00:00.000Z</c:v>
                </c:pt>
                <c:pt idx="26">
                  <c:v>2026-01-26T22:15:00.000Z</c:v>
                </c:pt>
                <c:pt idx="27">
                  <c:v>2026-01-26T22:30:00.000Z</c:v>
                </c:pt>
                <c:pt idx="28">
                  <c:v>2026-01-26T22:45:00.000Z</c:v>
                </c:pt>
                <c:pt idx="29">
                  <c:v>2026-01-26T23:00:00.000Z</c:v>
                </c:pt>
                <c:pt idx="30">
                  <c:v>2026-01-26T23:15:00.000Z</c:v>
                </c:pt>
                <c:pt idx="31">
                  <c:v>2026-01-26T23:30:00.000Z</c:v>
                </c:pt>
                <c:pt idx="32">
                  <c:v>2026-01-26T23:45:00.000Z</c:v>
                </c:pt>
                <c:pt idx="33">
                  <c:v>2026-01-27T00:00:00.000Z</c:v>
                </c:pt>
                <c:pt idx="34">
                  <c:v>2026-01-27T00:15:00.000Z</c:v>
                </c:pt>
                <c:pt idx="35">
                  <c:v>2026-01-27T00:30:00.000Z</c:v>
                </c:pt>
                <c:pt idx="36">
                  <c:v>2026-01-27T00:45:00.000Z</c:v>
                </c:pt>
                <c:pt idx="37">
                  <c:v>2026-01-27T01:00:00.000Z</c:v>
                </c:pt>
                <c:pt idx="38">
                  <c:v>2026-01-27T01:15:00.000Z</c:v>
                </c:pt>
                <c:pt idx="39">
                  <c:v>2026-01-27T01:30:00.000Z</c:v>
                </c:pt>
                <c:pt idx="40">
                  <c:v>2026-01-27T01:45:00.000Z</c:v>
                </c:pt>
                <c:pt idx="41">
                  <c:v>2026-01-27T02:00:00.000Z</c:v>
                </c:pt>
                <c:pt idx="42">
                  <c:v>2026-01-27T02:15:00.000Z</c:v>
                </c:pt>
                <c:pt idx="43">
                  <c:v>2026-01-27T02:30:00.000Z</c:v>
                </c:pt>
                <c:pt idx="44">
                  <c:v>2026-01-27T02:45:00.000Z</c:v>
                </c:pt>
                <c:pt idx="45">
                  <c:v>2026-01-27T03:00:00.000Z</c:v>
                </c:pt>
                <c:pt idx="46">
                  <c:v>2026-01-27T03:15:00.000Z</c:v>
                </c:pt>
                <c:pt idx="47">
                  <c:v>2026-01-27T03:30:00.000Z</c:v>
                </c:pt>
                <c:pt idx="48">
                  <c:v>2026-01-27T03:45:00.000Z</c:v>
                </c:pt>
                <c:pt idx="49">
                  <c:v>2026-01-27T04:00:00.000Z</c:v>
                </c:pt>
                <c:pt idx="50">
                  <c:v>2026-01-27T04:15:00.000Z</c:v>
                </c:pt>
                <c:pt idx="51">
                  <c:v>2026-01-27T04:30:00.000Z</c:v>
                </c:pt>
                <c:pt idx="52">
                  <c:v>2026-01-27T04:45:00.000Z</c:v>
                </c:pt>
                <c:pt idx="53">
                  <c:v>2026-01-27T05:00:00.000Z</c:v>
                </c:pt>
                <c:pt idx="54">
                  <c:v>2026-01-27T05:15:00.000Z</c:v>
                </c:pt>
                <c:pt idx="55">
                  <c:v>2026-01-27T05:30:00.000Z</c:v>
                </c:pt>
                <c:pt idx="56">
                  <c:v>2026-01-27T05:45:00.000Z</c:v>
                </c:pt>
                <c:pt idx="57">
                  <c:v>2026-01-27T06:00:00.000Z</c:v>
                </c:pt>
                <c:pt idx="58">
                  <c:v>2026-01-27T06:15:00.000Z</c:v>
                </c:pt>
                <c:pt idx="59">
                  <c:v>2026-01-27T06:30:00.000Z</c:v>
                </c:pt>
                <c:pt idx="60">
                  <c:v>2026-01-27T06:45:00.000Z</c:v>
                </c:pt>
                <c:pt idx="61">
                  <c:v>2026-01-27T07:00:00.000Z</c:v>
                </c:pt>
                <c:pt idx="62">
                  <c:v>2026-01-27T07:15:00.000Z</c:v>
                </c:pt>
                <c:pt idx="63">
                  <c:v>2026-01-27T07:30:00.000Z</c:v>
                </c:pt>
                <c:pt idx="64">
                  <c:v>2026-01-27T07:45:00.000Z</c:v>
                </c:pt>
                <c:pt idx="65">
                  <c:v>2026-01-27T08:00:00.000Z</c:v>
                </c:pt>
                <c:pt idx="66">
                  <c:v>2026-01-27T08:15:00.000Z</c:v>
                </c:pt>
                <c:pt idx="67">
                  <c:v>2026-01-27T08:30:00.000Z</c:v>
                </c:pt>
                <c:pt idx="68">
                  <c:v>2026-01-27T08:45:00.000Z</c:v>
                </c:pt>
                <c:pt idx="69">
                  <c:v>2026-01-27T09:00:00.000Z</c:v>
                </c:pt>
                <c:pt idx="70">
                  <c:v>2026-01-27T09:15:00.000Z</c:v>
                </c:pt>
                <c:pt idx="71">
                  <c:v>2026-01-27T09:30:00.000Z</c:v>
                </c:pt>
                <c:pt idx="72">
                  <c:v>2026-01-27T09:45:00.000Z</c:v>
                </c:pt>
                <c:pt idx="73">
                  <c:v>2026-01-27T10:00:00.000Z</c:v>
                </c:pt>
                <c:pt idx="74">
                  <c:v>2026-01-27T10:15:00.000Z</c:v>
                </c:pt>
                <c:pt idx="75">
                  <c:v>2026-01-27T10:30:00.000Z</c:v>
                </c:pt>
                <c:pt idx="76">
                  <c:v>2026-01-27T10:45:00.000Z</c:v>
                </c:pt>
                <c:pt idx="77">
                  <c:v>2026-01-27T11:00:00.000Z</c:v>
                </c:pt>
                <c:pt idx="78">
                  <c:v>2026-01-27T11:15:00.000Z</c:v>
                </c:pt>
                <c:pt idx="79">
                  <c:v>2026-01-27T11:30:00.000Z</c:v>
                </c:pt>
                <c:pt idx="80">
                  <c:v>2026-01-27T11:45:00.000Z</c:v>
                </c:pt>
                <c:pt idx="81">
                  <c:v>2026-01-27T12:00:00.000Z</c:v>
                </c:pt>
                <c:pt idx="82">
                  <c:v>2026-01-27T12:15:00.000Z</c:v>
                </c:pt>
                <c:pt idx="83">
                  <c:v>2026-01-27T12:30:00.000Z</c:v>
                </c:pt>
                <c:pt idx="84">
                  <c:v>2026-01-27T12:45:00.000Z</c:v>
                </c:pt>
                <c:pt idx="85">
                  <c:v>2026-01-27T13:00:00.000Z</c:v>
                </c:pt>
                <c:pt idx="86">
                  <c:v>2026-01-27T13:15:00.000Z</c:v>
                </c:pt>
                <c:pt idx="87">
                  <c:v>2026-01-27T13:30:00.000Z</c:v>
                </c:pt>
                <c:pt idx="88">
                  <c:v>2026-01-27T13:45:00.000Z</c:v>
                </c:pt>
                <c:pt idx="89">
                  <c:v>2026-01-27T14:00:00.000Z</c:v>
                </c:pt>
                <c:pt idx="90">
                  <c:v>2026-01-27T14:15:00.000Z</c:v>
                </c:pt>
                <c:pt idx="91">
                  <c:v>2026-01-27T14:30:00.000Z</c:v>
                </c:pt>
                <c:pt idx="92">
                  <c:v>2026-01-27T14:45:00.000Z</c:v>
                </c:pt>
                <c:pt idx="93">
                  <c:v>2026-01-27T15:00:00.000Z</c:v>
                </c:pt>
                <c:pt idx="94">
                  <c:v>2026-01-27T15:15:00.000Z</c:v>
                </c:pt>
                <c:pt idx="95">
                  <c:v>2026-01-27T15:30:00.000Z</c:v>
                </c:pt>
                <c:pt idx="96">
                  <c:v>2026-01-27T15:45:00.000Z</c:v>
                </c:pt>
                <c:pt idx="97">
                  <c:v>2026-01-27T16:00:00.000Z</c:v>
                </c:pt>
                <c:pt idx="98">
                  <c:v>2026-01-27T16:15:00.000Z</c:v>
                </c:pt>
                <c:pt idx="99">
                  <c:v>2026-01-27T16:30:00.000Z</c:v>
                </c:pt>
                <c:pt idx="100">
                  <c:v>2026-01-27T16:45:00.000Z</c:v>
                </c:pt>
                <c:pt idx="101">
                  <c:v>2026-01-27T17:00:00.000Z</c:v>
                </c:pt>
                <c:pt idx="102">
                  <c:v>2026-01-27T17:15:00.000Z</c:v>
                </c:pt>
                <c:pt idx="103">
                  <c:v>2026-01-27T17:30:00.000Z</c:v>
                </c:pt>
                <c:pt idx="104">
                  <c:v>2026-01-27T17:45:00.000Z</c:v>
                </c:pt>
                <c:pt idx="105">
                  <c:v>2026-01-27T18:00:00.000Z</c:v>
                </c:pt>
                <c:pt idx="106">
                  <c:v>2026-01-27T18:15:00.000Z</c:v>
                </c:pt>
                <c:pt idx="107">
                  <c:v>2026-01-27T18:30:00.000Z</c:v>
                </c:pt>
                <c:pt idx="108">
                  <c:v>2026-01-27T18:45:00.000Z</c:v>
                </c:pt>
                <c:pt idx="109">
                  <c:v>2026-01-27T19:00:00.000Z</c:v>
                </c:pt>
                <c:pt idx="110">
                  <c:v>2026-01-27T19:15:00.000Z</c:v>
                </c:pt>
                <c:pt idx="111">
                  <c:v>2026-01-27T19:30:00.000Z</c:v>
                </c:pt>
                <c:pt idx="112">
                  <c:v>2026-01-27T19:45:00.000Z</c:v>
                </c:pt>
                <c:pt idx="113">
                  <c:v>2026-01-27T20:00:00.000Z</c:v>
                </c:pt>
                <c:pt idx="114">
                  <c:v>2026-01-27T20:15:00.000Z</c:v>
                </c:pt>
                <c:pt idx="115">
                  <c:v>2026-01-27T20:30:00.000Z</c:v>
                </c:pt>
                <c:pt idx="116">
                  <c:v>2026-01-27T20:45:00.000Z</c:v>
                </c:pt>
                <c:pt idx="117">
                  <c:v>2026-01-27T21:00:00.000Z</c:v>
                </c:pt>
                <c:pt idx="118">
                  <c:v>2026-01-27T21:15:00.000Z</c:v>
                </c:pt>
                <c:pt idx="119">
                  <c:v>2026-01-27T21:30:00.000Z</c:v>
                </c:pt>
                <c:pt idx="120">
                  <c:v>2026-01-27T21:45:00.000Z</c:v>
                </c:pt>
                <c:pt idx="121">
                  <c:v>2026-01-27T22:00:00.000Z</c:v>
                </c:pt>
                <c:pt idx="122">
                  <c:v>2026-01-27T22:15:00.000Z</c:v>
                </c:pt>
                <c:pt idx="123">
                  <c:v>2026-01-27T22:30:00.000Z</c:v>
                </c:pt>
                <c:pt idx="124">
                  <c:v>2026-01-27T22:45:00.000Z</c:v>
                </c:pt>
                <c:pt idx="125">
                  <c:v>2026-01-27T23:00:00.000Z</c:v>
                </c:pt>
                <c:pt idx="126">
                  <c:v>2026-01-27T23:15:00.000Z</c:v>
                </c:pt>
                <c:pt idx="127">
                  <c:v>2026-01-27T23:30:00.000Z</c:v>
                </c:pt>
                <c:pt idx="128">
                  <c:v>2026-01-27T23:45:00.000Z</c:v>
                </c:pt>
                <c:pt idx="129">
                  <c:v>2026-01-28T00:00:00.000Z</c:v>
                </c:pt>
                <c:pt idx="130">
                  <c:v>2026-01-28T00:15:00.000Z</c:v>
                </c:pt>
                <c:pt idx="131">
                  <c:v>2026-01-28T00:30:00.000Z</c:v>
                </c:pt>
                <c:pt idx="132">
                  <c:v>2026-01-28T00:45:00.000Z</c:v>
                </c:pt>
                <c:pt idx="133">
                  <c:v>2026-01-28T01:00:00.000Z</c:v>
                </c:pt>
                <c:pt idx="134">
                  <c:v>2026-01-28T01:15:00.000Z</c:v>
                </c:pt>
                <c:pt idx="135">
                  <c:v>2026-01-28T01:30:00.000Z</c:v>
                </c:pt>
                <c:pt idx="136">
                  <c:v>2026-01-28T01:45:00.000Z</c:v>
                </c:pt>
                <c:pt idx="137">
                  <c:v>2026-01-28T02:00:00.000Z</c:v>
                </c:pt>
                <c:pt idx="138">
                  <c:v>2026-01-28T02:15:00.000Z</c:v>
                </c:pt>
                <c:pt idx="139">
                  <c:v>2026-01-28T02:30:00.000Z</c:v>
                </c:pt>
                <c:pt idx="140">
                  <c:v>2026-01-28T02:45:00.000Z</c:v>
                </c:pt>
                <c:pt idx="141">
                  <c:v>2026-01-28T03:00:00.000Z</c:v>
                </c:pt>
                <c:pt idx="142">
                  <c:v>2026-01-28T03:15:00.000Z</c:v>
                </c:pt>
                <c:pt idx="143">
                  <c:v>2026-01-28T03:30:00.000Z</c:v>
                </c:pt>
                <c:pt idx="144">
                  <c:v>2026-01-28T03:45:00.000Z</c:v>
                </c:pt>
                <c:pt idx="145">
                  <c:v>2026-01-28T04:00:00.000Z</c:v>
                </c:pt>
                <c:pt idx="146">
                  <c:v>2026-01-28T04:15:00.000Z</c:v>
                </c:pt>
                <c:pt idx="147">
                  <c:v>2026-01-28T04:30:00.000Z</c:v>
                </c:pt>
                <c:pt idx="148">
                  <c:v>2026-01-28T04:45:00.000Z</c:v>
                </c:pt>
                <c:pt idx="149">
                  <c:v>2026-01-28T05:00:00.000Z</c:v>
                </c:pt>
                <c:pt idx="150">
                  <c:v>2026-01-28T05:15:00.000Z</c:v>
                </c:pt>
                <c:pt idx="151">
                  <c:v>2026-01-28T05:30:00.000Z</c:v>
                </c:pt>
                <c:pt idx="152">
                  <c:v>2026-01-28T05:45:00.000Z</c:v>
                </c:pt>
                <c:pt idx="153">
                  <c:v>2026-01-28T06:00:00.000Z</c:v>
                </c:pt>
                <c:pt idx="154">
                  <c:v>2026-01-28T06:15:00.000Z</c:v>
                </c:pt>
                <c:pt idx="155">
                  <c:v>2026-01-28T06:30:00.000Z</c:v>
                </c:pt>
                <c:pt idx="156">
                  <c:v>2026-01-28T06:45:00.000Z</c:v>
                </c:pt>
                <c:pt idx="157">
                  <c:v>2026-01-28T07:00:00.000Z</c:v>
                </c:pt>
                <c:pt idx="158">
                  <c:v>2026-01-28T07:15:00.000Z</c:v>
                </c:pt>
                <c:pt idx="159">
                  <c:v>2026-01-28T07:30:00.000Z</c:v>
                </c:pt>
                <c:pt idx="160">
                  <c:v>2026-01-28T07:45:00.000Z</c:v>
                </c:pt>
                <c:pt idx="161">
                  <c:v>2026-01-28T08:00:00.000Z</c:v>
                </c:pt>
                <c:pt idx="162">
                  <c:v>2026-01-28T08:15:00.000Z</c:v>
                </c:pt>
                <c:pt idx="163">
                  <c:v>2026-01-28T08:30:00.000Z</c:v>
                </c:pt>
                <c:pt idx="164">
                  <c:v>2026-01-28T08:45:00.000Z</c:v>
                </c:pt>
                <c:pt idx="165">
                  <c:v>2026-01-28T09:00:00.000Z</c:v>
                </c:pt>
                <c:pt idx="166">
                  <c:v>2026-01-28T09:15:00.000Z</c:v>
                </c:pt>
                <c:pt idx="167">
                  <c:v>2026-01-28T09:30:00.000Z</c:v>
                </c:pt>
                <c:pt idx="168">
                  <c:v>2026-01-28T09:45:00.000Z</c:v>
                </c:pt>
                <c:pt idx="169">
                  <c:v>2026-01-28T10:00:00.000Z</c:v>
                </c:pt>
                <c:pt idx="170">
                  <c:v>2026-01-28T10:15:00.000Z</c:v>
                </c:pt>
                <c:pt idx="171">
                  <c:v>2026-01-28T10:30:00.000Z</c:v>
                </c:pt>
                <c:pt idx="172">
                  <c:v>2026-01-28T10:45:00.000Z</c:v>
                </c:pt>
                <c:pt idx="173">
                  <c:v>2026-01-28T11:00:00.000Z</c:v>
                </c:pt>
                <c:pt idx="174">
                  <c:v>2026-01-28T11:15:00.000Z</c:v>
                </c:pt>
                <c:pt idx="175">
                  <c:v>2026-01-28T11:30:00.000Z</c:v>
                </c:pt>
                <c:pt idx="176">
                  <c:v>2026-01-28T11:45:00.000Z</c:v>
                </c:pt>
                <c:pt idx="177">
                  <c:v>2026-01-28T12:00:00.000Z</c:v>
                </c:pt>
                <c:pt idx="178">
                  <c:v>2026-01-28T12:15:00.000Z</c:v>
                </c:pt>
                <c:pt idx="179">
                  <c:v>2026-01-28T12:30:00.000Z</c:v>
                </c:pt>
                <c:pt idx="180">
                  <c:v>2026-01-28T12:45:00.000Z</c:v>
                </c:pt>
                <c:pt idx="181">
                  <c:v>2026-01-28T13:00:00.000Z</c:v>
                </c:pt>
                <c:pt idx="182">
                  <c:v>2026-01-28T13:15:00.000Z</c:v>
                </c:pt>
                <c:pt idx="183">
                  <c:v>2026-01-28T13:30:00.000Z</c:v>
                </c:pt>
                <c:pt idx="184">
                  <c:v>2026-01-28T13:45:00.000Z</c:v>
                </c:pt>
                <c:pt idx="185">
                  <c:v>2026-01-28T14:00:00.000Z</c:v>
                </c:pt>
                <c:pt idx="186">
                  <c:v>2026-01-28T14:15:00.000Z</c:v>
                </c:pt>
                <c:pt idx="187">
                  <c:v>2026-01-28T14:30:00.000Z</c:v>
                </c:pt>
                <c:pt idx="188">
                  <c:v>2026-01-28T14:45:00.000Z</c:v>
                </c:pt>
                <c:pt idx="189">
                  <c:v>2026-01-28T15:00:00.000Z</c:v>
                </c:pt>
                <c:pt idx="190">
                  <c:v>2026-01-28T15:15:00.000Z</c:v>
                </c:pt>
                <c:pt idx="191">
                  <c:v>2026-01-28T15:30:00.000Z</c:v>
                </c:pt>
                <c:pt idx="192">
                  <c:v>2026-01-28T15:45:00.000Z</c:v>
                </c:pt>
                <c:pt idx="193">
                  <c:v>2026-01-28T16:00:00.000Z</c:v>
                </c:pt>
                <c:pt idx="194">
                  <c:v>2026-01-28T16:15:00.000Z</c:v>
                </c:pt>
                <c:pt idx="195">
                  <c:v>2026-01-28T16:30:00.000Z</c:v>
                </c:pt>
                <c:pt idx="196">
                  <c:v>2026-01-28T16:45:00.000Z</c:v>
                </c:pt>
                <c:pt idx="197">
                  <c:v>2026-01-28T17:00:00.000Z</c:v>
                </c:pt>
                <c:pt idx="198">
                  <c:v>2026-01-28T17:15:00.000Z</c:v>
                </c:pt>
                <c:pt idx="199">
                  <c:v>2026-01-28T17:30:00.000Z</c:v>
                </c:pt>
                <c:pt idx="200">
                  <c:v>2026-01-28T17:45:00.000Z</c:v>
                </c:pt>
                <c:pt idx="201">
                  <c:v>2026-01-28T18:00:00.000Z</c:v>
                </c:pt>
                <c:pt idx="202">
                  <c:v>2026-01-28T18:15:00.000Z</c:v>
                </c:pt>
                <c:pt idx="203">
                  <c:v>2026-01-28T18:30:00.000Z</c:v>
                </c:pt>
                <c:pt idx="204">
                  <c:v>2026-01-28T18:45:00.000Z</c:v>
                </c:pt>
                <c:pt idx="205">
                  <c:v>2026-01-28T19:00:00.000Z</c:v>
                </c:pt>
                <c:pt idx="206">
                  <c:v>2026-01-28T19:15:00.000Z</c:v>
                </c:pt>
                <c:pt idx="207">
                  <c:v>2026-01-28T19:30:00.000Z</c:v>
                </c:pt>
                <c:pt idx="208">
                  <c:v>2026-01-28T19:45:00.000Z</c:v>
                </c:pt>
                <c:pt idx="209">
                  <c:v>2026-01-28T20:00:00.000Z</c:v>
                </c:pt>
                <c:pt idx="210">
                  <c:v>2026-01-28T20:15:00.000Z</c:v>
                </c:pt>
                <c:pt idx="211">
                  <c:v>2026-01-28T20:30:00.000Z</c:v>
                </c:pt>
                <c:pt idx="212">
                  <c:v>2026-01-28T20:45:00.000Z</c:v>
                </c:pt>
                <c:pt idx="213">
                  <c:v>2026-01-28T21:00:00.000Z</c:v>
                </c:pt>
                <c:pt idx="214">
                  <c:v>2026-01-28T21:15:00.000Z</c:v>
                </c:pt>
                <c:pt idx="215">
                  <c:v>2026-01-28T21:30:00.000Z</c:v>
                </c:pt>
                <c:pt idx="216">
                  <c:v>2026-01-28T21:45:00.000Z</c:v>
                </c:pt>
                <c:pt idx="217">
                  <c:v>2026-01-28T22:00:00.000Z</c:v>
                </c:pt>
                <c:pt idx="218">
                  <c:v>2026-01-28T22:15:00.000Z</c:v>
                </c:pt>
                <c:pt idx="219">
                  <c:v>2026-01-28T22:30:00.000Z</c:v>
                </c:pt>
                <c:pt idx="220">
                  <c:v>2026-01-28T22:45:00.000Z</c:v>
                </c:pt>
                <c:pt idx="221">
                  <c:v>2026-01-28T23:00:00.000Z</c:v>
                </c:pt>
                <c:pt idx="222">
                  <c:v>2026-01-28T23:15:00.000Z</c:v>
                </c:pt>
                <c:pt idx="223">
                  <c:v>2026-01-28T23:30:00.000Z</c:v>
                </c:pt>
                <c:pt idx="224">
                  <c:v>2026-01-28T23:45:00.000Z</c:v>
                </c:pt>
                <c:pt idx="225">
                  <c:v>2026-01-29T00:00:00.000Z</c:v>
                </c:pt>
                <c:pt idx="226">
                  <c:v>2026-01-29T00:15:00.000Z</c:v>
                </c:pt>
                <c:pt idx="227">
                  <c:v>2026-01-29T00:30:00.000Z</c:v>
                </c:pt>
                <c:pt idx="228">
                  <c:v>2026-01-29T00:45:00.000Z</c:v>
                </c:pt>
                <c:pt idx="229">
                  <c:v>2026-01-29T01:00:00.000Z</c:v>
                </c:pt>
                <c:pt idx="230">
                  <c:v>2026-01-29T01:15:00.000Z</c:v>
                </c:pt>
                <c:pt idx="231">
                  <c:v>2026-01-29T01:30:00.000Z</c:v>
                </c:pt>
                <c:pt idx="232">
                  <c:v>2026-01-29T01:45:00.000Z</c:v>
                </c:pt>
                <c:pt idx="233">
                  <c:v>2026-01-29T02:00:00.000Z</c:v>
                </c:pt>
                <c:pt idx="234">
                  <c:v>2026-01-29T02:15:00.000Z</c:v>
                </c:pt>
                <c:pt idx="235">
                  <c:v>2026-01-29T02:30:00.000Z</c:v>
                </c:pt>
                <c:pt idx="236">
                  <c:v>2026-01-29T02:45:00.000Z</c:v>
                </c:pt>
                <c:pt idx="237">
                  <c:v>2026-01-29T03:00:00.000Z</c:v>
                </c:pt>
                <c:pt idx="238">
                  <c:v>2026-01-29T03:15:00.000Z</c:v>
                </c:pt>
                <c:pt idx="239">
                  <c:v>2026-01-29T03:30:00.000Z</c:v>
                </c:pt>
                <c:pt idx="240">
                  <c:v>2026-01-29T03:45:00.000Z</c:v>
                </c:pt>
                <c:pt idx="241">
                  <c:v>2026-01-29T04:00:00.000Z</c:v>
                </c:pt>
                <c:pt idx="242">
                  <c:v>2026-01-29T04:15:00.000Z</c:v>
                </c:pt>
                <c:pt idx="243">
                  <c:v>2026-01-29T04:30:00.000Z</c:v>
                </c:pt>
                <c:pt idx="244">
                  <c:v>2026-01-29T04:45:00.000Z</c:v>
                </c:pt>
                <c:pt idx="245">
                  <c:v>2026-01-29T05:00:00.000Z</c:v>
                </c:pt>
                <c:pt idx="246">
                  <c:v>2026-01-29T05:15:00.000Z</c:v>
                </c:pt>
                <c:pt idx="247">
                  <c:v>2026-01-29T05:30:00.000Z</c:v>
                </c:pt>
                <c:pt idx="248">
                  <c:v>2026-01-29T05:45:00.000Z</c:v>
                </c:pt>
                <c:pt idx="249">
                  <c:v>2026-01-29T06:00:00.000Z</c:v>
                </c:pt>
                <c:pt idx="250">
                  <c:v>2026-01-29T06:15:00.000Z</c:v>
                </c:pt>
                <c:pt idx="251">
                  <c:v>2026-01-29T06:30:00.000Z</c:v>
                </c:pt>
                <c:pt idx="252">
                  <c:v>2026-01-29T06:45:00.000Z</c:v>
                </c:pt>
                <c:pt idx="253">
                  <c:v>2026-01-29T07:00:00.000Z</c:v>
                </c:pt>
                <c:pt idx="254">
                  <c:v>2026-01-29T07:15:00.000Z</c:v>
                </c:pt>
                <c:pt idx="255">
                  <c:v>2026-01-29T07:30:00.000Z</c:v>
                </c:pt>
                <c:pt idx="256">
                  <c:v>2026-01-29T07:45:00.000Z</c:v>
                </c:pt>
                <c:pt idx="257">
                  <c:v>2026-01-29T08:00:00.000Z</c:v>
                </c:pt>
                <c:pt idx="258">
                  <c:v>2026-01-29T08:15:00.000Z</c:v>
                </c:pt>
                <c:pt idx="259">
                  <c:v>2026-01-29T08:30:00.000Z</c:v>
                </c:pt>
                <c:pt idx="260">
                  <c:v>2026-01-29T08:45:00.000Z</c:v>
                </c:pt>
                <c:pt idx="261">
                  <c:v>2026-01-29T09:00:00.000Z</c:v>
                </c:pt>
                <c:pt idx="262">
                  <c:v>2026-01-29T09:15:00.000Z</c:v>
                </c:pt>
                <c:pt idx="263">
                  <c:v>2026-01-29T09:30:00.000Z</c:v>
                </c:pt>
                <c:pt idx="264">
                  <c:v>2026-01-29T09:45:00.000Z</c:v>
                </c:pt>
                <c:pt idx="265">
                  <c:v>2026-01-29T10:00:00.000Z</c:v>
                </c:pt>
                <c:pt idx="266">
                  <c:v>2026-01-29T10:15:00.000Z</c:v>
                </c:pt>
                <c:pt idx="267">
                  <c:v>2026-01-29T10:30:00.000Z</c:v>
                </c:pt>
                <c:pt idx="268">
                  <c:v>2026-01-29T10:45:00.000Z</c:v>
                </c:pt>
                <c:pt idx="269">
                  <c:v>2026-01-29T11:00:00.000Z</c:v>
                </c:pt>
                <c:pt idx="270">
                  <c:v>2026-01-29T11:15:00.000Z</c:v>
                </c:pt>
                <c:pt idx="271">
                  <c:v>2026-01-29T11:30:00.000Z</c:v>
                </c:pt>
                <c:pt idx="272">
                  <c:v>2026-01-29T11:45:00.000Z</c:v>
                </c:pt>
                <c:pt idx="273">
                  <c:v>2026-01-29T12:00:00.000Z</c:v>
                </c:pt>
                <c:pt idx="274">
                  <c:v>2026-01-29T12:15:00.000Z</c:v>
                </c:pt>
                <c:pt idx="275">
                  <c:v>2026-01-29T12:30:00.000Z</c:v>
                </c:pt>
                <c:pt idx="276">
                  <c:v>2026-01-29T12:45:00.000Z</c:v>
                </c:pt>
                <c:pt idx="277">
                  <c:v>2026-01-29T13:00:00.000Z</c:v>
                </c:pt>
                <c:pt idx="278">
                  <c:v>2026-01-29T13:15:00.000Z</c:v>
                </c:pt>
                <c:pt idx="279">
                  <c:v>2026-01-29T13:30:00.000Z</c:v>
                </c:pt>
                <c:pt idx="280">
                  <c:v>2026-01-29T13:45:00.000Z</c:v>
                </c:pt>
                <c:pt idx="281">
                  <c:v>2026-01-29T14:00:00.000Z</c:v>
                </c:pt>
                <c:pt idx="282">
                  <c:v>2026-01-29T14:15:00.000Z</c:v>
                </c:pt>
                <c:pt idx="283">
                  <c:v>2026-01-29T14:30:00.000Z</c:v>
                </c:pt>
                <c:pt idx="284">
                  <c:v>2026-01-29T14:45:00.000Z</c:v>
                </c:pt>
                <c:pt idx="285">
                  <c:v>2026-01-29T15:00:00.000Z</c:v>
                </c:pt>
                <c:pt idx="286">
                  <c:v>2026-01-29T15:15:00.000Z</c:v>
                </c:pt>
                <c:pt idx="287">
                  <c:v>2026-01-29T15:30:00.000Z</c:v>
                </c:pt>
                <c:pt idx="288">
                  <c:v>2026-01-29T15:45:00.000Z</c:v>
                </c:pt>
                <c:pt idx="289">
                  <c:v>2026-01-29T16:00:00.000Z</c:v>
                </c:pt>
                <c:pt idx="290">
                  <c:v>2026-01-29T16:15:00.000Z</c:v>
                </c:pt>
                <c:pt idx="291">
                  <c:v>2026-01-29T16:30:00.000Z</c:v>
                </c:pt>
                <c:pt idx="292">
                  <c:v>2026-01-29T16:45:00.000Z</c:v>
                </c:pt>
                <c:pt idx="293">
                  <c:v>2026-01-29T17:00:00.000Z</c:v>
                </c:pt>
                <c:pt idx="294">
                  <c:v>2026-01-29T17:15:00.000Z</c:v>
                </c:pt>
                <c:pt idx="295">
                  <c:v>2026-01-29T17:30:00.000Z</c:v>
                </c:pt>
                <c:pt idx="296">
                  <c:v>2026-01-29T17:45:00.000Z</c:v>
                </c:pt>
                <c:pt idx="297">
                  <c:v>2026-01-29T18:00:00.000Z</c:v>
                </c:pt>
                <c:pt idx="298">
                  <c:v>2026-01-29T18:15:00.000Z</c:v>
                </c:pt>
                <c:pt idx="299">
                  <c:v>2026-01-29T18:30:00.000Z</c:v>
                </c:pt>
                <c:pt idx="300">
                  <c:v>2026-01-29T18:45:00.000Z</c:v>
                </c:pt>
                <c:pt idx="301">
                  <c:v>2026-01-29T19:00:00.000Z</c:v>
                </c:pt>
                <c:pt idx="302">
                  <c:v>2026-01-29T19:15:00.000Z</c:v>
                </c:pt>
                <c:pt idx="303">
                  <c:v>2026-01-29T19:30:00.000Z</c:v>
                </c:pt>
                <c:pt idx="304">
                  <c:v>2026-01-29T19:45:00.000Z</c:v>
                </c:pt>
                <c:pt idx="305">
                  <c:v>2026-01-29T20:00:00.000Z</c:v>
                </c:pt>
                <c:pt idx="306">
                  <c:v>2026-01-29T20:15:00.000Z</c:v>
                </c:pt>
                <c:pt idx="307">
                  <c:v>2026-01-29T20:30:00.000Z</c:v>
                </c:pt>
                <c:pt idx="308">
                  <c:v>2026-01-29T20:45:00.000Z</c:v>
                </c:pt>
                <c:pt idx="309">
                  <c:v>2026-01-29T21:00:00.000Z</c:v>
                </c:pt>
                <c:pt idx="310">
                  <c:v>2026-01-29T21:15:00.000Z</c:v>
                </c:pt>
                <c:pt idx="311">
                  <c:v>2026-01-29T21:30:00.000Z</c:v>
                </c:pt>
                <c:pt idx="312">
                  <c:v>2026-01-29T21:45:00.000Z</c:v>
                </c:pt>
                <c:pt idx="313">
                  <c:v>2026-01-29T22:00:00.000Z</c:v>
                </c:pt>
                <c:pt idx="314">
                  <c:v>2026-01-29T22:15:00.000Z</c:v>
                </c:pt>
                <c:pt idx="315">
                  <c:v>2026-01-29T22:30:00.000Z</c:v>
                </c:pt>
                <c:pt idx="316">
                  <c:v>2026-01-29T22:45:00.000Z</c:v>
                </c:pt>
                <c:pt idx="317">
                  <c:v>2026-01-29T23:00:00.000Z</c:v>
                </c:pt>
                <c:pt idx="318">
                  <c:v>2026-01-29T23:15:00.000Z</c:v>
                </c:pt>
                <c:pt idx="319">
                  <c:v>2026-01-29T23:30:00.000Z</c:v>
                </c:pt>
                <c:pt idx="320">
                  <c:v>2026-01-29T23:45:00.000Z</c:v>
                </c:pt>
                <c:pt idx="321">
                  <c:v>2026-01-30T00:00:00.000Z</c:v>
                </c:pt>
                <c:pt idx="322">
                  <c:v>2026-01-30T00:15:00.000Z</c:v>
                </c:pt>
                <c:pt idx="323">
                  <c:v>2026-01-30T00:30:00.000Z</c:v>
                </c:pt>
                <c:pt idx="324">
                  <c:v>2026-01-30T00:45:00.000Z</c:v>
                </c:pt>
                <c:pt idx="325">
                  <c:v>2026-01-30T01:00:00.000Z</c:v>
                </c:pt>
                <c:pt idx="326">
                  <c:v>2026-01-30T01:15:00.000Z</c:v>
                </c:pt>
                <c:pt idx="327">
                  <c:v>2026-01-30T01:30:00.000Z</c:v>
                </c:pt>
                <c:pt idx="328">
                  <c:v>2026-01-30T01:45:00.000Z</c:v>
                </c:pt>
                <c:pt idx="329">
                  <c:v>2026-01-30T02:00:00.000Z</c:v>
                </c:pt>
                <c:pt idx="330">
                  <c:v>2026-01-30T02:15:00.000Z</c:v>
                </c:pt>
                <c:pt idx="331">
                  <c:v>2026-01-30T02:30:00.000Z</c:v>
                </c:pt>
                <c:pt idx="332">
                  <c:v>2026-01-30T02:45:00.000Z</c:v>
                </c:pt>
                <c:pt idx="333">
                  <c:v>2026-01-30T03:00:00.000Z</c:v>
                </c:pt>
                <c:pt idx="334">
                  <c:v>2026-01-30T03:15:00.000Z</c:v>
                </c:pt>
                <c:pt idx="335">
                  <c:v>2026-01-30T03:30:00.000Z</c:v>
                </c:pt>
                <c:pt idx="336">
                  <c:v>2026-01-30T03:45:00.000Z</c:v>
                </c:pt>
                <c:pt idx="337">
                  <c:v>2026-01-30T04:00:00.000Z</c:v>
                </c:pt>
                <c:pt idx="338">
                  <c:v>2026-01-30T04:15:00.000Z</c:v>
                </c:pt>
                <c:pt idx="339">
                  <c:v>2026-01-30T04:30:00.000Z</c:v>
                </c:pt>
                <c:pt idx="340">
                  <c:v>2026-01-30T04:45:00.000Z</c:v>
                </c:pt>
                <c:pt idx="341">
                  <c:v>2026-01-30T05:00:00.000Z</c:v>
                </c:pt>
                <c:pt idx="342">
                  <c:v>2026-01-30T05:15:00.000Z</c:v>
                </c:pt>
                <c:pt idx="343">
                  <c:v>2026-01-30T05:30:00.000Z</c:v>
                </c:pt>
                <c:pt idx="344">
                  <c:v>2026-01-30T05:45:00.000Z</c:v>
                </c:pt>
                <c:pt idx="345">
                  <c:v>2026-01-30T06:00:00.000Z</c:v>
                </c:pt>
                <c:pt idx="346">
                  <c:v>2026-01-30T06:15:00.000Z</c:v>
                </c:pt>
                <c:pt idx="347">
                  <c:v>2026-01-30T06:30:00.000Z</c:v>
                </c:pt>
                <c:pt idx="348">
                  <c:v>2026-01-30T06:45:00.000Z</c:v>
                </c:pt>
                <c:pt idx="349">
                  <c:v>2026-01-30T07:00:00.000Z</c:v>
                </c:pt>
                <c:pt idx="350">
                  <c:v>2026-01-30T07:15:00.000Z</c:v>
                </c:pt>
                <c:pt idx="351">
                  <c:v>2026-01-30T07:30:00.000Z</c:v>
                </c:pt>
                <c:pt idx="352">
                  <c:v>2026-01-30T07:45:00.000Z</c:v>
                </c:pt>
                <c:pt idx="353">
                  <c:v>2026-01-30T08:00:00.000Z</c:v>
                </c:pt>
                <c:pt idx="354">
                  <c:v>2026-01-30T08:15:00.000Z</c:v>
                </c:pt>
                <c:pt idx="355">
                  <c:v>2026-01-30T08:30:00.000Z</c:v>
                </c:pt>
                <c:pt idx="356">
                  <c:v>2026-01-30T08:45:00.000Z</c:v>
                </c:pt>
                <c:pt idx="357">
                  <c:v>2026-01-30T09:00:00.000Z</c:v>
                </c:pt>
                <c:pt idx="358">
                  <c:v>2026-01-30T09:15:00.000Z</c:v>
                </c:pt>
                <c:pt idx="359">
                  <c:v>2026-01-30T09:30:00.000Z</c:v>
                </c:pt>
                <c:pt idx="360">
                  <c:v>2026-01-30T09:45:00.000Z</c:v>
                </c:pt>
                <c:pt idx="361">
                  <c:v>2026-01-30T10:00:00.000Z</c:v>
                </c:pt>
                <c:pt idx="362">
                  <c:v>2026-01-30T10:15:00.000Z</c:v>
                </c:pt>
                <c:pt idx="363">
                  <c:v>2026-01-30T10:30:00.000Z</c:v>
                </c:pt>
                <c:pt idx="364">
                  <c:v>2026-01-30T10:45:00.000Z</c:v>
                </c:pt>
                <c:pt idx="365">
                  <c:v>2026-01-30T11:00:00.000Z</c:v>
                </c:pt>
                <c:pt idx="366">
                  <c:v>2026-01-30T11:15:00.000Z</c:v>
                </c:pt>
                <c:pt idx="367">
                  <c:v>2026-01-30T11:30:00.000Z</c:v>
                </c:pt>
                <c:pt idx="368">
                  <c:v>2026-01-30T11:45:00.000Z</c:v>
                </c:pt>
                <c:pt idx="369">
                  <c:v>2026-01-30T12:00:00.000Z</c:v>
                </c:pt>
                <c:pt idx="370">
                  <c:v>2026-01-30T12:15:00.000Z</c:v>
                </c:pt>
                <c:pt idx="371">
                  <c:v>2026-01-30T12:30:00.000Z</c:v>
                </c:pt>
                <c:pt idx="372">
                  <c:v>2026-01-30T12:45:00.000Z</c:v>
                </c:pt>
                <c:pt idx="373">
                  <c:v>2026-01-30T13:00:00.000Z</c:v>
                </c:pt>
                <c:pt idx="374">
                  <c:v>2026-01-30T13:15:00.000Z</c:v>
                </c:pt>
                <c:pt idx="375">
                  <c:v>2026-01-30T13:30:00.000Z</c:v>
                </c:pt>
                <c:pt idx="376">
                  <c:v>2026-01-30T13:45:00.000Z</c:v>
                </c:pt>
                <c:pt idx="377">
                  <c:v>2026-01-30T14:00:00.000Z</c:v>
                </c:pt>
                <c:pt idx="378">
                  <c:v>2026-01-30T14:15:00.000Z</c:v>
                </c:pt>
                <c:pt idx="379">
                  <c:v>2026-01-30T14:30:00.000Z</c:v>
                </c:pt>
                <c:pt idx="380">
                  <c:v>2026-01-30T14:45:00.000Z</c:v>
                </c:pt>
                <c:pt idx="381">
                  <c:v>2026-01-30T15:00:00.000Z</c:v>
                </c:pt>
                <c:pt idx="382">
                  <c:v>2026-01-30T15:15:00.000Z</c:v>
                </c:pt>
                <c:pt idx="383">
                  <c:v>2026-01-30T15:30:00.000Z</c:v>
                </c:pt>
                <c:pt idx="384">
                  <c:v>2026-01-30T15:45:00.000Z</c:v>
                </c:pt>
                <c:pt idx="385">
                  <c:v>2026-01-30T16:00:00.000Z</c:v>
                </c:pt>
                <c:pt idx="386">
                  <c:v>2026-01-30T16:15:00.000Z</c:v>
                </c:pt>
                <c:pt idx="387">
                  <c:v>2026-01-30T16:30:00.000Z</c:v>
                </c:pt>
                <c:pt idx="388">
                  <c:v>2026-01-30T16:45:00.000Z</c:v>
                </c:pt>
                <c:pt idx="389">
                  <c:v>2026-01-30T17:00:00.000Z</c:v>
                </c:pt>
                <c:pt idx="390">
                  <c:v>2026-01-30T17:15:00.000Z</c:v>
                </c:pt>
                <c:pt idx="391">
                  <c:v>2026-01-30T17:30:00.000Z</c:v>
                </c:pt>
                <c:pt idx="392">
                  <c:v>2026-01-30T17:45:00.000Z</c:v>
                </c:pt>
                <c:pt idx="393">
                  <c:v>2026-01-30T18:00:00.000Z</c:v>
                </c:pt>
                <c:pt idx="394">
                  <c:v>2026-01-30T18:15:00.000Z</c:v>
                </c:pt>
                <c:pt idx="395">
                  <c:v>2026-01-30T18:30:00.000Z</c:v>
                </c:pt>
                <c:pt idx="396">
                  <c:v>2026-01-30T18:45:00.000Z</c:v>
                </c:pt>
                <c:pt idx="397">
                  <c:v>2026-01-30T19:00:00.000Z</c:v>
                </c:pt>
                <c:pt idx="398">
                  <c:v>2026-01-30T19:15:00.000Z</c:v>
                </c:pt>
                <c:pt idx="399">
                  <c:v>2026-01-30T19:30:00.000Z</c:v>
                </c:pt>
                <c:pt idx="400">
                  <c:v>2026-01-30T19:45:00.000Z</c:v>
                </c:pt>
                <c:pt idx="401">
                  <c:v>2026-01-30T20:00:00.000Z</c:v>
                </c:pt>
                <c:pt idx="402">
                  <c:v>2026-01-30T20:15:00.000Z</c:v>
                </c:pt>
                <c:pt idx="403">
                  <c:v>2026-01-30T20:30:00.000Z</c:v>
                </c:pt>
                <c:pt idx="404">
                  <c:v>2026-01-30T20:45:00.000Z</c:v>
                </c:pt>
                <c:pt idx="405">
                  <c:v>2026-01-30T21:00:00.000Z</c:v>
                </c:pt>
                <c:pt idx="406">
                  <c:v>2026-01-30T21:15:00.000Z</c:v>
                </c:pt>
                <c:pt idx="407">
                  <c:v>2026-01-30T21:30:00.000Z</c:v>
                </c:pt>
                <c:pt idx="408">
                  <c:v>2026-01-30T21:45:00.000Z</c:v>
                </c:pt>
                <c:pt idx="409">
                  <c:v>2026-01-30T22:00:00.000Z</c:v>
                </c:pt>
                <c:pt idx="410">
                  <c:v>2026-01-30T22:15:00.000Z</c:v>
                </c:pt>
                <c:pt idx="411">
                  <c:v>2026-01-30T22:30:00.000Z</c:v>
                </c:pt>
                <c:pt idx="412">
                  <c:v>2026-01-30T22:45:00.000Z</c:v>
                </c:pt>
                <c:pt idx="413">
                  <c:v>2026-01-30T23:00:00.000Z</c:v>
                </c:pt>
                <c:pt idx="414">
                  <c:v>2026-01-30T23:15:00.000Z</c:v>
                </c:pt>
                <c:pt idx="415">
                  <c:v>2026-01-30T23:30:00.000Z</c:v>
                </c:pt>
                <c:pt idx="416">
                  <c:v>2026-01-30T23:45:00.000Z</c:v>
                </c:pt>
                <c:pt idx="417">
                  <c:v>2026-01-31T00:00:00.000Z</c:v>
                </c:pt>
                <c:pt idx="418">
                  <c:v>2026-01-31T00:15:00.000Z</c:v>
                </c:pt>
                <c:pt idx="419">
                  <c:v>2026-01-31T00:30:00.000Z</c:v>
                </c:pt>
                <c:pt idx="420">
                  <c:v>2026-01-31T00:45:00.000Z</c:v>
                </c:pt>
                <c:pt idx="421">
                  <c:v>2026-01-31T01:00:00.000Z</c:v>
                </c:pt>
                <c:pt idx="422">
                  <c:v>2026-01-31T01:15:00.000Z</c:v>
                </c:pt>
                <c:pt idx="423">
                  <c:v>2026-01-31T01:30:00.000Z</c:v>
                </c:pt>
                <c:pt idx="424">
                  <c:v>2026-01-31T01:45:00.000Z</c:v>
                </c:pt>
                <c:pt idx="425">
                  <c:v>2026-01-31T02:00:00.000Z</c:v>
                </c:pt>
                <c:pt idx="426">
                  <c:v>2026-01-31T02:15:00.000Z</c:v>
                </c:pt>
                <c:pt idx="427">
                  <c:v>2026-01-31T02:30:00.000Z</c:v>
                </c:pt>
                <c:pt idx="428">
                  <c:v>2026-01-31T02:45:00.000Z</c:v>
                </c:pt>
                <c:pt idx="429">
                  <c:v>2026-01-31T03:00:00.000Z</c:v>
                </c:pt>
                <c:pt idx="430">
                  <c:v>2026-01-31T03:15:00.000Z</c:v>
                </c:pt>
                <c:pt idx="431">
                  <c:v>2026-01-31T03:30:00.000Z</c:v>
                </c:pt>
                <c:pt idx="432">
                  <c:v>2026-01-31T03:45:00.000Z</c:v>
                </c:pt>
                <c:pt idx="433">
                  <c:v>2026-01-31T04:00:00.000Z</c:v>
                </c:pt>
                <c:pt idx="434">
                  <c:v>2026-01-31T04:15:00.000Z</c:v>
                </c:pt>
                <c:pt idx="435">
                  <c:v>2026-01-31T04:30:00.000Z</c:v>
                </c:pt>
                <c:pt idx="436">
                  <c:v>2026-01-31T04:45:00.000Z</c:v>
                </c:pt>
                <c:pt idx="437">
                  <c:v>2026-01-31T05:00:00.000Z</c:v>
                </c:pt>
                <c:pt idx="438">
                  <c:v>2026-01-31T05:15:00.000Z</c:v>
                </c:pt>
                <c:pt idx="439">
                  <c:v>2026-01-31T05:30:00.000Z</c:v>
                </c:pt>
                <c:pt idx="440">
                  <c:v>2026-01-31T05:45:00.000Z</c:v>
                </c:pt>
                <c:pt idx="441">
                  <c:v>2026-01-31T06:00:00.000Z</c:v>
                </c:pt>
                <c:pt idx="442">
                  <c:v>2026-01-31T06:15:00.000Z</c:v>
                </c:pt>
                <c:pt idx="443">
                  <c:v>2026-01-31T06:30:00.000Z</c:v>
                </c:pt>
                <c:pt idx="444">
                  <c:v>2026-01-31T06:45:00.000Z</c:v>
                </c:pt>
                <c:pt idx="445">
                  <c:v>2026-01-31T07:00:00.000Z</c:v>
                </c:pt>
                <c:pt idx="446">
                  <c:v>2026-01-31T07:15:00.000Z</c:v>
                </c:pt>
                <c:pt idx="447">
                  <c:v>2026-01-31T07:30:00.000Z</c:v>
                </c:pt>
                <c:pt idx="448">
                  <c:v>2026-01-31T07:45:00.000Z</c:v>
                </c:pt>
                <c:pt idx="449">
                  <c:v>2026-01-31T08:00:00.000Z</c:v>
                </c:pt>
                <c:pt idx="450">
                  <c:v>2026-01-31T08:15:00.000Z</c:v>
                </c:pt>
                <c:pt idx="451">
                  <c:v>2026-01-31T08:30:00.000Z</c:v>
                </c:pt>
                <c:pt idx="452">
                  <c:v>2026-01-31T08:45:00.000Z</c:v>
                </c:pt>
                <c:pt idx="453">
                  <c:v>2026-01-31T09:00:00.000Z</c:v>
                </c:pt>
                <c:pt idx="454">
                  <c:v>2026-01-31T09:15:00.000Z</c:v>
                </c:pt>
                <c:pt idx="455">
                  <c:v>2026-01-31T09:30:00.000Z</c:v>
                </c:pt>
                <c:pt idx="456">
                  <c:v>2026-01-31T09:45:00.000Z</c:v>
                </c:pt>
                <c:pt idx="457">
                  <c:v>2026-01-31T10:00:00.000Z</c:v>
                </c:pt>
                <c:pt idx="458">
                  <c:v>2026-01-31T10:15:00.000Z</c:v>
                </c:pt>
                <c:pt idx="459">
                  <c:v>2026-01-31T10:30:00.000Z</c:v>
                </c:pt>
                <c:pt idx="460">
                  <c:v>2026-01-31T10:45:00.000Z</c:v>
                </c:pt>
                <c:pt idx="461">
                  <c:v>2026-01-31T11:00:00.000Z</c:v>
                </c:pt>
                <c:pt idx="462">
                  <c:v>2026-01-31T11:15:00.000Z</c:v>
                </c:pt>
                <c:pt idx="463">
                  <c:v>2026-01-31T11:30:00.000Z</c:v>
                </c:pt>
                <c:pt idx="464">
                  <c:v>2026-01-31T11:45:00.000Z</c:v>
                </c:pt>
                <c:pt idx="465">
                  <c:v>2026-01-31T12:00:00.000Z</c:v>
                </c:pt>
                <c:pt idx="466">
                  <c:v>2026-01-31T12:15:00.000Z</c:v>
                </c:pt>
                <c:pt idx="467">
                  <c:v>2026-01-31T12:30:00.000Z</c:v>
                </c:pt>
                <c:pt idx="468">
                  <c:v>2026-01-31T12:45:00.000Z</c:v>
                </c:pt>
                <c:pt idx="469">
                  <c:v>2026-01-31T13:00:00.000Z</c:v>
                </c:pt>
                <c:pt idx="470">
                  <c:v>2026-01-31T13:15:00.000Z</c:v>
                </c:pt>
                <c:pt idx="471">
                  <c:v>2026-01-31T13:30:00.000Z</c:v>
                </c:pt>
                <c:pt idx="472">
                  <c:v>2026-01-31T13:45:00.000Z</c:v>
                </c:pt>
                <c:pt idx="473">
                  <c:v>2026-01-31T14:00:00.000Z</c:v>
                </c:pt>
                <c:pt idx="474">
                  <c:v>2026-01-31T14:15:00.000Z</c:v>
                </c:pt>
                <c:pt idx="475">
                  <c:v>2026-01-31T14:30:00.000Z</c:v>
                </c:pt>
                <c:pt idx="476">
                  <c:v>2026-01-31T14:45:00.000Z</c:v>
                </c:pt>
                <c:pt idx="477">
                  <c:v>2026-01-31T15:00:00.000Z</c:v>
                </c:pt>
                <c:pt idx="478">
                  <c:v>2026-01-31T15:15:00.000Z</c:v>
                </c:pt>
                <c:pt idx="479">
                  <c:v>2026-01-31T15:30:00.000Z</c:v>
                </c:pt>
                <c:pt idx="480">
                  <c:v>2026-01-31T15:45:00.000Z</c:v>
                </c:pt>
                <c:pt idx="481">
                  <c:v>2026-01-31T16:00:00.000Z</c:v>
                </c:pt>
                <c:pt idx="482">
                  <c:v>2026-01-31T16:15:00.000Z</c:v>
                </c:pt>
                <c:pt idx="483">
                  <c:v>2026-01-31T16:30:00.000Z</c:v>
                </c:pt>
                <c:pt idx="484">
                  <c:v>2026-01-31T16:45:00.000Z</c:v>
                </c:pt>
                <c:pt idx="485">
                  <c:v>2026-01-31T17:00:00.000Z</c:v>
                </c:pt>
                <c:pt idx="486">
                  <c:v>2026-01-31T17:15:00.000Z</c:v>
                </c:pt>
                <c:pt idx="487">
                  <c:v>2026-01-31T17:30:00.000Z</c:v>
                </c:pt>
                <c:pt idx="488">
                  <c:v>2026-01-31T17:45:00.000Z</c:v>
                </c:pt>
                <c:pt idx="489">
                  <c:v>2026-01-31T18:00:00.000Z</c:v>
                </c:pt>
                <c:pt idx="490">
                  <c:v>2026-01-31T18:15:00.000Z</c:v>
                </c:pt>
                <c:pt idx="491">
                  <c:v>2026-01-31T18:30:00.000Z</c:v>
                </c:pt>
                <c:pt idx="492">
                  <c:v>2026-01-31T18:45:00.000Z</c:v>
                </c:pt>
                <c:pt idx="493">
                  <c:v>2026-01-31T19:00:00.000Z</c:v>
                </c:pt>
                <c:pt idx="494">
                  <c:v>2026-01-31T19:15:00.000Z</c:v>
                </c:pt>
                <c:pt idx="495">
                  <c:v>2026-01-31T19:30:00.000Z</c:v>
                </c:pt>
                <c:pt idx="496">
                  <c:v>2026-01-31T19:45:00.000Z</c:v>
                </c:pt>
                <c:pt idx="497">
                  <c:v>2026-01-31T20:00:00.000Z</c:v>
                </c:pt>
                <c:pt idx="498">
                  <c:v>2026-01-31T20:15:00.000Z</c:v>
                </c:pt>
                <c:pt idx="499">
                  <c:v>2026-01-31T20:30:00.000Z</c:v>
                </c:pt>
                <c:pt idx="500">
                  <c:v>2026-01-31T20:45:00.000Z</c:v>
                </c:pt>
                <c:pt idx="501">
                  <c:v>2026-01-31T21:00:00.000Z</c:v>
                </c:pt>
                <c:pt idx="502">
                  <c:v>2026-01-31T21:15:00.000Z</c:v>
                </c:pt>
                <c:pt idx="503">
                  <c:v>2026-01-31T21:30:00.000Z</c:v>
                </c:pt>
                <c:pt idx="504">
                  <c:v>2026-01-31T21:45:00.000Z</c:v>
                </c:pt>
                <c:pt idx="505">
                  <c:v>2026-01-31T22:00:00.000Z</c:v>
                </c:pt>
                <c:pt idx="506">
                  <c:v>2026-01-31T22:15:00.000Z</c:v>
                </c:pt>
                <c:pt idx="507">
                  <c:v>2026-01-31T22:30:00.000Z</c:v>
                </c:pt>
                <c:pt idx="508">
                  <c:v>2026-01-31T22:45:00.000Z</c:v>
                </c:pt>
                <c:pt idx="509">
                  <c:v>2026-01-31T23:00:00.000Z</c:v>
                </c:pt>
                <c:pt idx="510">
                  <c:v>2026-01-31T23:15:00.000Z</c:v>
                </c:pt>
                <c:pt idx="511">
                  <c:v>2026-01-31T23:30:00.000Z</c:v>
                </c:pt>
                <c:pt idx="512">
                  <c:v>2026-01-31T23:45:00.000Z</c:v>
                </c:pt>
                <c:pt idx="513">
                  <c:v>2026-02-01T00:00:00.000Z</c:v>
                </c:pt>
                <c:pt idx="514">
                  <c:v>2026-02-01T00:15:00.000Z</c:v>
                </c:pt>
                <c:pt idx="515">
                  <c:v>2026-02-01T00:30:00.000Z</c:v>
                </c:pt>
                <c:pt idx="516">
                  <c:v>2026-02-01T00:45:00.000Z</c:v>
                </c:pt>
                <c:pt idx="517">
                  <c:v>2026-02-01T01:00:00.000Z</c:v>
                </c:pt>
                <c:pt idx="518">
                  <c:v>2026-02-01T01:15:00.000Z</c:v>
                </c:pt>
                <c:pt idx="519">
                  <c:v>2026-02-01T01:30:00.000Z</c:v>
                </c:pt>
                <c:pt idx="520">
                  <c:v>2026-02-01T01:45:00.000Z</c:v>
                </c:pt>
                <c:pt idx="521">
                  <c:v>2026-02-01T02:00:00.000Z</c:v>
                </c:pt>
                <c:pt idx="522">
                  <c:v>2026-02-01T02:15:00.000Z</c:v>
                </c:pt>
                <c:pt idx="523">
                  <c:v>2026-02-01T02:30:00.000Z</c:v>
                </c:pt>
                <c:pt idx="524">
                  <c:v>2026-02-01T02:45:00.000Z</c:v>
                </c:pt>
                <c:pt idx="525">
                  <c:v>2026-02-01T03:00:00.000Z</c:v>
                </c:pt>
                <c:pt idx="526">
                  <c:v>2026-02-01T03:15:00.000Z</c:v>
                </c:pt>
                <c:pt idx="527">
                  <c:v>2026-02-01T03:30:00.000Z</c:v>
                </c:pt>
                <c:pt idx="528">
                  <c:v>2026-02-01T03:45:00.000Z</c:v>
                </c:pt>
                <c:pt idx="529">
                  <c:v>2026-02-01T04:00:00.000Z</c:v>
                </c:pt>
                <c:pt idx="530">
                  <c:v>2026-02-01T04:15:00.000Z</c:v>
                </c:pt>
                <c:pt idx="531">
                  <c:v>2026-02-01T04:30:00.000Z</c:v>
                </c:pt>
                <c:pt idx="532">
                  <c:v>2026-02-01T04:45:00.000Z</c:v>
                </c:pt>
                <c:pt idx="533">
                  <c:v>2026-02-01T05:00:00.000Z</c:v>
                </c:pt>
                <c:pt idx="534">
                  <c:v>2026-02-01T05:15:00.000Z</c:v>
                </c:pt>
                <c:pt idx="535">
                  <c:v>2026-02-01T05:30:00.000Z</c:v>
                </c:pt>
                <c:pt idx="536">
                  <c:v>2026-02-01T05:45:00.000Z</c:v>
                </c:pt>
                <c:pt idx="537">
                  <c:v>2026-02-01T06:00:00.000Z</c:v>
                </c:pt>
                <c:pt idx="538">
                  <c:v>2026-02-01T06:15:00.000Z</c:v>
                </c:pt>
                <c:pt idx="539">
                  <c:v>2026-02-01T06:30:00.000Z</c:v>
                </c:pt>
                <c:pt idx="540">
                  <c:v>2026-02-01T06:45:00.000Z</c:v>
                </c:pt>
                <c:pt idx="541">
                  <c:v>2026-02-01T07:00:00.000Z</c:v>
                </c:pt>
                <c:pt idx="542">
                  <c:v>2026-02-01T07:15:00.000Z</c:v>
                </c:pt>
                <c:pt idx="543">
                  <c:v>2026-02-01T07:30:00.000Z</c:v>
                </c:pt>
                <c:pt idx="544">
                  <c:v>2026-02-01T07:45:00.000Z</c:v>
                </c:pt>
                <c:pt idx="545">
                  <c:v>2026-02-01T08:00:00.000Z</c:v>
                </c:pt>
                <c:pt idx="546">
                  <c:v>2026-02-01T08:15:00.000Z</c:v>
                </c:pt>
                <c:pt idx="547">
                  <c:v>2026-02-01T08:30:00.000Z</c:v>
                </c:pt>
                <c:pt idx="548">
                  <c:v>2026-02-01T08:45:00.000Z</c:v>
                </c:pt>
                <c:pt idx="549">
                  <c:v>2026-02-01T09:00:00.000Z</c:v>
                </c:pt>
                <c:pt idx="550">
                  <c:v>2026-02-01T09:15:00.000Z</c:v>
                </c:pt>
                <c:pt idx="551">
                  <c:v>2026-02-01T09:30:00.000Z</c:v>
                </c:pt>
                <c:pt idx="552">
                  <c:v>2026-02-01T09:45:00.000Z</c:v>
                </c:pt>
                <c:pt idx="553">
                  <c:v>2026-02-01T10:00:00.000Z</c:v>
                </c:pt>
                <c:pt idx="554">
                  <c:v>2026-02-01T10:15:00.000Z</c:v>
                </c:pt>
                <c:pt idx="555">
                  <c:v>2026-02-01T10:30:00.000Z</c:v>
                </c:pt>
                <c:pt idx="556">
                  <c:v>2026-02-01T10:45:00.000Z</c:v>
                </c:pt>
                <c:pt idx="557">
                  <c:v>2026-02-01T11:00:00.000Z</c:v>
                </c:pt>
                <c:pt idx="558">
                  <c:v>2026-02-01T11:15:00.000Z</c:v>
                </c:pt>
                <c:pt idx="559">
                  <c:v>2026-02-01T11:30:00.000Z</c:v>
                </c:pt>
                <c:pt idx="560">
                  <c:v>2026-02-01T11:45:00.000Z</c:v>
                </c:pt>
                <c:pt idx="561">
                  <c:v>2026-02-01T12:00:00.000Z</c:v>
                </c:pt>
                <c:pt idx="562">
                  <c:v>2026-02-01T12:15:00.000Z</c:v>
                </c:pt>
                <c:pt idx="563">
                  <c:v>2026-02-01T12:30:00.000Z</c:v>
                </c:pt>
                <c:pt idx="564">
                  <c:v>2026-02-01T12:45:00.000Z</c:v>
                </c:pt>
                <c:pt idx="565">
                  <c:v>2026-02-01T13:00:00.000Z</c:v>
                </c:pt>
                <c:pt idx="566">
                  <c:v>2026-02-01T13:15:00.000Z</c:v>
                </c:pt>
                <c:pt idx="567">
                  <c:v>2026-02-01T13:30:00.000Z</c:v>
                </c:pt>
                <c:pt idx="568">
                  <c:v>2026-02-01T13:45:00.000Z</c:v>
                </c:pt>
                <c:pt idx="569">
                  <c:v>2026-02-01T14:00:00.000Z</c:v>
                </c:pt>
                <c:pt idx="570">
                  <c:v>2026-02-01T14:15:00.000Z</c:v>
                </c:pt>
                <c:pt idx="571">
                  <c:v>2026-02-01T14:30:00.000Z</c:v>
                </c:pt>
                <c:pt idx="572">
                  <c:v>2026-02-01T14:45:00.000Z</c:v>
                </c:pt>
                <c:pt idx="573">
                  <c:v>2026-02-01T15:00:00.000Z</c:v>
                </c:pt>
                <c:pt idx="574">
                  <c:v>2026-02-01T15:15:00.000Z</c:v>
                </c:pt>
                <c:pt idx="575">
                  <c:v>2026-02-01T15:30:00.000Z</c:v>
                </c:pt>
                <c:pt idx="576">
                  <c:v>2026-02-01T15:45:00.000Z</c:v>
                </c:pt>
                <c:pt idx="577">
                  <c:v>2026-02-01T16:00:00.000Z</c:v>
                </c:pt>
                <c:pt idx="578">
                  <c:v>2026-02-01T16:15:00.000Z</c:v>
                </c:pt>
                <c:pt idx="579">
                  <c:v>2026-02-01T16:30:00.000Z</c:v>
                </c:pt>
                <c:pt idx="580">
                  <c:v>2026-02-01T16:45:00.000Z</c:v>
                </c:pt>
                <c:pt idx="581">
                  <c:v>2026-02-01T17:00:00.000Z</c:v>
                </c:pt>
                <c:pt idx="582">
                  <c:v>2026-02-01T17:15:00.000Z</c:v>
                </c:pt>
                <c:pt idx="583">
                  <c:v>2026-02-01T17:30:00.000Z</c:v>
                </c:pt>
                <c:pt idx="584">
                  <c:v>2026-02-01T17:45:00.000Z</c:v>
                </c:pt>
                <c:pt idx="585">
                  <c:v>2026-02-01T18:00:00.000Z</c:v>
                </c:pt>
                <c:pt idx="586">
                  <c:v>2026-02-01T18:15:00.000Z</c:v>
                </c:pt>
                <c:pt idx="587">
                  <c:v>2026-02-01T18:30:00.000Z</c:v>
                </c:pt>
                <c:pt idx="588">
                  <c:v>2026-02-01T18:45:00.000Z</c:v>
                </c:pt>
                <c:pt idx="589">
                  <c:v>2026-02-01T19:00:00.000Z</c:v>
                </c:pt>
                <c:pt idx="590">
                  <c:v>2026-02-01T19:15:00.000Z</c:v>
                </c:pt>
                <c:pt idx="591">
                  <c:v>2026-02-01T19:30:00.000Z</c:v>
                </c:pt>
                <c:pt idx="592">
                  <c:v>2026-02-01T19:45:00.000Z</c:v>
                </c:pt>
                <c:pt idx="593">
                  <c:v>2026-02-01T20:00:00.000Z</c:v>
                </c:pt>
                <c:pt idx="594">
                  <c:v>2026-02-01T20:15:00.000Z</c:v>
                </c:pt>
                <c:pt idx="595">
                  <c:v>2026-02-01T20:30:00.000Z</c:v>
                </c:pt>
                <c:pt idx="596">
                  <c:v>2026-02-01T20:45:00.000Z</c:v>
                </c:pt>
                <c:pt idx="597">
                  <c:v>2026-02-01T21:00:00.000Z</c:v>
                </c:pt>
                <c:pt idx="598">
                  <c:v>2026-02-01T21:15:00.000Z</c:v>
                </c:pt>
                <c:pt idx="599">
                  <c:v>2026-02-01T21:30:00.000Z</c:v>
                </c:pt>
                <c:pt idx="600">
                  <c:v>2026-02-01T21:45:00.000Z</c:v>
                </c:pt>
                <c:pt idx="601">
                  <c:v>2026-02-01T22:00:00.000Z</c:v>
                </c:pt>
                <c:pt idx="602">
                  <c:v>2026-02-01T22:15:00.000Z</c:v>
                </c:pt>
                <c:pt idx="603">
                  <c:v>2026-02-01T22:30:00.000Z</c:v>
                </c:pt>
                <c:pt idx="604">
                  <c:v>2026-02-01T22:45:00.000Z</c:v>
                </c:pt>
                <c:pt idx="605">
                  <c:v>2026-02-01T23:00:00.000Z</c:v>
                </c:pt>
                <c:pt idx="606">
                  <c:v>2026-02-01T23:15:00.000Z</c:v>
                </c:pt>
                <c:pt idx="607">
                  <c:v>2026-02-01T23:30:00.000Z</c:v>
                </c:pt>
                <c:pt idx="608">
                  <c:v>2026-02-01T23:45:00.000Z</c:v>
                </c:pt>
                <c:pt idx="609">
                  <c:v>2026-02-02T00:00:00.000Z</c:v>
                </c:pt>
                <c:pt idx="610">
                  <c:v>2026-02-02T00:15:00.000Z</c:v>
                </c:pt>
                <c:pt idx="611">
                  <c:v>2026-02-02T00:30:00.000Z</c:v>
                </c:pt>
                <c:pt idx="612">
                  <c:v>2026-02-02T00:45:00.000Z</c:v>
                </c:pt>
                <c:pt idx="613">
                  <c:v>2026-02-02T01:00:00.000Z</c:v>
                </c:pt>
                <c:pt idx="614">
                  <c:v>2026-02-02T01:15:00.000Z</c:v>
                </c:pt>
                <c:pt idx="615">
                  <c:v>2026-02-02T01:30:00.000Z</c:v>
                </c:pt>
                <c:pt idx="616">
                  <c:v>2026-02-02T01:45:00.000Z</c:v>
                </c:pt>
                <c:pt idx="617">
                  <c:v>2026-02-02T02:00:00.000Z</c:v>
                </c:pt>
                <c:pt idx="618">
                  <c:v>2026-02-02T02:15:00.000Z</c:v>
                </c:pt>
                <c:pt idx="619">
                  <c:v>2026-02-02T02:30:00.000Z</c:v>
                </c:pt>
                <c:pt idx="620">
                  <c:v>2026-02-02T02:45:00.000Z</c:v>
                </c:pt>
                <c:pt idx="621">
                  <c:v>2026-02-02T03:00:00.000Z</c:v>
                </c:pt>
                <c:pt idx="622">
                  <c:v>2026-02-02T03:15:00.000Z</c:v>
                </c:pt>
                <c:pt idx="623">
                  <c:v>2026-02-02T03:30:00.000Z</c:v>
                </c:pt>
                <c:pt idx="624">
                  <c:v>2026-02-02T03:45:00.000Z</c:v>
                </c:pt>
                <c:pt idx="625">
                  <c:v>2026-02-02T04:00:00.000Z</c:v>
                </c:pt>
                <c:pt idx="626">
                  <c:v>2026-02-02T04:15:00.000Z</c:v>
                </c:pt>
                <c:pt idx="627">
                  <c:v>2026-02-02T04:30:00.000Z</c:v>
                </c:pt>
                <c:pt idx="628">
                  <c:v>2026-02-02T04:45:00.000Z</c:v>
                </c:pt>
                <c:pt idx="629">
                  <c:v>2026-02-02T05:00:00.000Z</c:v>
                </c:pt>
                <c:pt idx="630">
                  <c:v>2026-02-02T05:15:00.000Z</c:v>
                </c:pt>
                <c:pt idx="631">
                  <c:v>2026-02-02T05:30:00.000Z</c:v>
                </c:pt>
                <c:pt idx="632">
                  <c:v>2026-02-02T05:45:00.000Z</c:v>
                </c:pt>
                <c:pt idx="633">
                  <c:v>2026-02-02T06:00:00.000Z</c:v>
                </c:pt>
                <c:pt idx="634">
                  <c:v>2026-02-02T06:15:00.000Z</c:v>
                </c:pt>
                <c:pt idx="635">
                  <c:v>2026-02-02T06:30:00.000Z</c:v>
                </c:pt>
                <c:pt idx="636">
                  <c:v>2026-02-02T06:45:00.000Z</c:v>
                </c:pt>
                <c:pt idx="637">
                  <c:v>2026-02-02T07:00:00.000Z</c:v>
                </c:pt>
                <c:pt idx="638">
                  <c:v>2026-02-02T07:15:00.000Z</c:v>
                </c:pt>
                <c:pt idx="639">
                  <c:v>2026-02-02T07:30:00.000Z</c:v>
                </c:pt>
                <c:pt idx="640">
                  <c:v>2026-02-02T07:45:00.000Z</c:v>
                </c:pt>
                <c:pt idx="641">
                  <c:v>2026-02-02T08:00:00.000Z</c:v>
                </c:pt>
                <c:pt idx="642">
                  <c:v>2026-02-02T08:15:00.000Z</c:v>
                </c:pt>
                <c:pt idx="643">
                  <c:v>2026-02-02T08:30:00.000Z</c:v>
                </c:pt>
                <c:pt idx="644">
                  <c:v>2026-02-02T08:45:00.000Z</c:v>
                </c:pt>
                <c:pt idx="645">
                  <c:v>2026-02-02T09:00:00.000Z</c:v>
                </c:pt>
                <c:pt idx="646">
                  <c:v>2026-02-02T09:15:00.000Z</c:v>
                </c:pt>
                <c:pt idx="647">
                  <c:v>2026-02-02T09:30:00.000Z</c:v>
                </c:pt>
                <c:pt idx="648">
                  <c:v>2026-02-02T09:45:00.000Z</c:v>
                </c:pt>
                <c:pt idx="649">
                  <c:v>2026-02-02T10:00:00.000Z</c:v>
                </c:pt>
                <c:pt idx="650">
                  <c:v>2026-02-02T10:15:00.000Z</c:v>
                </c:pt>
                <c:pt idx="651">
                  <c:v>2026-02-02T10:30:00.000Z</c:v>
                </c:pt>
                <c:pt idx="652">
                  <c:v>2026-02-02T10:45:00.000Z</c:v>
                </c:pt>
                <c:pt idx="653">
                  <c:v>2026-02-02T11:00:00.000Z</c:v>
                </c:pt>
                <c:pt idx="654">
                  <c:v>2026-02-02T11:15:00.000Z</c:v>
                </c:pt>
                <c:pt idx="655">
                  <c:v>2026-02-02T11:30:00.000Z</c:v>
                </c:pt>
                <c:pt idx="656">
                  <c:v>2026-02-02T11:45:00.000Z</c:v>
                </c:pt>
                <c:pt idx="657">
                  <c:v>2026-02-02T12:00:00.000Z</c:v>
                </c:pt>
                <c:pt idx="658">
                  <c:v>2026-02-02T12:15:00.000Z</c:v>
                </c:pt>
                <c:pt idx="659">
                  <c:v>2026-02-02T12:30:00.000Z</c:v>
                </c:pt>
                <c:pt idx="660">
                  <c:v>2026-02-02T12:45:00.000Z</c:v>
                </c:pt>
                <c:pt idx="661">
                  <c:v>2026-02-02T13:00:00.000Z</c:v>
                </c:pt>
                <c:pt idx="662">
                  <c:v>2026-02-02T13:15:00.000Z</c:v>
                </c:pt>
                <c:pt idx="663">
                  <c:v>2026-02-02T13:30:00.000Z</c:v>
                </c:pt>
                <c:pt idx="664">
                  <c:v>2026-02-02T13:45:00.000Z</c:v>
                </c:pt>
                <c:pt idx="665">
                  <c:v>2026-02-02T14:00:00.000Z</c:v>
                </c:pt>
                <c:pt idx="666">
                  <c:v>2026-02-02T14:15:00.000Z</c:v>
                </c:pt>
                <c:pt idx="667">
                  <c:v>2026-02-02T14:30:00.000Z</c:v>
                </c:pt>
                <c:pt idx="668">
                  <c:v>2026-02-02T14:45:00.000Z</c:v>
                </c:pt>
                <c:pt idx="669">
                  <c:v>2026-02-02T15:00:00.000Z</c:v>
                </c:pt>
                <c:pt idx="670">
                  <c:v>2026-02-02T15:15:00.000Z</c:v>
                </c:pt>
                <c:pt idx="671">
                  <c:v>2026-02-02T15:30:00.000Z</c:v>
                </c:pt>
                <c:pt idx="672">
                  <c:v>2026-02-02T15:45:00.000Z</c:v>
                </c:pt>
                <c:pt idx="673">
                  <c:v>2026-02-02T16:00:00.000Z</c:v>
                </c:pt>
                <c:pt idx="674">
                  <c:v>2026-02-02T16:15:00.000Z</c:v>
                </c:pt>
                <c:pt idx="675">
                  <c:v>2026-02-02T16:30:00.000Z</c:v>
                </c:pt>
                <c:pt idx="676">
                  <c:v>2026-02-02T16:45:00.000Z</c:v>
                </c:pt>
                <c:pt idx="677">
                  <c:v>2026-02-02T17:00:00.000Z</c:v>
                </c:pt>
                <c:pt idx="678">
                  <c:v>2026-02-02T17:15:00.000Z</c:v>
                </c:pt>
                <c:pt idx="679">
                  <c:v>2026-02-02T17:30:00.000Z</c:v>
                </c:pt>
                <c:pt idx="680">
                  <c:v>2026-02-02T17:45:00.000Z</c:v>
                </c:pt>
                <c:pt idx="681">
                  <c:v>2026-02-02T18:00:00.000Z</c:v>
                </c:pt>
                <c:pt idx="682">
                  <c:v>2026-02-02T18:15:00.000Z</c:v>
                </c:pt>
                <c:pt idx="683">
                  <c:v>2026-02-02T18:30:00.000Z</c:v>
                </c:pt>
                <c:pt idx="684">
                  <c:v>2026-02-02T18:45:00.000Z</c:v>
                </c:pt>
                <c:pt idx="685">
                  <c:v>2026-02-02T19:00:00.000Z</c:v>
                </c:pt>
                <c:pt idx="686">
                  <c:v>2026-02-02T19:15:00.000Z</c:v>
                </c:pt>
                <c:pt idx="687">
                  <c:v>2026-02-02T19:30:00.000Z</c:v>
                </c:pt>
                <c:pt idx="688">
                  <c:v>2026-02-02T19:45:00.000Z</c:v>
                </c:pt>
                <c:pt idx="689">
                  <c:v>2026-02-02T20:00:00.000Z</c:v>
                </c:pt>
                <c:pt idx="690">
                  <c:v>2026-02-02T20:15:00.000Z</c:v>
                </c:pt>
                <c:pt idx="691">
                  <c:v>2026-02-02T20:30:00.000Z</c:v>
                </c:pt>
                <c:pt idx="692">
                  <c:v>2026-02-02T20:45:00.000Z</c:v>
                </c:pt>
                <c:pt idx="693">
                  <c:v>2026-02-02T21:00:00.000Z</c:v>
                </c:pt>
                <c:pt idx="694">
                  <c:v>2026-02-02T21:15:00.000Z</c:v>
                </c:pt>
                <c:pt idx="695">
                  <c:v>2026-02-02T21:30:00.000Z</c:v>
                </c:pt>
                <c:pt idx="696">
                  <c:v>2026-02-02T21:45:00.000Z</c:v>
                </c:pt>
                <c:pt idx="697">
                  <c:v>2026-02-02T22:00:00.000Z</c:v>
                </c:pt>
                <c:pt idx="698">
                  <c:v>2026-02-02T22:15:00.000Z</c:v>
                </c:pt>
                <c:pt idx="699">
                  <c:v>2026-02-02T22:30:00.000Z</c:v>
                </c:pt>
                <c:pt idx="700">
                  <c:v>2026-02-02T22:45:00.000Z</c:v>
                </c:pt>
                <c:pt idx="701">
                  <c:v>2026-02-02T23:00:00.000Z</c:v>
                </c:pt>
                <c:pt idx="702">
                  <c:v>2026-02-02T23:15:00.000Z</c:v>
                </c:pt>
                <c:pt idx="703">
                  <c:v>2026-02-02T23:30:00.000Z</c:v>
                </c:pt>
                <c:pt idx="704">
                  <c:v>2026-02-02T23:45:00.000Z</c:v>
                </c:pt>
                <c:pt idx="705">
                  <c:v>2026-02-03T00:00:00.000Z</c:v>
                </c:pt>
                <c:pt idx="706">
                  <c:v>2026-02-03T00:15:00.000Z</c:v>
                </c:pt>
                <c:pt idx="707">
                  <c:v>2026-02-03T00:30:00.000Z</c:v>
                </c:pt>
                <c:pt idx="708">
                  <c:v>2026-02-03T00:45:00.000Z</c:v>
                </c:pt>
                <c:pt idx="709">
                  <c:v>2026-02-03T01:00:00.000Z</c:v>
                </c:pt>
                <c:pt idx="710">
                  <c:v>2026-02-03T01:15:00.000Z</c:v>
                </c:pt>
                <c:pt idx="711">
                  <c:v>2026-02-03T01:30:00.000Z</c:v>
                </c:pt>
                <c:pt idx="712">
                  <c:v>2026-02-03T01:45:00.000Z</c:v>
                </c:pt>
                <c:pt idx="713">
                  <c:v>2026-02-03T02:00:00.000Z</c:v>
                </c:pt>
                <c:pt idx="714">
                  <c:v>2026-02-03T02:15:00.000Z</c:v>
                </c:pt>
                <c:pt idx="715">
                  <c:v>2026-02-03T02:30:00.000Z</c:v>
                </c:pt>
                <c:pt idx="716">
                  <c:v>2026-02-03T02:45:00.000Z</c:v>
                </c:pt>
                <c:pt idx="717">
                  <c:v>2026-02-03T03:00:00.000Z</c:v>
                </c:pt>
                <c:pt idx="718">
                  <c:v>2026-02-03T03:15:00.000Z</c:v>
                </c:pt>
                <c:pt idx="719">
                  <c:v>2026-02-03T03:30:00.000Z</c:v>
                </c:pt>
                <c:pt idx="720">
                  <c:v>2026-02-03T03:45:00.000Z</c:v>
                </c:pt>
                <c:pt idx="721">
                  <c:v>2026-02-03T04:00:00.000Z</c:v>
                </c:pt>
                <c:pt idx="722">
                  <c:v>2026-02-03T04:15:00.000Z</c:v>
                </c:pt>
                <c:pt idx="723">
                  <c:v>2026-02-03T04:30:00.000Z</c:v>
                </c:pt>
                <c:pt idx="724">
                  <c:v>2026-02-03T04:45:00.000Z</c:v>
                </c:pt>
                <c:pt idx="725">
                  <c:v>2026-02-03T05:00:00.000Z</c:v>
                </c:pt>
                <c:pt idx="726">
                  <c:v>2026-02-03T05:15:00.000Z</c:v>
                </c:pt>
                <c:pt idx="727">
                  <c:v>2026-02-03T05:30:00.000Z</c:v>
                </c:pt>
                <c:pt idx="728">
                  <c:v>2026-02-03T05:45:00.000Z</c:v>
                </c:pt>
                <c:pt idx="729">
                  <c:v>2026-02-03T06:00:00.000Z</c:v>
                </c:pt>
                <c:pt idx="730">
                  <c:v>2026-02-03T06:15:00.000Z</c:v>
                </c:pt>
                <c:pt idx="731">
                  <c:v>2026-02-03T06:30:00.000Z</c:v>
                </c:pt>
                <c:pt idx="732">
                  <c:v>2026-02-03T06:45:00.000Z</c:v>
                </c:pt>
                <c:pt idx="733">
                  <c:v>2026-02-03T07:00:00.000Z</c:v>
                </c:pt>
                <c:pt idx="734">
                  <c:v>2026-02-03T07:15:00.000Z</c:v>
                </c:pt>
                <c:pt idx="735">
                  <c:v>2026-02-03T07:30:00.000Z</c:v>
                </c:pt>
                <c:pt idx="736">
                  <c:v>2026-02-03T07:45:00.000Z</c:v>
                </c:pt>
                <c:pt idx="737">
                  <c:v>2026-02-03T08:00:00.000Z</c:v>
                </c:pt>
                <c:pt idx="738">
                  <c:v>2026-02-03T08:15:00.000Z</c:v>
                </c:pt>
                <c:pt idx="739">
                  <c:v>2026-02-03T08:30:00.000Z</c:v>
                </c:pt>
                <c:pt idx="740">
                  <c:v>2026-02-03T08:45:00.000Z</c:v>
                </c:pt>
                <c:pt idx="741">
                  <c:v>2026-02-03T09:00:00.000Z</c:v>
                </c:pt>
                <c:pt idx="742">
                  <c:v>2026-02-03T09:15:00.000Z</c:v>
                </c:pt>
                <c:pt idx="743">
                  <c:v>2026-02-03T09:30:00.000Z</c:v>
                </c:pt>
                <c:pt idx="744">
                  <c:v>2026-02-03T09:45:00.000Z</c:v>
                </c:pt>
                <c:pt idx="745">
                  <c:v>2026-02-03T10:00:00.000Z</c:v>
                </c:pt>
                <c:pt idx="746">
                  <c:v>2026-02-03T10:15:00.000Z</c:v>
                </c:pt>
                <c:pt idx="747">
                  <c:v>2026-02-03T10:30:00.000Z</c:v>
                </c:pt>
                <c:pt idx="748">
                  <c:v>2026-02-03T10:45:00.000Z</c:v>
                </c:pt>
                <c:pt idx="749">
                  <c:v>2026-02-03T11:00:00.000Z</c:v>
                </c:pt>
                <c:pt idx="750">
                  <c:v>2026-02-03T11:15:00.000Z</c:v>
                </c:pt>
                <c:pt idx="751">
                  <c:v>2026-02-03T11:30:00.000Z</c:v>
                </c:pt>
                <c:pt idx="752">
                  <c:v>2026-02-03T11:45:00.000Z</c:v>
                </c:pt>
                <c:pt idx="753">
                  <c:v>2026-02-03T12:00:00.000Z</c:v>
                </c:pt>
                <c:pt idx="754">
                  <c:v>2026-02-03T12:15:00.000Z</c:v>
                </c:pt>
                <c:pt idx="755">
                  <c:v>2026-02-03T12:30:00.000Z</c:v>
                </c:pt>
                <c:pt idx="756">
                  <c:v>2026-02-03T12:45:00.000Z</c:v>
                </c:pt>
                <c:pt idx="757">
                  <c:v>2026-02-03T13:00:00.000Z</c:v>
                </c:pt>
                <c:pt idx="758">
                  <c:v>2026-02-03T13:15:00.000Z</c:v>
                </c:pt>
                <c:pt idx="759">
                  <c:v>2026-02-03T13:30:00.000Z</c:v>
                </c:pt>
                <c:pt idx="760">
                  <c:v>2026-02-03T13:45:00.000Z</c:v>
                </c:pt>
                <c:pt idx="761">
                  <c:v>2026-02-03T14:00:00.000Z</c:v>
                </c:pt>
                <c:pt idx="762">
                  <c:v>2026-02-03T14:15:00.000Z</c:v>
                </c:pt>
                <c:pt idx="763">
                  <c:v>2026-02-03T14:30:00.000Z</c:v>
                </c:pt>
                <c:pt idx="764">
                  <c:v>2026-02-03T14:45:00.000Z</c:v>
                </c:pt>
                <c:pt idx="765">
                  <c:v>2026-02-03T15:00:00.000Z</c:v>
                </c:pt>
                <c:pt idx="766">
                  <c:v>2026-02-03T15:15:00.000Z</c:v>
                </c:pt>
                <c:pt idx="767">
                  <c:v>2026-02-03T15:30:00.000Z</c:v>
                </c:pt>
                <c:pt idx="768">
                  <c:v>2026-02-03T15:45:00.000Z</c:v>
                </c:pt>
                <c:pt idx="769">
                  <c:v>2026-02-03T16:00:00.000Z</c:v>
                </c:pt>
                <c:pt idx="770">
                  <c:v>2026-02-03T16:15:00.000Z</c:v>
                </c:pt>
                <c:pt idx="771">
                  <c:v>2026-02-03T16:30:00.000Z</c:v>
                </c:pt>
                <c:pt idx="772">
                  <c:v>2026-02-03T16:45:00.000Z</c:v>
                </c:pt>
                <c:pt idx="773">
                  <c:v>2026-02-03T17:00:00.000Z</c:v>
                </c:pt>
                <c:pt idx="774">
                  <c:v>2026-02-03T17:15:00.000Z</c:v>
                </c:pt>
                <c:pt idx="775">
                  <c:v>2026-02-03T17:30:00.000Z</c:v>
                </c:pt>
                <c:pt idx="776">
                  <c:v>2026-02-03T17:45:00.000Z</c:v>
                </c:pt>
                <c:pt idx="777">
                  <c:v>2026-02-03T18:00:00.000Z</c:v>
                </c:pt>
                <c:pt idx="778">
                  <c:v>2026-02-03T18:15:00.000Z</c:v>
                </c:pt>
                <c:pt idx="779">
                  <c:v>2026-02-03T18:30:00.000Z</c:v>
                </c:pt>
                <c:pt idx="780">
                  <c:v>2026-02-03T18:45:00.000Z</c:v>
                </c:pt>
                <c:pt idx="781">
                  <c:v>2026-02-03T19:00:00.000Z</c:v>
                </c:pt>
                <c:pt idx="782">
                  <c:v>2026-02-03T19:15:00.000Z</c:v>
                </c:pt>
                <c:pt idx="783">
                  <c:v>2026-02-03T19:30:00.000Z</c:v>
                </c:pt>
                <c:pt idx="784">
                  <c:v>2026-02-03T19:45:00.000Z</c:v>
                </c:pt>
                <c:pt idx="785">
                  <c:v>2026-02-03T20:00:00.000Z</c:v>
                </c:pt>
                <c:pt idx="786">
                  <c:v>2026-02-03T20:15:00.000Z</c:v>
                </c:pt>
                <c:pt idx="787">
                  <c:v>2026-02-03T20:30:00.000Z</c:v>
                </c:pt>
                <c:pt idx="788">
                  <c:v>2026-02-03T20:45:00.000Z</c:v>
                </c:pt>
                <c:pt idx="789">
                  <c:v>2026-02-03T21:00:00.000Z</c:v>
                </c:pt>
                <c:pt idx="790">
                  <c:v>2026-02-03T21:15:00.000Z</c:v>
                </c:pt>
                <c:pt idx="791">
                  <c:v>2026-02-03T21:30:00.000Z</c:v>
                </c:pt>
                <c:pt idx="792">
                  <c:v>2026-02-03T21:45:00.000Z</c:v>
                </c:pt>
                <c:pt idx="793">
                  <c:v>2026-02-03T22:00:00.000Z</c:v>
                </c:pt>
                <c:pt idx="794">
                  <c:v>2026-02-03T22:15:00.000Z</c:v>
                </c:pt>
                <c:pt idx="795">
                  <c:v>2026-02-03T22:30:00.000Z</c:v>
                </c:pt>
                <c:pt idx="796">
                  <c:v>2026-02-03T22:45:00.000Z</c:v>
                </c:pt>
                <c:pt idx="797">
                  <c:v>2026-02-03T23:00:00.000Z</c:v>
                </c:pt>
                <c:pt idx="798">
                  <c:v>2026-02-03T23:15:00.000Z</c:v>
                </c:pt>
                <c:pt idx="799">
                  <c:v>2026-02-03T23:30:00.000Z</c:v>
                </c:pt>
                <c:pt idx="800">
                  <c:v>2026-02-03T23:45:00.000Z</c:v>
                </c:pt>
                <c:pt idx="801">
                  <c:v>2026-02-04T00:00:00.000Z</c:v>
                </c:pt>
                <c:pt idx="802">
                  <c:v>2026-02-04T00:15:00.000Z</c:v>
                </c:pt>
                <c:pt idx="803">
                  <c:v>2026-02-04T00:30:00.000Z</c:v>
                </c:pt>
                <c:pt idx="804">
                  <c:v>2026-02-04T00:45:00.000Z</c:v>
                </c:pt>
                <c:pt idx="805">
                  <c:v>2026-02-04T01:00:00.000Z</c:v>
                </c:pt>
                <c:pt idx="806">
                  <c:v>2026-02-04T01:15:00.000Z</c:v>
                </c:pt>
                <c:pt idx="807">
                  <c:v>2026-02-04T01:30:00.000Z</c:v>
                </c:pt>
                <c:pt idx="808">
                  <c:v>2026-02-04T01:45:00.000Z</c:v>
                </c:pt>
                <c:pt idx="809">
                  <c:v>2026-02-04T02:00:00.000Z</c:v>
                </c:pt>
                <c:pt idx="810">
                  <c:v>2026-02-04T02:15:00.000Z</c:v>
                </c:pt>
                <c:pt idx="811">
                  <c:v>2026-02-04T02:30:00.000Z</c:v>
                </c:pt>
                <c:pt idx="812">
                  <c:v>2026-02-04T02:45:00.000Z</c:v>
                </c:pt>
                <c:pt idx="813">
                  <c:v>2026-02-04T03:00:00.000Z</c:v>
                </c:pt>
                <c:pt idx="814">
                  <c:v>2026-02-04T03:15:00.000Z</c:v>
                </c:pt>
                <c:pt idx="815">
                  <c:v>2026-02-04T03:30:00.000Z</c:v>
                </c:pt>
                <c:pt idx="816">
                  <c:v>2026-02-04T03:45:00.000Z</c:v>
                </c:pt>
                <c:pt idx="817">
                  <c:v>2026-02-04T04:00:00.000Z</c:v>
                </c:pt>
                <c:pt idx="818">
                  <c:v>2026-02-04T04:15:00.000Z</c:v>
                </c:pt>
                <c:pt idx="819">
                  <c:v>2026-02-04T04:30:00.000Z</c:v>
                </c:pt>
                <c:pt idx="820">
                  <c:v>2026-02-04T04:45:00.000Z</c:v>
                </c:pt>
                <c:pt idx="821">
                  <c:v>2026-02-04T05:00:00.000Z</c:v>
                </c:pt>
                <c:pt idx="822">
                  <c:v>2026-02-04T05:15:00.000Z</c:v>
                </c:pt>
                <c:pt idx="823">
                  <c:v>2026-02-04T05:30:00.000Z</c:v>
                </c:pt>
                <c:pt idx="824">
                  <c:v>2026-02-04T05:45:00.000Z</c:v>
                </c:pt>
                <c:pt idx="825">
                  <c:v>2026-02-04T06:00:00.000Z</c:v>
                </c:pt>
                <c:pt idx="826">
                  <c:v>2026-02-04T06:15:00.000Z</c:v>
                </c:pt>
                <c:pt idx="827">
                  <c:v>2026-02-04T06:30:00.000Z</c:v>
                </c:pt>
                <c:pt idx="828">
                  <c:v>2026-02-04T06:45:00.000Z</c:v>
                </c:pt>
                <c:pt idx="829">
                  <c:v>2026-02-04T07:00:00.000Z</c:v>
                </c:pt>
                <c:pt idx="830">
                  <c:v>2026-02-04T07:15:00.000Z</c:v>
                </c:pt>
                <c:pt idx="831">
                  <c:v>2026-02-04T07:30:00.000Z</c:v>
                </c:pt>
                <c:pt idx="832">
                  <c:v>2026-02-04T07:45:00.000Z</c:v>
                </c:pt>
                <c:pt idx="833">
                  <c:v>2026-02-04T08:00:00.000Z</c:v>
                </c:pt>
                <c:pt idx="834">
                  <c:v>2026-02-04T08:15:00.000Z</c:v>
                </c:pt>
                <c:pt idx="835">
                  <c:v>2026-02-04T08:30:00.000Z</c:v>
                </c:pt>
                <c:pt idx="836">
                  <c:v>2026-02-04T08:45:00.000Z</c:v>
                </c:pt>
                <c:pt idx="837">
                  <c:v>2026-02-04T09:00:00.000Z</c:v>
                </c:pt>
                <c:pt idx="838">
                  <c:v>2026-02-04T09:15:00.000Z</c:v>
                </c:pt>
                <c:pt idx="839">
                  <c:v>2026-02-04T09:30:00.000Z</c:v>
                </c:pt>
                <c:pt idx="840">
                  <c:v>2026-02-04T09:45:00.000Z</c:v>
                </c:pt>
                <c:pt idx="841">
                  <c:v>2026-02-04T10:00:00.000Z</c:v>
                </c:pt>
                <c:pt idx="842">
                  <c:v>2026-02-04T10:15:00.000Z</c:v>
                </c:pt>
                <c:pt idx="843">
                  <c:v>2026-02-04T10:30:00.000Z</c:v>
                </c:pt>
                <c:pt idx="844">
                  <c:v>2026-02-04T10:45:00.000Z</c:v>
                </c:pt>
                <c:pt idx="845">
                  <c:v>2026-02-04T11:00:00.000Z</c:v>
                </c:pt>
                <c:pt idx="846">
                  <c:v>2026-02-04T11:15:00.000Z</c:v>
                </c:pt>
                <c:pt idx="847">
                  <c:v>2026-02-04T11:30:00.000Z</c:v>
                </c:pt>
                <c:pt idx="848">
                  <c:v>2026-02-04T11:45:00.000Z</c:v>
                </c:pt>
                <c:pt idx="849">
                  <c:v>2026-02-04T12:00:00.000Z</c:v>
                </c:pt>
                <c:pt idx="850">
                  <c:v>2026-02-04T12:15:00.000Z</c:v>
                </c:pt>
                <c:pt idx="851">
                  <c:v>2026-02-04T12:30:00.000Z</c:v>
                </c:pt>
                <c:pt idx="852">
                  <c:v>2026-02-04T12:45:00.000Z</c:v>
                </c:pt>
                <c:pt idx="853">
                  <c:v>2026-02-04T13:00:00.000Z</c:v>
                </c:pt>
                <c:pt idx="854">
                  <c:v>2026-02-04T13:15:00.000Z</c:v>
                </c:pt>
                <c:pt idx="855">
                  <c:v>2026-02-04T13:30:00.000Z</c:v>
                </c:pt>
                <c:pt idx="856">
                  <c:v>2026-02-04T13:45:00.000Z</c:v>
                </c:pt>
                <c:pt idx="857">
                  <c:v>2026-02-04T14:00:00.000Z</c:v>
                </c:pt>
                <c:pt idx="858">
                  <c:v>2026-02-04T14:15:00.000Z</c:v>
                </c:pt>
                <c:pt idx="859">
                  <c:v>2026-02-04T14:30:00.000Z</c:v>
                </c:pt>
                <c:pt idx="860">
                  <c:v>2026-02-04T14:45:00.000Z</c:v>
                </c:pt>
                <c:pt idx="861">
                  <c:v>2026-02-04T15:00:00.000Z</c:v>
                </c:pt>
                <c:pt idx="862">
                  <c:v>2026-02-04T15:15:00.000Z</c:v>
                </c:pt>
                <c:pt idx="863">
                  <c:v>2026-02-04T15:30:00.000Z</c:v>
                </c:pt>
                <c:pt idx="864">
                  <c:v>2026-02-04T15:45:00.000Z</c:v>
                </c:pt>
                <c:pt idx="865">
                  <c:v>2026-02-04T16:00:00.000Z</c:v>
                </c:pt>
                <c:pt idx="866">
                  <c:v>2026-02-04T16:15:00.000Z</c:v>
                </c:pt>
                <c:pt idx="867">
                  <c:v>2026-02-04T16:30:00.000Z</c:v>
                </c:pt>
                <c:pt idx="868">
                  <c:v>2026-02-04T16:45:00.000Z</c:v>
                </c:pt>
                <c:pt idx="869">
                  <c:v>2026-02-04T17:00:00.000Z</c:v>
                </c:pt>
                <c:pt idx="870">
                  <c:v>2026-02-04T17:15:00.000Z</c:v>
                </c:pt>
                <c:pt idx="871">
                  <c:v>2026-02-04T17:30:00.000Z</c:v>
                </c:pt>
                <c:pt idx="872">
                  <c:v>2026-02-04T17:45:00.000Z</c:v>
                </c:pt>
                <c:pt idx="873">
                  <c:v>2026-02-04T18:00:00.000Z</c:v>
                </c:pt>
                <c:pt idx="874">
                  <c:v>2026-02-04T18:15:00.000Z</c:v>
                </c:pt>
                <c:pt idx="875">
                  <c:v>2026-02-04T18:30:00.000Z</c:v>
                </c:pt>
                <c:pt idx="876">
                  <c:v>2026-02-04T18:45:00.000Z</c:v>
                </c:pt>
                <c:pt idx="877">
                  <c:v>2026-02-04T19:00:00.000Z</c:v>
                </c:pt>
                <c:pt idx="878">
                  <c:v>2026-02-04T19:15:00.000Z</c:v>
                </c:pt>
                <c:pt idx="879">
                  <c:v>2026-02-04T19:30:00.000Z</c:v>
                </c:pt>
                <c:pt idx="880">
                  <c:v>2026-02-04T19:45:00.000Z</c:v>
                </c:pt>
                <c:pt idx="881">
                  <c:v>2026-02-04T20:00:00.000Z</c:v>
                </c:pt>
                <c:pt idx="882">
                  <c:v>2026-02-04T20:15:00.000Z</c:v>
                </c:pt>
                <c:pt idx="883">
                  <c:v>2026-02-04T20:30:00.000Z</c:v>
                </c:pt>
                <c:pt idx="884">
                  <c:v>2026-02-04T20:45:00.000Z</c:v>
                </c:pt>
                <c:pt idx="885">
                  <c:v>2026-02-04T21:00:00.000Z</c:v>
                </c:pt>
                <c:pt idx="886">
                  <c:v>2026-02-04T21:15:00.000Z</c:v>
                </c:pt>
                <c:pt idx="887">
                  <c:v>2026-02-04T21:30:00.000Z</c:v>
                </c:pt>
                <c:pt idx="888">
                  <c:v>2026-02-04T21:45:00.000Z</c:v>
                </c:pt>
                <c:pt idx="889">
                  <c:v>2026-02-04T22:00:00.000Z</c:v>
                </c:pt>
                <c:pt idx="890">
                  <c:v>2026-02-04T22:15:00.000Z</c:v>
                </c:pt>
                <c:pt idx="891">
                  <c:v>2026-02-04T22:30:00.000Z</c:v>
                </c:pt>
                <c:pt idx="892">
                  <c:v>2026-02-04T22:45:00.000Z</c:v>
                </c:pt>
                <c:pt idx="893">
                  <c:v>2026-02-04T23:00:00.000Z</c:v>
                </c:pt>
                <c:pt idx="894">
                  <c:v>2026-02-04T23:15:00.000Z</c:v>
                </c:pt>
                <c:pt idx="895">
                  <c:v>2026-02-04T23:30:00.000Z</c:v>
                </c:pt>
                <c:pt idx="896">
                  <c:v>2026-02-04T23:45:00.000Z</c:v>
                </c:pt>
                <c:pt idx="897">
                  <c:v>2026-02-05T00:00:00.000Z</c:v>
                </c:pt>
                <c:pt idx="898">
                  <c:v>2026-02-05T00:15:00.000Z</c:v>
                </c:pt>
                <c:pt idx="899">
                  <c:v>2026-02-05T00:30:00.000Z</c:v>
                </c:pt>
                <c:pt idx="900">
                  <c:v>2026-02-05T00:45:00.000Z</c:v>
                </c:pt>
                <c:pt idx="901">
                  <c:v>2026-02-05T01:00:00.000Z</c:v>
                </c:pt>
                <c:pt idx="902">
                  <c:v>2026-02-05T01:15:00.000Z</c:v>
                </c:pt>
                <c:pt idx="903">
                  <c:v>2026-02-05T01:30:00.000Z</c:v>
                </c:pt>
                <c:pt idx="904">
                  <c:v>2026-02-05T01:45:00.000Z</c:v>
                </c:pt>
                <c:pt idx="905">
                  <c:v>2026-02-05T02:00:00.000Z</c:v>
                </c:pt>
                <c:pt idx="906">
                  <c:v>2026-02-05T02:15:00.000Z</c:v>
                </c:pt>
                <c:pt idx="907">
                  <c:v>2026-02-05T02:30:00.000Z</c:v>
                </c:pt>
                <c:pt idx="908">
                  <c:v>2026-02-05T02:45:00.000Z</c:v>
                </c:pt>
                <c:pt idx="909">
                  <c:v>2026-02-05T03:00:00.000Z</c:v>
                </c:pt>
                <c:pt idx="910">
                  <c:v>2026-02-05T03:15:00.000Z</c:v>
                </c:pt>
                <c:pt idx="911">
                  <c:v>2026-02-05T03:30:00.000Z</c:v>
                </c:pt>
                <c:pt idx="912">
                  <c:v>2026-02-05T03:45:00.000Z</c:v>
                </c:pt>
                <c:pt idx="913">
                  <c:v>2026-02-05T04:00:00.000Z</c:v>
                </c:pt>
                <c:pt idx="914">
                  <c:v>2026-02-05T04:15:00.000Z</c:v>
                </c:pt>
                <c:pt idx="915">
                  <c:v>2026-02-05T04:30:00.000Z</c:v>
                </c:pt>
                <c:pt idx="916">
                  <c:v>2026-02-05T04:45:00.000Z</c:v>
                </c:pt>
                <c:pt idx="917">
                  <c:v>2026-02-05T05:00:00.000Z</c:v>
                </c:pt>
                <c:pt idx="918">
                  <c:v>2026-02-05T05:15:00.000Z</c:v>
                </c:pt>
                <c:pt idx="919">
                  <c:v>2026-02-05T05:30:00.000Z</c:v>
                </c:pt>
                <c:pt idx="920">
                  <c:v>2026-02-05T05:45:00.000Z</c:v>
                </c:pt>
                <c:pt idx="921">
                  <c:v>2026-02-05T06:00:00.000Z</c:v>
                </c:pt>
                <c:pt idx="922">
                  <c:v>2026-02-05T06:15:00.000Z</c:v>
                </c:pt>
                <c:pt idx="923">
                  <c:v>2026-02-05T06:30:00.000Z</c:v>
                </c:pt>
                <c:pt idx="924">
                  <c:v>2026-02-05T06:45:00.000Z</c:v>
                </c:pt>
                <c:pt idx="925">
                  <c:v>2026-02-05T07:00:00.000Z</c:v>
                </c:pt>
                <c:pt idx="926">
                  <c:v>2026-02-05T07:15:00.000Z</c:v>
                </c:pt>
                <c:pt idx="927">
                  <c:v>2026-02-05T07:30:00.000Z</c:v>
                </c:pt>
                <c:pt idx="928">
                  <c:v>2026-02-05T07:45:00.000Z</c:v>
                </c:pt>
                <c:pt idx="929">
                  <c:v>2026-02-05T08:00:00.000Z</c:v>
                </c:pt>
                <c:pt idx="930">
                  <c:v>2026-02-05T08:15:00.000Z</c:v>
                </c:pt>
                <c:pt idx="931">
                  <c:v>2026-02-05T08:30:00.000Z</c:v>
                </c:pt>
                <c:pt idx="932">
                  <c:v>2026-02-05T08:45:00.000Z</c:v>
                </c:pt>
                <c:pt idx="933">
                  <c:v>2026-02-05T09:00:00.000Z</c:v>
                </c:pt>
                <c:pt idx="934">
                  <c:v>2026-02-05T09:15:00.000Z</c:v>
                </c:pt>
                <c:pt idx="935">
                  <c:v>2026-02-05T09:30:00.000Z</c:v>
                </c:pt>
                <c:pt idx="936">
                  <c:v>2026-02-05T09:45:00.000Z</c:v>
                </c:pt>
                <c:pt idx="937">
                  <c:v>2026-02-05T10:00:00.000Z</c:v>
                </c:pt>
                <c:pt idx="938">
                  <c:v>2026-02-05T10:15:00.000Z</c:v>
                </c:pt>
                <c:pt idx="939">
                  <c:v>2026-02-05T10:30:00.000Z</c:v>
                </c:pt>
                <c:pt idx="940">
                  <c:v>2026-02-05T10:45:00.000Z</c:v>
                </c:pt>
                <c:pt idx="941">
                  <c:v>2026-02-05T11:00:00.000Z</c:v>
                </c:pt>
                <c:pt idx="942">
                  <c:v>2026-02-05T11:15:00.000Z</c:v>
                </c:pt>
                <c:pt idx="943">
                  <c:v>2026-02-05T11:30:00.000Z</c:v>
                </c:pt>
                <c:pt idx="944">
                  <c:v>2026-02-05T11:45:00.000Z</c:v>
                </c:pt>
                <c:pt idx="945">
                  <c:v>2026-02-05T12:00:00.000Z</c:v>
                </c:pt>
                <c:pt idx="946">
                  <c:v>2026-02-05T12:15:00.000Z</c:v>
                </c:pt>
                <c:pt idx="947">
                  <c:v>2026-02-05T12:30:00.000Z</c:v>
                </c:pt>
                <c:pt idx="948">
                  <c:v>2026-02-05T12:45:00.000Z</c:v>
                </c:pt>
                <c:pt idx="949">
                  <c:v>2026-02-05T13:00:00.000Z</c:v>
                </c:pt>
                <c:pt idx="950">
                  <c:v>2026-02-05T13:15:00.000Z</c:v>
                </c:pt>
                <c:pt idx="951">
                  <c:v>2026-02-05T13:30:00.000Z</c:v>
                </c:pt>
                <c:pt idx="952">
                  <c:v>2026-02-05T13:45:00.000Z</c:v>
                </c:pt>
                <c:pt idx="953">
                  <c:v>2026-02-05T14:00:00.000Z</c:v>
                </c:pt>
                <c:pt idx="954">
                  <c:v>2026-02-05T14:15:00.000Z</c:v>
                </c:pt>
                <c:pt idx="955">
                  <c:v>2026-02-05T14:30:00.000Z</c:v>
                </c:pt>
                <c:pt idx="956">
                  <c:v>2026-02-05T14:45:00.000Z</c:v>
                </c:pt>
                <c:pt idx="957">
                  <c:v>2026-02-05T15:00:00.000Z</c:v>
                </c:pt>
                <c:pt idx="958">
                  <c:v>2026-02-05T15:15:00.000Z</c:v>
                </c:pt>
                <c:pt idx="959">
                  <c:v>2026-02-05T15:30:00.000Z</c:v>
                </c:pt>
                <c:pt idx="960">
                  <c:v>2026-02-05T15:45:00.000Z</c:v>
                </c:pt>
                <c:pt idx="961">
                  <c:v>2026-02-05T16:00:00.000Z</c:v>
                </c:pt>
                <c:pt idx="962">
                  <c:v>2026-02-05T16:15:00.000Z</c:v>
                </c:pt>
                <c:pt idx="963">
                  <c:v>2026-02-05T16:30:00.000Z</c:v>
                </c:pt>
                <c:pt idx="964">
                  <c:v>2026-02-05T16:45:00.000Z</c:v>
                </c:pt>
                <c:pt idx="965">
                  <c:v>2026-02-05T17:00:00.000Z</c:v>
                </c:pt>
                <c:pt idx="966">
                  <c:v>2026-02-05T17:15:00.000Z</c:v>
                </c:pt>
                <c:pt idx="967">
                  <c:v>2026-02-05T17:30:00.000Z</c:v>
                </c:pt>
                <c:pt idx="968">
                  <c:v>2026-02-05T17:45:00.000Z</c:v>
                </c:pt>
                <c:pt idx="969">
                  <c:v>2026-02-05T18:00:00.000Z</c:v>
                </c:pt>
                <c:pt idx="970">
                  <c:v>2026-02-05T18:15:00.000Z</c:v>
                </c:pt>
                <c:pt idx="971">
                  <c:v>2026-02-05T18:30:00.000Z</c:v>
                </c:pt>
                <c:pt idx="972">
                  <c:v>2026-02-05T18:45:00.000Z</c:v>
                </c:pt>
                <c:pt idx="973">
                  <c:v>2026-02-05T19:00:00.000Z</c:v>
                </c:pt>
                <c:pt idx="974">
                  <c:v>2026-02-05T19:15:00.000Z</c:v>
                </c:pt>
                <c:pt idx="975">
                  <c:v>2026-02-05T19:30:00.000Z</c:v>
                </c:pt>
                <c:pt idx="976">
                  <c:v>2026-02-05T19:45:00.000Z</c:v>
                </c:pt>
                <c:pt idx="977">
                  <c:v>2026-02-05T20:00:00.000Z</c:v>
                </c:pt>
                <c:pt idx="978">
                  <c:v>2026-02-05T20:15:00.000Z</c:v>
                </c:pt>
                <c:pt idx="979">
                  <c:v>2026-02-05T20:30:00.000Z</c:v>
                </c:pt>
                <c:pt idx="980">
                  <c:v>2026-02-05T20:45:00.000Z</c:v>
                </c:pt>
                <c:pt idx="981">
                  <c:v>2026-02-05T21:00:00.000Z</c:v>
                </c:pt>
                <c:pt idx="982">
                  <c:v>2026-02-05T21:15:00.000Z</c:v>
                </c:pt>
                <c:pt idx="983">
                  <c:v>2026-02-05T21:30:00.000Z</c:v>
                </c:pt>
                <c:pt idx="984">
                  <c:v>2026-02-05T21:45:00.000Z</c:v>
                </c:pt>
                <c:pt idx="985">
                  <c:v>2026-02-05T22:00:00.000Z</c:v>
                </c:pt>
                <c:pt idx="986">
                  <c:v>2026-02-05T22:15:00.000Z</c:v>
                </c:pt>
                <c:pt idx="987">
                  <c:v>2026-02-05T22:30:00.000Z</c:v>
                </c:pt>
                <c:pt idx="988">
                  <c:v>2026-02-05T22:45:00.000Z</c:v>
                </c:pt>
                <c:pt idx="989">
                  <c:v>2026-02-05T23:00:00.000Z</c:v>
                </c:pt>
                <c:pt idx="990">
                  <c:v>2026-02-05T23:15:00.000Z</c:v>
                </c:pt>
                <c:pt idx="991">
                  <c:v>2026-02-05T23:30:00.000Z</c:v>
                </c:pt>
                <c:pt idx="992">
                  <c:v>2026-02-05T23:45:00.000Z</c:v>
                </c:pt>
                <c:pt idx="993">
                  <c:v>2026-02-06T00:00:00.000Z</c:v>
                </c:pt>
                <c:pt idx="994">
                  <c:v>2026-02-06T00:15:00.000Z</c:v>
                </c:pt>
                <c:pt idx="995">
                  <c:v>2026-02-06T00:30:00.000Z</c:v>
                </c:pt>
                <c:pt idx="996">
                  <c:v>2026-02-06T00:45:00.000Z</c:v>
                </c:pt>
                <c:pt idx="997">
                  <c:v>2026-02-06T01:00:00.000Z</c:v>
                </c:pt>
                <c:pt idx="998">
                  <c:v>2026-02-06T01:15:00.000Z</c:v>
                </c:pt>
                <c:pt idx="999">
                  <c:v>2026-02-06T01:30:00.000Z</c:v>
                </c:pt>
                <c:pt idx="1000">
                  <c:v>2026-02-06T01:45:00.000Z</c:v>
                </c:pt>
                <c:pt idx="1001">
                  <c:v>2026-02-06T02:00:00.000Z</c:v>
                </c:pt>
                <c:pt idx="1002">
                  <c:v>2026-02-06T02:15:00.000Z</c:v>
                </c:pt>
                <c:pt idx="1003">
                  <c:v>2026-02-06T02:30:00.000Z</c:v>
                </c:pt>
                <c:pt idx="1004">
                  <c:v>2026-02-06T02:45:00.000Z</c:v>
                </c:pt>
                <c:pt idx="1005">
                  <c:v>2026-02-06T03:00:00.000Z</c:v>
                </c:pt>
                <c:pt idx="1006">
                  <c:v>2026-02-06T03:15:00.000Z</c:v>
                </c:pt>
                <c:pt idx="1007">
                  <c:v>2026-02-06T03:30:00.000Z</c:v>
                </c:pt>
                <c:pt idx="1008">
                  <c:v>2026-02-06T03:45:00.000Z</c:v>
                </c:pt>
                <c:pt idx="1009">
                  <c:v>2026-02-06T04:00:00.000Z</c:v>
                </c:pt>
                <c:pt idx="1010">
                  <c:v>2026-02-06T04:15:00.000Z</c:v>
                </c:pt>
                <c:pt idx="1011">
                  <c:v>2026-02-06T04:30:00.000Z</c:v>
                </c:pt>
                <c:pt idx="1012">
                  <c:v>2026-02-06T04:45:00.000Z</c:v>
                </c:pt>
                <c:pt idx="1013">
                  <c:v>2026-02-06T05:00:00.000Z</c:v>
                </c:pt>
                <c:pt idx="1014">
                  <c:v>2026-02-06T05:15:00.000Z</c:v>
                </c:pt>
                <c:pt idx="1015">
                  <c:v>2026-02-06T05:30:00.000Z</c:v>
                </c:pt>
                <c:pt idx="1016">
                  <c:v>2026-02-06T05:45:00.000Z</c:v>
                </c:pt>
                <c:pt idx="1017">
                  <c:v>2026-02-06T06:00:00.000Z</c:v>
                </c:pt>
                <c:pt idx="1018">
                  <c:v>2026-02-06T06:15:00.000Z</c:v>
                </c:pt>
                <c:pt idx="1019">
                  <c:v>2026-02-06T06:30:00.000Z</c:v>
                </c:pt>
                <c:pt idx="1020">
                  <c:v>2026-02-06T06:45:00.000Z</c:v>
                </c:pt>
                <c:pt idx="1021">
                  <c:v>2026-02-06T07:00:00.000Z</c:v>
                </c:pt>
                <c:pt idx="1022">
                  <c:v>2026-02-06T07:15:00.000Z</c:v>
                </c:pt>
                <c:pt idx="1023">
                  <c:v>2026-02-06T07:30:00.000Z</c:v>
                </c:pt>
                <c:pt idx="1024">
                  <c:v>2026-02-06T07:45:00.000Z</c:v>
                </c:pt>
                <c:pt idx="1025">
                  <c:v>2026-02-06T08:00:00.000Z</c:v>
                </c:pt>
                <c:pt idx="1026">
                  <c:v>2026-02-06T08:15:00.000Z</c:v>
                </c:pt>
                <c:pt idx="1027">
                  <c:v>2026-02-06T08:30:00.000Z</c:v>
                </c:pt>
                <c:pt idx="1028">
                  <c:v>2026-02-06T08:45:00.000Z</c:v>
                </c:pt>
                <c:pt idx="1029">
                  <c:v>2026-02-06T09:00:00.000Z</c:v>
                </c:pt>
                <c:pt idx="1030">
                  <c:v>2026-02-06T09:15:00.000Z</c:v>
                </c:pt>
                <c:pt idx="1031">
                  <c:v>2026-02-06T09:30:00.000Z</c:v>
                </c:pt>
                <c:pt idx="1032">
                  <c:v>2026-02-06T09:45:00.000Z</c:v>
                </c:pt>
                <c:pt idx="1033">
                  <c:v>2026-02-06T10:00:00.000Z</c:v>
                </c:pt>
                <c:pt idx="1034">
                  <c:v>2026-02-06T10:15:00.000Z</c:v>
                </c:pt>
                <c:pt idx="1035">
                  <c:v>2026-02-06T10:30:00.000Z</c:v>
                </c:pt>
                <c:pt idx="1036">
                  <c:v>2026-02-06T10:45:00.000Z</c:v>
                </c:pt>
                <c:pt idx="1037">
                  <c:v>2026-02-06T11:00:00.000Z</c:v>
                </c:pt>
                <c:pt idx="1038">
                  <c:v>2026-02-06T11:15:00.000Z</c:v>
                </c:pt>
                <c:pt idx="1039">
                  <c:v>2026-02-06T11:30:00.000Z</c:v>
                </c:pt>
                <c:pt idx="1040">
                  <c:v>2026-02-06T11:45:00.000Z</c:v>
                </c:pt>
                <c:pt idx="1041">
                  <c:v>2026-02-06T12:00:00.000Z</c:v>
                </c:pt>
                <c:pt idx="1042">
                  <c:v>2026-02-06T12:15:00.000Z</c:v>
                </c:pt>
                <c:pt idx="1043">
                  <c:v>2026-02-06T12:30:00.000Z</c:v>
                </c:pt>
                <c:pt idx="1044">
                  <c:v>2026-02-06T12:45:00.000Z</c:v>
                </c:pt>
                <c:pt idx="1045">
                  <c:v>2026-02-06T13:00:00.000Z</c:v>
                </c:pt>
              </c:strCache>
            </c:strRef>
          </c:xVal>
          <c:yVal>
            <c:numRef>
              <c:f>'nebuleair_export (1)'!$C$1:$C$1046</c:f>
              <c:numCache>
                <c:formatCode>General</c:formatCode>
                <c:ptCount val="1046"/>
                <c:pt idx="0">
                  <c:v>0</c:v>
                </c:pt>
                <c:pt idx="1">
                  <c:v>2.6766666666666601</c:v>
                </c:pt>
                <c:pt idx="2">
                  <c:v>3.1566666666666601</c:v>
                </c:pt>
                <c:pt idx="3">
                  <c:v>2.1733333333333298</c:v>
                </c:pt>
                <c:pt idx="4">
                  <c:v>2.1566666666666601</c:v>
                </c:pt>
                <c:pt idx="5">
                  <c:v>1.97</c:v>
                </c:pt>
                <c:pt idx="6">
                  <c:v>3.1566666666666601</c:v>
                </c:pt>
                <c:pt idx="7">
                  <c:v>3.0933333333333302</c:v>
                </c:pt>
                <c:pt idx="8">
                  <c:v>3.9466666666666601</c:v>
                </c:pt>
                <c:pt idx="9">
                  <c:v>4.7699999999999898</c:v>
                </c:pt>
                <c:pt idx="10">
                  <c:v>3.79</c:v>
                </c:pt>
                <c:pt idx="11">
                  <c:v>3.5733333333333301</c:v>
                </c:pt>
                <c:pt idx="12">
                  <c:v>3.8966666666666598</c:v>
                </c:pt>
                <c:pt idx="13">
                  <c:v>4.1933333333333298</c:v>
                </c:pt>
                <c:pt idx="14">
                  <c:v>5.7433333333333296</c:v>
                </c:pt>
                <c:pt idx="15">
                  <c:v>6.3566666666666602</c:v>
                </c:pt>
                <c:pt idx="16">
                  <c:v>4.5466666666666598</c:v>
                </c:pt>
                <c:pt idx="17">
                  <c:v>15.646666666666601</c:v>
                </c:pt>
                <c:pt idx="18">
                  <c:v>19.559999999999999</c:v>
                </c:pt>
                <c:pt idx="19">
                  <c:v>20.216666666666601</c:v>
                </c:pt>
                <c:pt idx="20">
                  <c:v>19.8533333333333</c:v>
                </c:pt>
                <c:pt idx="21">
                  <c:v>19.119999999999902</c:v>
                </c:pt>
                <c:pt idx="22">
                  <c:v>12.466666666666599</c:v>
                </c:pt>
                <c:pt idx="23">
                  <c:v>14.8499999999999</c:v>
                </c:pt>
                <c:pt idx="24">
                  <c:v>17.849999999999898</c:v>
                </c:pt>
                <c:pt idx="25">
                  <c:v>18.323333333333299</c:v>
                </c:pt>
                <c:pt idx="26">
                  <c:v>18.286666666666601</c:v>
                </c:pt>
                <c:pt idx="27">
                  <c:v>18.046666666666599</c:v>
                </c:pt>
                <c:pt idx="28">
                  <c:v>18.78</c:v>
                </c:pt>
                <c:pt idx="29">
                  <c:v>14.2866666666666</c:v>
                </c:pt>
                <c:pt idx="30">
                  <c:v>16.77</c:v>
                </c:pt>
                <c:pt idx="31">
                  <c:v>14.0966666666666</c:v>
                </c:pt>
                <c:pt idx="32">
                  <c:v>12.5833333333333</c:v>
                </c:pt>
                <c:pt idx="33">
                  <c:v>9.5633333333333308</c:v>
                </c:pt>
                <c:pt idx="34">
                  <c:v>7.7066666666666599</c:v>
                </c:pt>
                <c:pt idx="35">
                  <c:v>8.8466666666666605</c:v>
                </c:pt>
                <c:pt idx="36">
                  <c:v>9.4533333333333296</c:v>
                </c:pt>
                <c:pt idx="37">
                  <c:v>9.17</c:v>
                </c:pt>
                <c:pt idx="38">
                  <c:v>8.1766666666666605</c:v>
                </c:pt>
                <c:pt idx="39">
                  <c:v>6.36666666666666</c:v>
                </c:pt>
                <c:pt idx="40">
                  <c:v>5.4466666666666601</c:v>
                </c:pt>
                <c:pt idx="41">
                  <c:v>5.32666666666666</c:v>
                </c:pt>
                <c:pt idx="42">
                  <c:v>3.66333333333333</c:v>
                </c:pt>
                <c:pt idx="43">
                  <c:v>3.7366666666666601</c:v>
                </c:pt>
                <c:pt idx="44">
                  <c:v>4.7366666666666601</c:v>
                </c:pt>
                <c:pt idx="45">
                  <c:v>3.62</c:v>
                </c:pt>
                <c:pt idx="46">
                  <c:v>2.7933333333333299</c:v>
                </c:pt>
                <c:pt idx="47">
                  <c:v>2.6466666666666598</c:v>
                </c:pt>
                <c:pt idx="48">
                  <c:v>2.3033333333333301</c:v>
                </c:pt>
                <c:pt idx="49">
                  <c:v>2.7899999999999898</c:v>
                </c:pt>
                <c:pt idx="50">
                  <c:v>2.8766666666666598</c:v>
                </c:pt>
                <c:pt idx="51">
                  <c:v>3.1033333333333299</c:v>
                </c:pt>
                <c:pt idx="52">
                  <c:v>3.03666666666666</c:v>
                </c:pt>
                <c:pt idx="53">
                  <c:v>2.96999999999999</c:v>
                </c:pt>
                <c:pt idx="54">
                  <c:v>4.3033333333333301</c:v>
                </c:pt>
                <c:pt idx="55">
                  <c:v>3.5466666666666602</c:v>
                </c:pt>
                <c:pt idx="56">
                  <c:v>3.8433333333333302</c:v>
                </c:pt>
                <c:pt idx="57">
                  <c:v>3.29</c:v>
                </c:pt>
                <c:pt idx="58">
                  <c:v>3.88</c:v>
                </c:pt>
                <c:pt idx="59">
                  <c:v>3.99</c:v>
                </c:pt>
                <c:pt idx="60">
                  <c:v>3.4666666666666601</c:v>
                </c:pt>
                <c:pt idx="61">
                  <c:v>3.87</c:v>
                </c:pt>
                <c:pt idx="62">
                  <c:v>3.41333333333333</c:v>
                </c:pt>
                <c:pt idx="63">
                  <c:v>3.9833333333333298</c:v>
                </c:pt>
                <c:pt idx="64">
                  <c:v>3.37</c:v>
                </c:pt>
                <c:pt idx="65">
                  <c:v>3.3433333333333302</c:v>
                </c:pt>
                <c:pt idx="66">
                  <c:v>2.9799999999999902</c:v>
                </c:pt>
                <c:pt idx="67">
                  <c:v>1.8099999999999901</c:v>
                </c:pt>
                <c:pt idx="68">
                  <c:v>1.3999999999999899</c:v>
                </c:pt>
                <c:pt idx="69">
                  <c:v>1.7366666666666599</c:v>
                </c:pt>
                <c:pt idx="70">
                  <c:v>1.5166666666666599</c:v>
                </c:pt>
                <c:pt idx="71">
                  <c:v>1.6566666666666601</c:v>
                </c:pt>
                <c:pt idx="72">
                  <c:v>1.41333333333333</c:v>
                </c:pt>
                <c:pt idx="73">
                  <c:v>1.4166666666666601</c:v>
                </c:pt>
                <c:pt idx="74">
                  <c:v>1.8999999999999899</c:v>
                </c:pt>
                <c:pt idx="75">
                  <c:v>2.4966666666666599</c:v>
                </c:pt>
                <c:pt idx="76">
                  <c:v>2.4033333333333302</c:v>
                </c:pt>
                <c:pt idx="77">
                  <c:v>2.96999999999999</c:v>
                </c:pt>
                <c:pt idx="78">
                  <c:v>3.28</c:v>
                </c:pt>
                <c:pt idx="79">
                  <c:v>4.8899999999999997</c:v>
                </c:pt>
                <c:pt idx="80">
                  <c:v>4.0666666666666602</c:v>
                </c:pt>
                <c:pt idx="81">
                  <c:v>4.75</c:v>
                </c:pt>
                <c:pt idx="82">
                  <c:v>6.0933333333333302</c:v>
                </c:pt>
                <c:pt idx="83">
                  <c:v>8.0433333333333294</c:v>
                </c:pt>
                <c:pt idx="84">
                  <c:v>11.133333333333301</c:v>
                </c:pt>
                <c:pt idx="85">
                  <c:v>11.3366666666666</c:v>
                </c:pt>
                <c:pt idx="86">
                  <c:v>10.7666666666666</c:v>
                </c:pt>
                <c:pt idx="87">
                  <c:v>11.136666666666599</c:v>
                </c:pt>
                <c:pt idx="88">
                  <c:v>11.81</c:v>
                </c:pt>
                <c:pt idx="89">
                  <c:v>14.19</c:v>
                </c:pt>
                <c:pt idx="90">
                  <c:v>11.6766666666666</c:v>
                </c:pt>
                <c:pt idx="91">
                  <c:v>13.42</c:v>
                </c:pt>
                <c:pt idx="92">
                  <c:v>16.3666666666666</c:v>
                </c:pt>
                <c:pt idx="93">
                  <c:v>16.283333333333299</c:v>
                </c:pt>
                <c:pt idx="94">
                  <c:v>15.233333333333301</c:v>
                </c:pt>
                <c:pt idx="95">
                  <c:v>15.58</c:v>
                </c:pt>
                <c:pt idx="96">
                  <c:v>15.5266666666666</c:v>
                </c:pt>
                <c:pt idx="97">
                  <c:v>13.386666666666599</c:v>
                </c:pt>
                <c:pt idx="98">
                  <c:v>13.0833333333333</c:v>
                </c:pt>
                <c:pt idx="99">
                  <c:v>14.453333333333299</c:v>
                </c:pt>
                <c:pt idx="100">
                  <c:v>15.01</c:v>
                </c:pt>
                <c:pt idx="101">
                  <c:v>13.329999999999901</c:v>
                </c:pt>
                <c:pt idx="102">
                  <c:v>13.546666666666599</c:v>
                </c:pt>
                <c:pt idx="103">
                  <c:v>14.22</c:v>
                </c:pt>
                <c:pt idx="104">
                  <c:v>14.07</c:v>
                </c:pt>
                <c:pt idx="105">
                  <c:v>12.8533333333333</c:v>
                </c:pt>
                <c:pt idx="106">
                  <c:v>12.1966666666666</c:v>
                </c:pt>
                <c:pt idx="107">
                  <c:v>11.223333333333301</c:v>
                </c:pt>
                <c:pt idx="108">
                  <c:v>9.8699999999999992</c:v>
                </c:pt>
                <c:pt idx="109">
                  <c:v>9.7733333333333299</c:v>
                </c:pt>
                <c:pt idx="110">
                  <c:v>10.627586206896501</c:v>
                </c:pt>
                <c:pt idx="111">
                  <c:v>8.4999999999999893</c:v>
                </c:pt>
                <c:pt idx="112">
                  <c:v>6.4466666666666601</c:v>
                </c:pt>
                <c:pt idx="113">
                  <c:v>6.74482758620689</c:v>
                </c:pt>
                <c:pt idx="114">
                  <c:v>8.2612903225806402</c:v>
                </c:pt>
                <c:pt idx="115">
                  <c:v>7.7566666666666597</c:v>
                </c:pt>
                <c:pt idx="116">
                  <c:v>8.5666666666666593</c:v>
                </c:pt>
                <c:pt idx="117">
                  <c:v>8.2733333333333299</c:v>
                </c:pt>
                <c:pt idx="118">
                  <c:v>5.8466666666666596</c:v>
                </c:pt>
                <c:pt idx="119">
                  <c:v>5.84</c:v>
                </c:pt>
                <c:pt idx="120">
                  <c:v>5.0166666666666604</c:v>
                </c:pt>
                <c:pt idx="121">
                  <c:v>4.86666666666666</c:v>
                </c:pt>
                <c:pt idx="122">
                  <c:v>3.88</c:v>
                </c:pt>
                <c:pt idx="123">
                  <c:v>4.59</c:v>
                </c:pt>
                <c:pt idx="124">
                  <c:v>4.6933333333333298</c:v>
                </c:pt>
                <c:pt idx="125">
                  <c:v>5.0299999999999896</c:v>
                </c:pt>
                <c:pt idx="126">
                  <c:v>4.4366666666666603</c:v>
                </c:pt>
                <c:pt idx="127">
                  <c:v>7.6133333333333297</c:v>
                </c:pt>
                <c:pt idx="128">
                  <c:v>5.0533333333333301</c:v>
                </c:pt>
                <c:pt idx="129">
                  <c:v>4.6766666666666596</c:v>
                </c:pt>
                <c:pt idx="130">
                  <c:v>4.38</c:v>
                </c:pt>
                <c:pt idx="131">
                  <c:v>5.57</c:v>
                </c:pt>
                <c:pt idx="132">
                  <c:v>4.6566666666666601</c:v>
                </c:pt>
                <c:pt idx="133">
                  <c:v>4.2066666666666599</c:v>
                </c:pt>
                <c:pt idx="134">
                  <c:v>2.7766666666666602</c:v>
                </c:pt>
                <c:pt idx="135">
                  <c:v>2.0066666666666602</c:v>
                </c:pt>
                <c:pt idx="136">
                  <c:v>1.6033333333333299</c:v>
                </c:pt>
                <c:pt idx="137">
                  <c:v>1.05666666666666</c:v>
                </c:pt>
                <c:pt idx="138">
                  <c:v>1.9666666666666599</c:v>
                </c:pt>
                <c:pt idx="139">
                  <c:v>2.4700000000000002</c:v>
                </c:pt>
                <c:pt idx="140">
                  <c:v>2.87333333333333</c:v>
                </c:pt>
                <c:pt idx="141">
                  <c:v>0.84666666666666601</c:v>
                </c:pt>
                <c:pt idx="142">
                  <c:v>0.76333333333333298</c:v>
                </c:pt>
                <c:pt idx="143">
                  <c:v>0.543333333333333</c:v>
                </c:pt>
                <c:pt idx="144">
                  <c:v>0.63333333333333297</c:v>
                </c:pt>
                <c:pt idx="145">
                  <c:v>0.61333333333333295</c:v>
                </c:pt>
                <c:pt idx="146">
                  <c:v>0.39333333333333298</c:v>
                </c:pt>
                <c:pt idx="147">
                  <c:v>0.42666666666666597</c:v>
                </c:pt>
                <c:pt idx="148">
                  <c:v>0.41666666666666602</c:v>
                </c:pt>
                <c:pt idx="149">
                  <c:v>0.51666666666666605</c:v>
                </c:pt>
                <c:pt idx="150">
                  <c:v>0.51666666666666605</c:v>
                </c:pt>
                <c:pt idx="151">
                  <c:v>0.43333333333333302</c:v>
                </c:pt>
                <c:pt idx="152">
                  <c:v>0.40333333333333299</c:v>
                </c:pt>
                <c:pt idx="153">
                  <c:v>0.53</c:v>
                </c:pt>
                <c:pt idx="154">
                  <c:v>0.78333333333333299</c:v>
                </c:pt>
                <c:pt idx="155">
                  <c:v>0.69666666666666599</c:v>
                </c:pt>
                <c:pt idx="156">
                  <c:v>0.61666666666666603</c:v>
                </c:pt>
                <c:pt idx="157">
                  <c:v>1.68999999999999</c:v>
                </c:pt>
                <c:pt idx="158">
                  <c:v>1.39333333333333</c:v>
                </c:pt>
                <c:pt idx="159">
                  <c:v>0.80333333333333301</c:v>
                </c:pt>
                <c:pt idx="160">
                  <c:v>0.86333333333333295</c:v>
                </c:pt>
                <c:pt idx="161">
                  <c:v>0.81666666666666599</c:v>
                </c:pt>
                <c:pt idx="162">
                  <c:v>0.94333333333333302</c:v>
                </c:pt>
                <c:pt idx="163">
                  <c:v>1.0899999999999901</c:v>
                </c:pt>
                <c:pt idx="164">
                  <c:v>1.86333333333333</c:v>
                </c:pt>
                <c:pt idx="165">
                  <c:v>1.4066666666666601</c:v>
                </c:pt>
                <c:pt idx="166">
                  <c:v>2.4833333333333298</c:v>
                </c:pt>
                <c:pt idx="167">
                  <c:v>1.75</c:v>
                </c:pt>
                <c:pt idx="168">
                  <c:v>1.9933333333333301</c:v>
                </c:pt>
                <c:pt idx="169">
                  <c:v>2.0833333333333299</c:v>
                </c:pt>
                <c:pt idx="170">
                  <c:v>1.6966666666666601</c:v>
                </c:pt>
                <c:pt idx="171">
                  <c:v>2.08</c:v>
                </c:pt>
                <c:pt idx="172">
                  <c:v>2.0733333333333301</c:v>
                </c:pt>
                <c:pt idx="173">
                  <c:v>1.44333333333333</c:v>
                </c:pt>
                <c:pt idx="174">
                  <c:v>1.79666666666666</c:v>
                </c:pt>
                <c:pt idx="175">
                  <c:v>1.8966666666666601</c:v>
                </c:pt>
                <c:pt idx="176">
                  <c:v>2.42</c:v>
                </c:pt>
                <c:pt idx="177">
                  <c:v>2.3033333333333301</c:v>
                </c:pt>
                <c:pt idx="178">
                  <c:v>1.8966666666666601</c:v>
                </c:pt>
                <c:pt idx="179">
                  <c:v>2.3166666666666602</c:v>
                </c:pt>
                <c:pt idx="180">
                  <c:v>2.1266666666666598</c:v>
                </c:pt>
                <c:pt idx="181">
                  <c:v>2.9466666666666601</c:v>
                </c:pt>
                <c:pt idx="182">
                  <c:v>1.9</c:v>
                </c:pt>
                <c:pt idx="183">
                  <c:v>2.0733333333333301</c:v>
                </c:pt>
                <c:pt idx="184">
                  <c:v>1.1666666666666601</c:v>
                </c:pt>
                <c:pt idx="185">
                  <c:v>1.4199999999999899</c:v>
                </c:pt>
                <c:pt idx="186">
                  <c:v>1.8</c:v>
                </c:pt>
                <c:pt idx="187">
                  <c:v>1.3399999999999901</c:v>
                </c:pt>
                <c:pt idx="188">
                  <c:v>1.4666666666666599</c:v>
                </c:pt>
                <c:pt idx="189">
                  <c:v>1.36333333333333</c:v>
                </c:pt>
                <c:pt idx="190">
                  <c:v>1.8333333333333299</c:v>
                </c:pt>
                <c:pt idx="191">
                  <c:v>1.46999999999999</c:v>
                </c:pt>
                <c:pt idx="192">
                  <c:v>1.25</c:v>
                </c:pt>
                <c:pt idx="193">
                  <c:v>2.0866666666666598</c:v>
                </c:pt>
                <c:pt idx="194">
                  <c:v>1.72999999999999</c:v>
                </c:pt>
                <c:pt idx="195">
                  <c:v>1.6966666666666601</c:v>
                </c:pt>
                <c:pt idx="196">
                  <c:v>1.89333333333333</c:v>
                </c:pt>
                <c:pt idx="197">
                  <c:v>2.6866666666666599</c:v>
                </c:pt>
                <c:pt idx="198">
                  <c:v>2.8633333333333302</c:v>
                </c:pt>
                <c:pt idx="199">
                  <c:v>3.4433333333333298</c:v>
                </c:pt>
                <c:pt idx="200">
                  <c:v>2.5666666666666602</c:v>
                </c:pt>
                <c:pt idx="201">
                  <c:v>3.6499999999999901</c:v>
                </c:pt>
                <c:pt idx="202">
                  <c:v>6.0466666666666598</c:v>
                </c:pt>
                <c:pt idx="203">
                  <c:v>4.0266666666666602</c:v>
                </c:pt>
                <c:pt idx="204">
                  <c:v>4.42</c:v>
                </c:pt>
                <c:pt idx="205">
                  <c:v>3.8133333333333299</c:v>
                </c:pt>
                <c:pt idx="206">
                  <c:v>3.12333333333333</c:v>
                </c:pt>
                <c:pt idx="207">
                  <c:v>2.6566666666666601</c:v>
                </c:pt>
                <c:pt idx="208">
                  <c:v>2.2133333333333298</c:v>
                </c:pt>
                <c:pt idx="209">
                  <c:v>3.8</c:v>
                </c:pt>
                <c:pt idx="210">
                  <c:v>3.7233333333333301</c:v>
                </c:pt>
                <c:pt idx="211">
                  <c:v>3.8833333333333302</c:v>
                </c:pt>
                <c:pt idx="212">
                  <c:v>3.0133333333333301</c:v>
                </c:pt>
                <c:pt idx="213">
                  <c:v>3.03</c:v>
                </c:pt>
                <c:pt idx="214">
                  <c:v>2.72</c:v>
                </c:pt>
                <c:pt idx="215">
                  <c:v>2.9366666666666599</c:v>
                </c:pt>
                <c:pt idx="216">
                  <c:v>2.69</c:v>
                </c:pt>
                <c:pt idx="217">
                  <c:v>2.6099999999999901</c:v>
                </c:pt>
                <c:pt idx="218">
                  <c:v>2.7633333333333301</c:v>
                </c:pt>
                <c:pt idx="219">
                  <c:v>2.6533333333333302</c:v>
                </c:pt>
                <c:pt idx="220">
                  <c:v>2.8</c:v>
                </c:pt>
                <c:pt idx="221">
                  <c:v>2.6533333333333302</c:v>
                </c:pt>
                <c:pt idx="222">
                  <c:v>2.5</c:v>
                </c:pt>
                <c:pt idx="223">
                  <c:v>2.39</c:v>
                </c:pt>
                <c:pt idx="224">
                  <c:v>3.16333333333333</c:v>
                </c:pt>
                <c:pt idx="225">
                  <c:v>2.59666666666666</c:v>
                </c:pt>
                <c:pt idx="226">
                  <c:v>2.66333333333333</c:v>
                </c:pt>
                <c:pt idx="227">
                  <c:v>2.99</c:v>
                </c:pt>
                <c:pt idx="228">
                  <c:v>2.94</c:v>
                </c:pt>
                <c:pt idx="229">
                  <c:v>3.5133333333333301</c:v>
                </c:pt>
                <c:pt idx="230">
                  <c:v>2.5999999999999899</c:v>
                </c:pt>
                <c:pt idx="231">
                  <c:v>3.09666666666666</c:v>
                </c:pt>
                <c:pt idx="232">
                  <c:v>2.9633333333333298</c:v>
                </c:pt>
                <c:pt idx="233">
                  <c:v>3.36666666666666</c:v>
                </c:pt>
                <c:pt idx="234">
                  <c:v>4.5533333333333301</c:v>
                </c:pt>
                <c:pt idx="235">
                  <c:v>3.95333333333333</c:v>
                </c:pt>
                <c:pt idx="236">
                  <c:v>4.8333333333333304</c:v>
                </c:pt>
                <c:pt idx="237">
                  <c:v>3.88</c:v>
                </c:pt>
                <c:pt idx="238">
                  <c:v>3.8566666666666598</c:v>
                </c:pt>
                <c:pt idx="239">
                  <c:v>3.6333333333333302</c:v>
                </c:pt>
                <c:pt idx="240">
                  <c:v>3.5866666666666598</c:v>
                </c:pt>
                <c:pt idx="241">
                  <c:v>3.4266666666666601</c:v>
                </c:pt>
                <c:pt idx="242">
                  <c:v>3.3699999999999899</c:v>
                </c:pt>
                <c:pt idx="243">
                  <c:v>3.07666666666666</c:v>
                </c:pt>
                <c:pt idx="244">
                  <c:v>2.9299999999999899</c:v>
                </c:pt>
                <c:pt idx="245">
                  <c:v>2.5833333333333299</c:v>
                </c:pt>
                <c:pt idx="246">
                  <c:v>3.8533333333333299</c:v>
                </c:pt>
                <c:pt idx="247">
                  <c:v>3.6366666666666601</c:v>
                </c:pt>
                <c:pt idx="248">
                  <c:v>3.3099999999999898</c:v>
                </c:pt>
                <c:pt idx="249">
                  <c:v>3.5466666666666602</c:v>
                </c:pt>
                <c:pt idx="250">
                  <c:v>3.2733333333333299</c:v>
                </c:pt>
                <c:pt idx="251">
                  <c:v>2.9866666666666601</c:v>
                </c:pt>
                <c:pt idx="252">
                  <c:v>4.0133333333333301</c:v>
                </c:pt>
                <c:pt idx="253">
                  <c:v>3.84</c:v>
                </c:pt>
                <c:pt idx="254">
                  <c:v>4.07666666666666</c:v>
                </c:pt>
                <c:pt idx="255">
                  <c:v>4.2366666666666601</c:v>
                </c:pt>
                <c:pt idx="256">
                  <c:v>2.7233333333333301</c:v>
                </c:pt>
                <c:pt idx="257">
                  <c:v>3.2733333333333299</c:v>
                </c:pt>
                <c:pt idx="258">
                  <c:v>3.18</c:v>
                </c:pt>
                <c:pt idx="259">
                  <c:v>3.73999999999999</c:v>
                </c:pt>
                <c:pt idx="260">
                  <c:v>3.56</c:v>
                </c:pt>
                <c:pt idx="261">
                  <c:v>4.9033333333333298</c:v>
                </c:pt>
                <c:pt idx="262">
                  <c:v>4.8499999999999996</c:v>
                </c:pt>
                <c:pt idx="263">
                  <c:v>3.9</c:v>
                </c:pt>
                <c:pt idx="264">
                  <c:v>4.1333333333333302</c:v>
                </c:pt>
                <c:pt idx="265">
                  <c:v>3.95</c:v>
                </c:pt>
                <c:pt idx="266">
                  <c:v>4.0433333333333303</c:v>
                </c:pt>
                <c:pt idx="267">
                  <c:v>3.7833333333333301</c:v>
                </c:pt>
                <c:pt idx="268">
                  <c:v>3.59666666666666</c:v>
                </c:pt>
                <c:pt idx="269">
                  <c:v>2.96999999999999</c:v>
                </c:pt>
                <c:pt idx="270">
                  <c:v>2.4766666666666599</c:v>
                </c:pt>
                <c:pt idx="271">
                  <c:v>2.92</c:v>
                </c:pt>
                <c:pt idx="272">
                  <c:v>3.11666666666666</c:v>
                </c:pt>
                <c:pt idx="273">
                  <c:v>3.5266666666666602</c:v>
                </c:pt>
                <c:pt idx="274">
                  <c:v>3.2466666666666599</c:v>
                </c:pt>
                <c:pt idx="275">
                  <c:v>3.03</c:v>
                </c:pt>
                <c:pt idx="276">
                  <c:v>2.8233333333333301</c:v>
                </c:pt>
                <c:pt idx="277">
                  <c:v>2.14</c:v>
                </c:pt>
                <c:pt idx="278">
                  <c:v>2.42</c:v>
                </c:pt>
                <c:pt idx="279">
                  <c:v>1.87333333333333</c:v>
                </c:pt>
                <c:pt idx="280">
                  <c:v>2.31</c:v>
                </c:pt>
                <c:pt idx="281">
                  <c:v>2.9166666666666599</c:v>
                </c:pt>
                <c:pt idx="282">
                  <c:v>1.77</c:v>
                </c:pt>
                <c:pt idx="283">
                  <c:v>2.05666666666666</c:v>
                </c:pt>
                <c:pt idx="284">
                  <c:v>1.78666666666666</c:v>
                </c:pt>
                <c:pt idx="285">
                  <c:v>1.8199999999999901</c:v>
                </c:pt>
                <c:pt idx="286">
                  <c:v>2.1566666666666601</c:v>
                </c:pt>
                <c:pt idx="287">
                  <c:v>2.2433333333333301</c:v>
                </c:pt>
                <c:pt idx="288">
                  <c:v>2.0499999999999901</c:v>
                </c:pt>
                <c:pt idx="289">
                  <c:v>2.6033333333333299</c:v>
                </c:pt>
                <c:pt idx="290">
                  <c:v>2.2799999999999998</c:v>
                </c:pt>
                <c:pt idx="291">
                  <c:v>3.08</c:v>
                </c:pt>
                <c:pt idx="292">
                  <c:v>2.93</c:v>
                </c:pt>
                <c:pt idx="293">
                  <c:v>3.1766666666666601</c:v>
                </c:pt>
                <c:pt idx="294">
                  <c:v>2.9866666666666601</c:v>
                </c:pt>
                <c:pt idx="295">
                  <c:v>4.86666666666666</c:v>
                </c:pt>
                <c:pt idx="296">
                  <c:v>3.3166666666666602</c:v>
                </c:pt>
                <c:pt idx="297">
                  <c:v>3.6</c:v>
                </c:pt>
                <c:pt idx="298">
                  <c:v>3.5833333333333299</c:v>
                </c:pt>
                <c:pt idx="299">
                  <c:v>3.9866666666666601</c:v>
                </c:pt>
                <c:pt idx="300">
                  <c:v>5.28</c:v>
                </c:pt>
                <c:pt idx="301">
                  <c:v>8.77</c:v>
                </c:pt>
                <c:pt idx="302">
                  <c:v>16.023333333333301</c:v>
                </c:pt>
                <c:pt idx="303">
                  <c:v>11.983333333333301</c:v>
                </c:pt>
                <c:pt idx="304">
                  <c:v>5.43333333333333</c:v>
                </c:pt>
                <c:pt idx="305">
                  <c:v>7.94</c:v>
                </c:pt>
                <c:pt idx="306">
                  <c:v>3.6333333333333302</c:v>
                </c:pt>
                <c:pt idx="307">
                  <c:v>4.9433333333333298</c:v>
                </c:pt>
                <c:pt idx="308">
                  <c:v>10.9266666666666</c:v>
                </c:pt>
                <c:pt idx="309">
                  <c:v>10.723333333333301</c:v>
                </c:pt>
                <c:pt idx="310">
                  <c:v>10.703333333333299</c:v>
                </c:pt>
                <c:pt idx="311">
                  <c:v>8.8000000000000007</c:v>
                </c:pt>
                <c:pt idx="312">
                  <c:v>15.65</c:v>
                </c:pt>
                <c:pt idx="313">
                  <c:v>15.02</c:v>
                </c:pt>
                <c:pt idx="314">
                  <c:v>13.3466666666666</c:v>
                </c:pt>
                <c:pt idx="315">
                  <c:v>14.126666666666599</c:v>
                </c:pt>
                <c:pt idx="316">
                  <c:v>14.5133333333333</c:v>
                </c:pt>
                <c:pt idx="317">
                  <c:v>15.466666666666599</c:v>
                </c:pt>
                <c:pt idx="318">
                  <c:v>19.7</c:v>
                </c:pt>
                <c:pt idx="319">
                  <c:v>22.343333333333302</c:v>
                </c:pt>
                <c:pt idx="320">
                  <c:v>17.8799999999999</c:v>
                </c:pt>
                <c:pt idx="321">
                  <c:v>16.963333333333299</c:v>
                </c:pt>
                <c:pt idx="322">
                  <c:v>12.0033333333333</c:v>
                </c:pt>
                <c:pt idx="323">
                  <c:v>9.0533333333333292</c:v>
                </c:pt>
                <c:pt idx="324">
                  <c:v>7.8733333333333304</c:v>
                </c:pt>
                <c:pt idx="325">
                  <c:v>6.9533333333333296</c:v>
                </c:pt>
                <c:pt idx="326">
                  <c:v>9.02</c:v>
                </c:pt>
                <c:pt idx="327">
                  <c:v>14.3266666666666</c:v>
                </c:pt>
                <c:pt idx="328">
                  <c:v>7.7566666666666597</c:v>
                </c:pt>
                <c:pt idx="329">
                  <c:v>7.3866666666666596</c:v>
                </c:pt>
                <c:pt idx="330">
                  <c:v>7.2833333333333297</c:v>
                </c:pt>
                <c:pt idx="331">
                  <c:v>8.18333333333333</c:v>
                </c:pt>
                <c:pt idx="332">
                  <c:v>5.7299999999999898</c:v>
                </c:pt>
                <c:pt idx="333">
                  <c:v>8.82</c:v>
                </c:pt>
                <c:pt idx="334">
                  <c:v>6.75</c:v>
                </c:pt>
                <c:pt idx="335">
                  <c:v>6.6499999999999897</c:v>
                </c:pt>
                <c:pt idx="336">
                  <c:v>6.34</c:v>
                </c:pt>
                <c:pt idx="337">
                  <c:v>4.9166666666666599</c:v>
                </c:pt>
                <c:pt idx="338">
                  <c:v>4.5833333333333304</c:v>
                </c:pt>
                <c:pt idx="339">
                  <c:v>5.5066666666666597</c:v>
                </c:pt>
                <c:pt idx="340">
                  <c:v>3.7133333333333298</c:v>
                </c:pt>
                <c:pt idx="341">
                  <c:v>4.75</c:v>
                </c:pt>
                <c:pt idx="342">
                  <c:v>3.5499999999999901</c:v>
                </c:pt>
                <c:pt idx="343">
                  <c:v>3.5866666666666598</c:v>
                </c:pt>
                <c:pt idx="344">
                  <c:v>4.83</c:v>
                </c:pt>
                <c:pt idx="345">
                  <c:v>3.7499999999999898</c:v>
                </c:pt>
                <c:pt idx="346">
                  <c:v>3.99</c:v>
                </c:pt>
                <c:pt idx="347">
                  <c:v>4.12</c:v>
                </c:pt>
                <c:pt idx="348">
                  <c:v>2.4366666666666599</c:v>
                </c:pt>
                <c:pt idx="349">
                  <c:v>4.3733333333333304</c:v>
                </c:pt>
                <c:pt idx="350">
                  <c:v>4.6533333333333298</c:v>
                </c:pt>
                <c:pt idx="351">
                  <c:v>3.7533333333333299</c:v>
                </c:pt>
                <c:pt idx="352">
                  <c:v>3.28666666666666</c:v>
                </c:pt>
                <c:pt idx="353">
                  <c:v>4.5333333333333297</c:v>
                </c:pt>
                <c:pt idx="354">
                  <c:v>4.9966666666666599</c:v>
                </c:pt>
                <c:pt idx="355">
                  <c:v>6.4366666666666603</c:v>
                </c:pt>
                <c:pt idx="356">
                  <c:v>4.4366666666666603</c:v>
                </c:pt>
                <c:pt idx="357">
                  <c:v>4.6633333333333304</c:v>
                </c:pt>
                <c:pt idx="358">
                  <c:v>4.9233333333333302</c:v>
                </c:pt>
                <c:pt idx="359">
                  <c:v>3.5666666666666602</c:v>
                </c:pt>
                <c:pt idx="360">
                  <c:v>3.6566666666666601</c:v>
                </c:pt>
                <c:pt idx="361">
                  <c:v>4.3499999999999996</c:v>
                </c:pt>
                <c:pt idx="362">
                  <c:v>3.2333333333333298</c:v>
                </c:pt>
                <c:pt idx="363">
                  <c:v>3.2533333333333299</c:v>
                </c:pt>
                <c:pt idx="364">
                  <c:v>3.03666666666666</c:v>
                </c:pt>
                <c:pt idx="365">
                  <c:v>2.5233333333333299</c:v>
                </c:pt>
                <c:pt idx="366">
                  <c:v>2.2999999999999998</c:v>
                </c:pt>
                <c:pt idx="367">
                  <c:v>2.27</c:v>
                </c:pt>
                <c:pt idx="368">
                  <c:v>2.2466666666666599</c:v>
                </c:pt>
                <c:pt idx="369">
                  <c:v>2.0433333333333299</c:v>
                </c:pt>
                <c:pt idx="370">
                  <c:v>1.28666666666666</c:v>
                </c:pt>
                <c:pt idx="371">
                  <c:v>1.96333333333333</c:v>
                </c:pt>
                <c:pt idx="372">
                  <c:v>2.86</c:v>
                </c:pt>
                <c:pt idx="373">
                  <c:v>2.8033333333333301</c:v>
                </c:pt>
                <c:pt idx="374">
                  <c:v>2.6366666666666601</c:v>
                </c:pt>
                <c:pt idx="375">
                  <c:v>3.61</c:v>
                </c:pt>
                <c:pt idx="376">
                  <c:v>6.4866666666666601</c:v>
                </c:pt>
                <c:pt idx="377">
                  <c:v>5.6566666666666601</c:v>
                </c:pt>
                <c:pt idx="378">
                  <c:v>5.6266666666666598</c:v>
                </c:pt>
                <c:pt idx="379">
                  <c:v>5.3299999999999903</c:v>
                </c:pt>
                <c:pt idx="380">
                  <c:v>5.3966666666666603</c:v>
                </c:pt>
                <c:pt idx="381">
                  <c:v>4.7766666666666602</c:v>
                </c:pt>
                <c:pt idx="382">
                  <c:v>5.7933333333333303</c:v>
                </c:pt>
                <c:pt idx="383">
                  <c:v>6.5733333333333297</c:v>
                </c:pt>
                <c:pt idx="384">
                  <c:v>5.8133333333333299</c:v>
                </c:pt>
                <c:pt idx="385">
                  <c:v>6.55</c:v>
                </c:pt>
                <c:pt idx="386">
                  <c:v>6.9266666666666596</c:v>
                </c:pt>
                <c:pt idx="387">
                  <c:v>8.4466666666666601</c:v>
                </c:pt>
                <c:pt idx="388">
                  <c:v>8.78666666666666</c:v>
                </c:pt>
                <c:pt idx="389">
                  <c:v>10.3366666666666</c:v>
                </c:pt>
                <c:pt idx="390">
                  <c:v>9.5533333333333292</c:v>
                </c:pt>
                <c:pt idx="391">
                  <c:v>8.6466666666666594</c:v>
                </c:pt>
                <c:pt idx="392">
                  <c:v>6.9</c:v>
                </c:pt>
                <c:pt idx="393">
                  <c:v>5.8566666666666602</c:v>
                </c:pt>
                <c:pt idx="394">
                  <c:v>7.4266666666666596</c:v>
                </c:pt>
                <c:pt idx="395">
                  <c:v>11.046666666666599</c:v>
                </c:pt>
                <c:pt idx="396">
                  <c:v>14.6133333333333</c:v>
                </c:pt>
                <c:pt idx="397">
                  <c:v>18.0766666666666</c:v>
                </c:pt>
                <c:pt idx="398">
                  <c:v>20.783333333333299</c:v>
                </c:pt>
                <c:pt idx="399">
                  <c:v>22.569999999999901</c:v>
                </c:pt>
                <c:pt idx="400">
                  <c:v>18.286666666666601</c:v>
                </c:pt>
                <c:pt idx="401">
                  <c:v>18.556666666666601</c:v>
                </c:pt>
                <c:pt idx="402">
                  <c:v>25.146666666666601</c:v>
                </c:pt>
                <c:pt idx="403">
                  <c:v>23.25</c:v>
                </c:pt>
                <c:pt idx="404">
                  <c:v>21.803333333333299</c:v>
                </c:pt>
                <c:pt idx="405">
                  <c:v>22.473333333333301</c:v>
                </c:pt>
                <c:pt idx="406">
                  <c:v>22.959999999999901</c:v>
                </c:pt>
                <c:pt idx="407">
                  <c:v>20.996666666666599</c:v>
                </c:pt>
                <c:pt idx="408">
                  <c:v>17.709999999999901</c:v>
                </c:pt>
                <c:pt idx="409">
                  <c:v>18.876666666666601</c:v>
                </c:pt>
                <c:pt idx="410">
                  <c:v>15.983333333333301</c:v>
                </c:pt>
                <c:pt idx="411">
                  <c:v>16.0766666666666</c:v>
                </c:pt>
                <c:pt idx="412">
                  <c:v>18.803333333333299</c:v>
                </c:pt>
                <c:pt idx="413">
                  <c:v>14.066666666666601</c:v>
                </c:pt>
                <c:pt idx="414">
                  <c:v>15.0366666666666</c:v>
                </c:pt>
                <c:pt idx="415">
                  <c:v>10.0066666666666</c:v>
                </c:pt>
                <c:pt idx="416">
                  <c:v>10.2633333333333</c:v>
                </c:pt>
                <c:pt idx="417">
                  <c:v>13.1933333333333</c:v>
                </c:pt>
                <c:pt idx="418">
                  <c:v>13.1866666666666</c:v>
                </c:pt>
                <c:pt idx="419">
                  <c:v>10.18</c:v>
                </c:pt>
                <c:pt idx="420">
                  <c:v>10.3466666666666</c:v>
                </c:pt>
                <c:pt idx="421">
                  <c:v>10.5233333333333</c:v>
                </c:pt>
                <c:pt idx="422">
                  <c:v>9.5500000000000007</c:v>
                </c:pt>
                <c:pt idx="423">
                  <c:v>8.0466666666666598</c:v>
                </c:pt>
                <c:pt idx="424">
                  <c:v>7.5033333333333303</c:v>
                </c:pt>
                <c:pt idx="425">
                  <c:v>5.9033333333333298</c:v>
                </c:pt>
                <c:pt idx="426">
                  <c:v>6.5733333333333297</c:v>
                </c:pt>
                <c:pt idx="427">
                  <c:v>7.1666666666666599</c:v>
                </c:pt>
                <c:pt idx="428">
                  <c:v>7.78</c:v>
                </c:pt>
                <c:pt idx="429">
                  <c:v>6.2566666666666597</c:v>
                </c:pt>
                <c:pt idx="430">
                  <c:v>6.3066666666666604</c:v>
                </c:pt>
                <c:pt idx="431">
                  <c:v>4.4566666666666599</c:v>
                </c:pt>
                <c:pt idx="432">
                  <c:v>4.9166666666666599</c:v>
                </c:pt>
                <c:pt idx="433">
                  <c:v>4.61666666666666</c:v>
                </c:pt>
                <c:pt idx="434">
                  <c:v>4.43</c:v>
                </c:pt>
                <c:pt idx="435">
                  <c:v>4.13</c:v>
                </c:pt>
                <c:pt idx="436">
                  <c:v>3.3966666666666598</c:v>
                </c:pt>
                <c:pt idx="437">
                  <c:v>3.1466666666666598</c:v>
                </c:pt>
                <c:pt idx="438">
                  <c:v>2.4866666666666601</c:v>
                </c:pt>
                <c:pt idx="439">
                  <c:v>2.3766666666666598</c:v>
                </c:pt>
                <c:pt idx="440">
                  <c:v>2.09</c:v>
                </c:pt>
                <c:pt idx="441">
                  <c:v>2.12</c:v>
                </c:pt>
                <c:pt idx="442">
                  <c:v>1.4166666666666601</c:v>
                </c:pt>
                <c:pt idx="443">
                  <c:v>1.4299999999999899</c:v>
                </c:pt>
                <c:pt idx="444">
                  <c:v>1.90333333333333</c:v>
                </c:pt>
                <c:pt idx="445">
                  <c:v>2.03666666666666</c:v>
                </c:pt>
                <c:pt idx="446">
                  <c:v>2.5166666666666599</c:v>
                </c:pt>
                <c:pt idx="447">
                  <c:v>2.8366666666666598</c:v>
                </c:pt>
                <c:pt idx="448">
                  <c:v>2.7733333333333299</c:v>
                </c:pt>
                <c:pt idx="449">
                  <c:v>4.03666666666666</c:v>
                </c:pt>
                <c:pt idx="450">
                  <c:v>2.8966666666666598</c:v>
                </c:pt>
                <c:pt idx="451">
                  <c:v>3.18333333333333</c:v>
                </c:pt>
                <c:pt idx="452">
                  <c:v>2.7666666666666599</c:v>
                </c:pt>
                <c:pt idx="453">
                  <c:v>2.2766666666666602</c:v>
                </c:pt>
                <c:pt idx="454">
                  <c:v>2.7466666666666599</c:v>
                </c:pt>
                <c:pt idx="455">
                  <c:v>2.7366666666666601</c:v>
                </c:pt>
                <c:pt idx="456">
                  <c:v>1.55666666666666</c:v>
                </c:pt>
                <c:pt idx="457">
                  <c:v>1.5499999999999901</c:v>
                </c:pt>
                <c:pt idx="458">
                  <c:v>1.67333333333333</c:v>
                </c:pt>
                <c:pt idx="459">
                  <c:v>1.9466666666666601</c:v>
                </c:pt>
                <c:pt idx="460">
                  <c:v>2.8333333333333299</c:v>
                </c:pt>
                <c:pt idx="461">
                  <c:v>2.9933333333333301</c:v>
                </c:pt>
                <c:pt idx="462">
                  <c:v>2.7566666666666602</c:v>
                </c:pt>
                <c:pt idx="463">
                  <c:v>3.7433333333333301</c:v>
                </c:pt>
                <c:pt idx="464">
                  <c:v>3.8766666666666598</c:v>
                </c:pt>
                <c:pt idx="465">
                  <c:v>4.25</c:v>
                </c:pt>
                <c:pt idx="466">
                  <c:v>5.3366666666666598</c:v>
                </c:pt>
                <c:pt idx="467">
                  <c:v>5.2833333333333297</c:v>
                </c:pt>
                <c:pt idx="468">
                  <c:v>3.6966666666666601</c:v>
                </c:pt>
                <c:pt idx="469">
                  <c:v>3.3833333333333302</c:v>
                </c:pt>
                <c:pt idx="470">
                  <c:v>2.9933333333333301</c:v>
                </c:pt>
                <c:pt idx="471">
                  <c:v>4.1899999999999897</c:v>
                </c:pt>
                <c:pt idx="472">
                  <c:v>5.36</c:v>
                </c:pt>
                <c:pt idx="473">
                  <c:v>6.2433333333333296</c:v>
                </c:pt>
                <c:pt idx="474">
                  <c:v>6.7166666666666597</c:v>
                </c:pt>
                <c:pt idx="475">
                  <c:v>6.56</c:v>
                </c:pt>
                <c:pt idx="476">
                  <c:v>7.0966666666666596</c:v>
                </c:pt>
                <c:pt idx="477">
                  <c:v>5.59</c:v>
                </c:pt>
                <c:pt idx="478">
                  <c:v>6.3399999999999901</c:v>
                </c:pt>
                <c:pt idx="479">
                  <c:v>6.2233333333333301</c:v>
                </c:pt>
                <c:pt idx="480">
                  <c:v>3.70333333333333</c:v>
                </c:pt>
                <c:pt idx="481">
                  <c:v>5.1733333333333302</c:v>
                </c:pt>
                <c:pt idx="482">
                  <c:v>4.5133333333333301</c:v>
                </c:pt>
                <c:pt idx="483">
                  <c:v>4.6233333333333304</c:v>
                </c:pt>
                <c:pt idx="484">
                  <c:v>4.3899999999999997</c:v>
                </c:pt>
                <c:pt idx="485">
                  <c:v>4.87</c:v>
                </c:pt>
                <c:pt idx="486">
                  <c:v>4.6933333333333298</c:v>
                </c:pt>
                <c:pt idx="487">
                  <c:v>4.2333333333333298</c:v>
                </c:pt>
                <c:pt idx="488">
                  <c:v>5.41</c:v>
                </c:pt>
                <c:pt idx="489">
                  <c:v>5.4599999999999902</c:v>
                </c:pt>
                <c:pt idx="490">
                  <c:v>5.4166666666666599</c:v>
                </c:pt>
                <c:pt idx="491">
                  <c:v>8.0833333333333304</c:v>
                </c:pt>
                <c:pt idx="492">
                  <c:v>9.1633333333333304</c:v>
                </c:pt>
                <c:pt idx="493">
                  <c:v>15.8266666666666</c:v>
                </c:pt>
                <c:pt idx="494">
                  <c:v>20.599999999999898</c:v>
                </c:pt>
                <c:pt idx="495">
                  <c:v>22.976666666666599</c:v>
                </c:pt>
                <c:pt idx="496">
                  <c:v>13.796666666666599</c:v>
                </c:pt>
                <c:pt idx="497">
                  <c:v>8.5399999999999991</c:v>
                </c:pt>
                <c:pt idx="498">
                  <c:v>8.8499999999999908</c:v>
                </c:pt>
                <c:pt idx="499">
                  <c:v>9.8699999999999903</c:v>
                </c:pt>
                <c:pt idx="500">
                  <c:v>9.2933333333333294</c:v>
                </c:pt>
                <c:pt idx="501">
                  <c:v>8.7366666666666593</c:v>
                </c:pt>
                <c:pt idx="502">
                  <c:v>6.9</c:v>
                </c:pt>
                <c:pt idx="503">
                  <c:v>5.4399999999999897</c:v>
                </c:pt>
                <c:pt idx="504">
                  <c:v>4.57666666666666</c:v>
                </c:pt>
                <c:pt idx="505">
                  <c:v>4.6733333333333302</c:v>
                </c:pt>
                <c:pt idx="506">
                  <c:v>4.0033333333333303</c:v>
                </c:pt>
                <c:pt idx="507">
                  <c:v>2.9233333333333298</c:v>
                </c:pt>
                <c:pt idx="508">
                  <c:v>4.5033333333333303</c:v>
                </c:pt>
                <c:pt idx="509">
                  <c:v>3.7899999999999898</c:v>
                </c:pt>
                <c:pt idx="510">
                  <c:v>2.5466666666666602</c:v>
                </c:pt>
                <c:pt idx="511">
                  <c:v>2.7633333333333301</c:v>
                </c:pt>
                <c:pt idx="512">
                  <c:v>2.0499999999999998</c:v>
                </c:pt>
                <c:pt idx="513">
                  <c:v>2.7133333333333298</c:v>
                </c:pt>
                <c:pt idx="514">
                  <c:v>2.63</c:v>
                </c:pt>
                <c:pt idx="515">
                  <c:v>2.3566666666666598</c:v>
                </c:pt>
                <c:pt idx="516">
                  <c:v>2.04</c:v>
                </c:pt>
                <c:pt idx="517">
                  <c:v>2.3099999999999898</c:v>
                </c:pt>
                <c:pt idx="518">
                  <c:v>2.3433333333333302</c:v>
                </c:pt>
                <c:pt idx="519">
                  <c:v>2.16</c:v>
                </c:pt>
                <c:pt idx="520">
                  <c:v>2.41333333333333</c:v>
                </c:pt>
                <c:pt idx="521">
                  <c:v>2.21</c:v>
                </c:pt>
                <c:pt idx="522">
                  <c:v>2.8966666666666598</c:v>
                </c:pt>
                <c:pt idx="523">
                  <c:v>2.0699999999999998</c:v>
                </c:pt>
                <c:pt idx="524">
                  <c:v>3.33</c:v>
                </c:pt>
                <c:pt idx="525">
                  <c:v>3.9933333333333301</c:v>
                </c:pt>
                <c:pt idx="526">
                  <c:v>4.8499999999999996</c:v>
                </c:pt>
                <c:pt idx="527">
                  <c:v>5.7066666666666599</c:v>
                </c:pt>
                <c:pt idx="528">
                  <c:v>7.4233333333333302</c:v>
                </c:pt>
                <c:pt idx="529">
                  <c:v>6.28666666666666</c:v>
                </c:pt>
                <c:pt idx="530">
                  <c:v>5.8866666666666596</c:v>
                </c:pt>
                <c:pt idx="531">
                  <c:v>5.94</c:v>
                </c:pt>
                <c:pt idx="532">
                  <c:v>5.6366666666666596</c:v>
                </c:pt>
                <c:pt idx="533">
                  <c:v>5.3499999999999899</c:v>
                </c:pt>
                <c:pt idx="534">
                  <c:v>4.8766666666666598</c:v>
                </c:pt>
                <c:pt idx="535">
                  <c:v>4.5999999999999899</c:v>
                </c:pt>
                <c:pt idx="536">
                  <c:v>5.5666666666666602</c:v>
                </c:pt>
                <c:pt idx="537">
                  <c:v>5.9099999999999904</c:v>
                </c:pt>
                <c:pt idx="538">
                  <c:v>6.46999999999999</c:v>
                </c:pt>
                <c:pt idx="539">
                  <c:v>7.2066666666666599</c:v>
                </c:pt>
                <c:pt idx="540">
                  <c:v>5.7</c:v>
                </c:pt>
                <c:pt idx="541">
                  <c:v>5.1566666666666601</c:v>
                </c:pt>
                <c:pt idx="542">
                  <c:v>5.69</c:v>
                </c:pt>
                <c:pt idx="543">
                  <c:v>5.7266666666666604</c:v>
                </c:pt>
                <c:pt idx="544">
                  <c:v>6.53</c:v>
                </c:pt>
                <c:pt idx="545">
                  <c:v>4.76</c:v>
                </c:pt>
                <c:pt idx="546">
                  <c:v>7.53666666666666</c:v>
                </c:pt>
                <c:pt idx="547">
                  <c:v>5.8533333333333299</c:v>
                </c:pt>
                <c:pt idx="548">
                  <c:v>4.6666666666666599</c:v>
                </c:pt>
                <c:pt idx="549">
                  <c:v>4.2633333333333301</c:v>
                </c:pt>
                <c:pt idx="550">
                  <c:v>3.64333333333333</c:v>
                </c:pt>
                <c:pt idx="551">
                  <c:v>3.6666666666666599</c:v>
                </c:pt>
                <c:pt idx="552">
                  <c:v>2.7233333333333301</c:v>
                </c:pt>
                <c:pt idx="553">
                  <c:v>3.5533333333333301</c:v>
                </c:pt>
                <c:pt idx="554">
                  <c:v>3.62333333333333</c:v>
                </c:pt>
                <c:pt idx="555">
                  <c:v>2.8399999999999901</c:v>
                </c:pt>
                <c:pt idx="556">
                  <c:v>3.66333333333333</c:v>
                </c:pt>
                <c:pt idx="557">
                  <c:v>3.2133333333333298</c:v>
                </c:pt>
                <c:pt idx="558">
                  <c:v>2.2999999999999998</c:v>
                </c:pt>
                <c:pt idx="559">
                  <c:v>2.9033333333333302</c:v>
                </c:pt>
                <c:pt idx="560">
                  <c:v>2.4300000000000002</c:v>
                </c:pt>
                <c:pt idx="561">
                  <c:v>2.1466666666666598</c:v>
                </c:pt>
                <c:pt idx="562">
                  <c:v>1.9266666666666601</c:v>
                </c:pt>
                <c:pt idx="563">
                  <c:v>1.7066666666666599</c:v>
                </c:pt>
                <c:pt idx="564">
                  <c:v>1.1766666666666601</c:v>
                </c:pt>
                <c:pt idx="565">
                  <c:v>1.1599999999999999</c:v>
                </c:pt>
                <c:pt idx="566">
                  <c:v>0.93333333333333302</c:v>
                </c:pt>
                <c:pt idx="567">
                  <c:v>0.88999999999999901</c:v>
                </c:pt>
                <c:pt idx="568">
                  <c:v>1.0900000000000001</c:v>
                </c:pt>
                <c:pt idx="569">
                  <c:v>1.5</c:v>
                </c:pt>
                <c:pt idx="570">
                  <c:v>1.1366666666666601</c:v>
                </c:pt>
                <c:pt idx="571">
                  <c:v>0.94666666666666599</c:v>
                </c:pt>
                <c:pt idx="572">
                  <c:v>1.13333333333333</c:v>
                </c:pt>
                <c:pt idx="573">
                  <c:v>0.88333333333333297</c:v>
                </c:pt>
                <c:pt idx="574">
                  <c:v>1.6666666666666601</c:v>
                </c:pt>
                <c:pt idx="575">
                  <c:v>1.5333333333333301</c:v>
                </c:pt>
                <c:pt idx="576">
                  <c:v>1.53666666666666</c:v>
                </c:pt>
                <c:pt idx="577">
                  <c:v>1.61333333333333</c:v>
                </c:pt>
                <c:pt idx="578">
                  <c:v>1.38</c:v>
                </c:pt>
                <c:pt idx="579">
                  <c:v>1.44</c:v>
                </c:pt>
                <c:pt idx="580">
                  <c:v>2.65</c:v>
                </c:pt>
                <c:pt idx="581">
                  <c:v>1.6566666666666601</c:v>
                </c:pt>
                <c:pt idx="582">
                  <c:v>1.68</c:v>
                </c:pt>
                <c:pt idx="583">
                  <c:v>1.52</c:v>
                </c:pt>
                <c:pt idx="584">
                  <c:v>2.67</c:v>
                </c:pt>
                <c:pt idx="585">
                  <c:v>2.7666666666666599</c:v>
                </c:pt>
                <c:pt idx="586">
                  <c:v>4.2033333333333296</c:v>
                </c:pt>
                <c:pt idx="587">
                  <c:v>5.0333333333333297</c:v>
                </c:pt>
                <c:pt idx="588">
                  <c:v>3.34666666666666</c:v>
                </c:pt>
                <c:pt idx="589">
                  <c:v>4.7833333333333297</c:v>
                </c:pt>
                <c:pt idx="590">
                  <c:v>5.6066666666666602</c:v>
                </c:pt>
                <c:pt idx="591">
                  <c:v>18.68</c:v>
                </c:pt>
                <c:pt idx="592">
                  <c:v>22.213333333333299</c:v>
                </c:pt>
                <c:pt idx="593">
                  <c:v>16.286666666666601</c:v>
                </c:pt>
                <c:pt idx="594">
                  <c:v>16.3266666666666</c:v>
                </c:pt>
                <c:pt idx="595">
                  <c:v>16.1866666666666</c:v>
                </c:pt>
                <c:pt idx="596">
                  <c:v>20.8266666666666</c:v>
                </c:pt>
                <c:pt idx="597">
                  <c:v>20.023333333333301</c:v>
                </c:pt>
                <c:pt idx="598">
                  <c:v>20.856666666666602</c:v>
                </c:pt>
                <c:pt idx="599">
                  <c:v>21.043333333333301</c:v>
                </c:pt>
                <c:pt idx="600">
                  <c:v>19.8466666666666</c:v>
                </c:pt>
                <c:pt idx="601">
                  <c:v>19.989999999999998</c:v>
                </c:pt>
                <c:pt idx="602">
                  <c:v>20.079999999999998</c:v>
                </c:pt>
                <c:pt idx="603">
                  <c:v>20.6933333333333</c:v>
                </c:pt>
                <c:pt idx="604">
                  <c:v>23.523333333333301</c:v>
                </c:pt>
                <c:pt idx="605">
                  <c:v>19.91</c:v>
                </c:pt>
                <c:pt idx="606">
                  <c:v>34.213333333333303</c:v>
                </c:pt>
                <c:pt idx="607">
                  <c:v>33.056666666666601</c:v>
                </c:pt>
                <c:pt idx="608">
                  <c:v>26.82</c:v>
                </c:pt>
                <c:pt idx="609">
                  <c:v>25.843333333333302</c:v>
                </c:pt>
                <c:pt idx="610">
                  <c:v>30.286666666666601</c:v>
                </c:pt>
                <c:pt idx="611">
                  <c:v>16.53</c:v>
                </c:pt>
                <c:pt idx="612">
                  <c:v>10.9299999999999</c:v>
                </c:pt>
                <c:pt idx="613">
                  <c:v>10.9166666666666</c:v>
                </c:pt>
                <c:pt idx="614">
                  <c:v>10.466666666666599</c:v>
                </c:pt>
                <c:pt idx="615">
                  <c:v>12.0233333333333</c:v>
                </c:pt>
                <c:pt idx="616">
                  <c:v>11.963333333333299</c:v>
                </c:pt>
                <c:pt idx="617">
                  <c:v>8.9266666666666694</c:v>
                </c:pt>
                <c:pt idx="618">
                  <c:v>7.5899999999999901</c:v>
                </c:pt>
                <c:pt idx="619">
                  <c:v>6.4933333333333296</c:v>
                </c:pt>
                <c:pt idx="620">
                  <c:v>7.9866666666666601</c:v>
                </c:pt>
                <c:pt idx="621">
                  <c:v>8.3766666666666598</c:v>
                </c:pt>
                <c:pt idx="622">
                  <c:v>6.82666666666666</c:v>
                </c:pt>
                <c:pt idx="623">
                  <c:v>8.8566666666666602</c:v>
                </c:pt>
                <c:pt idx="624">
                  <c:v>6.8699999999999903</c:v>
                </c:pt>
                <c:pt idx="625">
                  <c:v>9.4600000000000009</c:v>
                </c:pt>
                <c:pt idx="626">
                  <c:v>7.5433333333333303</c:v>
                </c:pt>
                <c:pt idx="627">
                  <c:v>5.9266666666666596</c:v>
                </c:pt>
                <c:pt idx="628">
                  <c:v>6.4366666666666603</c:v>
                </c:pt>
                <c:pt idx="629">
                  <c:v>5.7066666666666599</c:v>
                </c:pt>
                <c:pt idx="630">
                  <c:v>6.8033333333333301</c:v>
                </c:pt>
                <c:pt idx="631">
                  <c:v>8.0233333333333299</c:v>
                </c:pt>
                <c:pt idx="632">
                  <c:v>7.95</c:v>
                </c:pt>
                <c:pt idx="633">
                  <c:v>5.7</c:v>
                </c:pt>
                <c:pt idx="634">
                  <c:v>6.0533333333333301</c:v>
                </c:pt>
                <c:pt idx="635">
                  <c:v>5.8733333333333304</c:v>
                </c:pt>
                <c:pt idx="636">
                  <c:v>5.9666666666666597</c:v>
                </c:pt>
                <c:pt idx="637">
                  <c:v>5.7333333333333298</c:v>
                </c:pt>
                <c:pt idx="638">
                  <c:v>5.7666666666666604</c:v>
                </c:pt>
                <c:pt idx="639">
                  <c:v>7.08</c:v>
                </c:pt>
                <c:pt idx="640">
                  <c:v>7.69</c:v>
                </c:pt>
                <c:pt idx="641">
                  <c:v>7.1899999999999897</c:v>
                </c:pt>
                <c:pt idx="642">
                  <c:v>7.9966666666666599</c:v>
                </c:pt>
                <c:pt idx="643">
                  <c:v>7.5166666666666604</c:v>
                </c:pt>
                <c:pt idx="644">
                  <c:v>8.4766666666666595</c:v>
                </c:pt>
                <c:pt idx="645">
                  <c:v>7.06</c:v>
                </c:pt>
                <c:pt idx="646">
                  <c:v>6.1733333333333302</c:v>
                </c:pt>
                <c:pt idx="647">
                  <c:v>5.1266666666666598</c:v>
                </c:pt>
                <c:pt idx="648">
                  <c:v>5.2133333333333303</c:v>
                </c:pt>
                <c:pt idx="649">
                  <c:v>6.22</c:v>
                </c:pt>
                <c:pt idx="650">
                  <c:v>7.1033333333333299</c:v>
                </c:pt>
                <c:pt idx="651">
                  <c:v>6.1033333333333299</c:v>
                </c:pt>
                <c:pt idx="652">
                  <c:v>6.6299999999999901</c:v>
                </c:pt>
                <c:pt idx="653">
                  <c:v>6.5266666666666602</c:v>
                </c:pt>
                <c:pt idx="654">
                  <c:v>7.36</c:v>
                </c:pt>
                <c:pt idx="655">
                  <c:v>7.39</c:v>
                </c:pt>
                <c:pt idx="656">
                  <c:v>7.3333333333333304</c:v>
                </c:pt>
                <c:pt idx="657">
                  <c:v>7.86</c:v>
                </c:pt>
                <c:pt idx="658">
                  <c:v>7.8533333333333299</c:v>
                </c:pt>
                <c:pt idx="659">
                  <c:v>7.83</c:v>
                </c:pt>
                <c:pt idx="660">
                  <c:v>7.1599999999999904</c:v>
                </c:pt>
                <c:pt idx="661">
                  <c:v>8.2933333333333294</c:v>
                </c:pt>
                <c:pt idx="662">
                  <c:v>8.4066666666666592</c:v>
                </c:pt>
                <c:pt idx="663">
                  <c:v>9.3866666666666596</c:v>
                </c:pt>
                <c:pt idx="664">
                  <c:v>8.2899999999999991</c:v>
                </c:pt>
                <c:pt idx="665">
                  <c:v>9.6233333333333295</c:v>
                </c:pt>
                <c:pt idx="666">
                  <c:v>9.3000000000000007</c:v>
                </c:pt>
                <c:pt idx="667">
                  <c:v>9.77</c:v>
                </c:pt>
                <c:pt idx="668">
                  <c:v>9.2466666666666608</c:v>
                </c:pt>
                <c:pt idx="669">
                  <c:v>10.476666666666601</c:v>
                </c:pt>
                <c:pt idx="670">
                  <c:v>5.9466666666666601</c:v>
                </c:pt>
                <c:pt idx="671">
                  <c:v>5.4666666666666597</c:v>
                </c:pt>
                <c:pt idx="672">
                  <c:v>5.4966666666666599</c:v>
                </c:pt>
                <c:pt idx="673">
                  <c:v>6.0033333333333303</c:v>
                </c:pt>
                <c:pt idx="674">
                  <c:v>4.8533333333333299</c:v>
                </c:pt>
                <c:pt idx="675">
                  <c:v>3.48</c:v>
                </c:pt>
                <c:pt idx="676">
                  <c:v>3.11666666666666</c:v>
                </c:pt>
                <c:pt idx="677">
                  <c:v>4.4633333333333303</c:v>
                </c:pt>
                <c:pt idx="678">
                  <c:v>4.4666666666666597</c:v>
                </c:pt>
                <c:pt idx="679">
                  <c:v>4.3466666666666596</c:v>
                </c:pt>
                <c:pt idx="680">
                  <c:v>4.1866666666666603</c:v>
                </c:pt>
                <c:pt idx="681">
                  <c:v>4.4666666666666597</c:v>
                </c:pt>
                <c:pt idx="682">
                  <c:v>3.68333333333333</c:v>
                </c:pt>
                <c:pt idx="683">
                  <c:v>2.86666666666666</c:v>
                </c:pt>
                <c:pt idx="684">
                  <c:v>3.11666666666666</c:v>
                </c:pt>
                <c:pt idx="685">
                  <c:v>4.43</c:v>
                </c:pt>
                <c:pt idx="686">
                  <c:v>7.18</c:v>
                </c:pt>
                <c:pt idx="687">
                  <c:v>5.9366666666666603</c:v>
                </c:pt>
                <c:pt idx="688">
                  <c:v>10.3533333333333</c:v>
                </c:pt>
                <c:pt idx="689">
                  <c:v>10.3433333333333</c:v>
                </c:pt>
                <c:pt idx="690">
                  <c:v>9.5266666666666602</c:v>
                </c:pt>
                <c:pt idx="691">
                  <c:v>11.1299999999999</c:v>
                </c:pt>
                <c:pt idx="692">
                  <c:v>9.68</c:v>
                </c:pt>
                <c:pt idx="693">
                  <c:v>12.2099999999999</c:v>
                </c:pt>
                <c:pt idx="694">
                  <c:v>9.93</c:v>
                </c:pt>
                <c:pt idx="695">
                  <c:v>14.5266666666666</c:v>
                </c:pt>
                <c:pt idx="696">
                  <c:v>15.236666666666601</c:v>
                </c:pt>
                <c:pt idx="697">
                  <c:v>16.873333333333299</c:v>
                </c:pt>
                <c:pt idx="698">
                  <c:v>16.3333333333333</c:v>
                </c:pt>
                <c:pt idx="699">
                  <c:v>14.98</c:v>
                </c:pt>
                <c:pt idx="700">
                  <c:v>13.8233333333333</c:v>
                </c:pt>
                <c:pt idx="701">
                  <c:v>13.393333333333301</c:v>
                </c:pt>
                <c:pt idx="702">
                  <c:v>13.793333333333299</c:v>
                </c:pt>
                <c:pt idx="703">
                  <c:v>8.0033333333333303</c:v>
                </c:pt>
                <c:pt idx="704">
                  <c:v>13.566666666666601</c:v>
                </c:pt>
                <c:pt idx="705">
                  <c:v>14.706666666666599</c:v>
                </c:pt>
                <c:pt idx="706">
                  <c:v>15.386666666666599</c:v>
                </c:pt>
                <c:pt idx="707">
                  <c:v>13.706666666666599</c:v>
                </c:pt>
                <c:pt idx="708">
                  <c:v>11.3566666666666</c:v>
                </c:pt>
                <c:pt idx="709">
                  <c:v>11.6766666666666</c:v>
                </c:pt>
                <c:pt idx="710">
                  <c:v>15.906666666666601</c:v>
                </c:pt>
                <c:pt idx="711">
                  <c:v>14.39</c:v>
                </c:pt>
                <c:pt idx="712">
                  <c:v>13.0033333333333</c:v>
                </c:pt>
                <c:pt idx="713">
                  <c:v>18.586666666666599</c:v>
                </c:pt>
                <c:pt idx="714">
                  <c:v>12.386666666666599</c:v>
                </c:pt>
                <c:pt idx="715">
                  <c:v>8.9733333333333292</c:v>
                </c:pt>
                <c:pt idx="716">
                  <c:v>11.4233333333333</c:v>
                </c:pt>
                <c:pt idx="717">
                  <c:v>3.0433333333333299</c:v>
                </c:pt>
                <c:pt idx="718">
                  <c:v>1.2233333333333301</c:v>
                </c:pt>
                <c:pt idx="719">
                  <c:v>1.06666666666666</c:v>
                </c:pt>
                <c:pt idx="720">
                  <c:v>0.69333333333333302</c:v>
                </c:pt>
                <c:pt idx="721">
                  <c:v>0.8</c:v>
                </c:pt>
                <c:pt idx="722">
                  <c:v>1.1299999999999999</c:v>
                </c:pt>
                <c:pt idx="723">
                  <c:v>1.0033333333333301</c:v>
                </c:pt>
                <c:pt idx="724">
                  <c:v>1.0899999999999901</c:v>
                </c:pt>
                <c:pt idx="725">
                  <c:v>1.14333333333333</c:v>
                </c:pt>
                <c:pt idx="726">
                  <c:v>1.5066666666666599</c:v>
                </c:pt>
                <c:pt idx="727">
                  <c:v>1.4</c:v>
                </c:pt>
                <c:pt idx="728">
                  <c:v>1.4199999999999899</c:v>
                </c:pt>
                <c:pt idx="729">
                  <c:v>1.7233333333333301</c:v>
                </c:pt>
                <c:pt idx="730">
                  <c:v>1.86666666666666</c:v>
                </c:pt>
                <c:pt idx="731">
                  <c:v>2.09666666666666</c:v>
                </c:pt>
                <c:pt idx="732">
                  <c:v>2.4233333333333298</c:v>
                </c:pt>
                <c:pt idx="733">
                  <c:v>2.5499999999999998</c:v>
                </c:pt>
                <c:pt idx="734">
                  <c:v>2.8366666666666598</c:v>
                </c:pt>
                <c:pt idx="735">
                  <c:v>3.0333333333333301</c:v>
                </c:pt>
                <c:pt idx="736">
                  <c:v>3.7766666666666602</c:v>
                </c:pt>
                <c:pt idx="737">
                  <c:v>4.14333333333333</c:v>
                </c:pt>
                <c:pt idx="738">
                  <c:v>3.27999999999999</c:v>
                </c:pt>
                <c:pt idx="739">
                  <c:v>2.6533333333333302</c:v>
                </c:pt>
                <c:pt idx="740">
                  <c:v>2.3866666666666601</c:v>
                </c:pt>
                <c:pt idx="741">
                  <c:v>2.6133333333333302</c:v>
                </c:pt>
                <c:pt idx="742">
                  <c:v>3.6566666666666601</c:v>
                </c:pt>
                <c:pt idx="743">
                  <c:v>3.49</c:v>
                </c:pt>
                <c:pt idx="744">
                  <c:v>3.53666666666666</c:v>
                </c:pt>
                <c:pt idx="745">
                  <c:v>4.96999999999999</c:v>
                </c:pt>
                <c:pt idx="746">
                  <c:v>5.9999999999999902</c:v>
                </c:pt>
                <c:pt idx="747">
                  <c:v>5.83</c:v>
                </c:pt>
                <c:pt idx="748">
                  <c:v>6.2733333333333299</c:v>
                </c:pt>
                <c:pt idx="749">
                  <c:v>6.11</c:v>
                </c:pt>
                <c:pt idx="750">
                  <c:v>3.68333333333333</c:v>
                </c:pt>
                <c:pt idx="751">
                  <c:v>3.7966666666666602</c:v>
                </c:pt>
                <c:pt idx="752">
                  <c:v>4.3866666666666596</c:v>
                </c:pt>
                <c:pt idx="753">
                  <c:v>3.5833333333333299</c:v>
                </c:pt>
                <c:pt idx="754">
                  <c:v>3.5599999999999898</c:v>
                </c:pt>
                <c:pt idx="755">
                  <c:v>4.0733333333333297</c:v>
                </c:pt>
                <c:pt idx="756">
                  <c:v>3.2433333333333301</c:v>
                </c:pt>
                <c:pt idx="757">
                  <c:v>3.75</c:v>
                </c:pt>
                <c:pt idx="758">
                  <c:v>2.9266666666666601</c:v>
                </c:pt>
                <c:pt idx="759">
                  <c:v>2.8433333333333302</c:v>
                </c:pt>
                <c:pt idx="760">
                  <c:v>2.2599999999999998</c:v>
                </c:pt>
                <c:pt idx="761">
                  <c:v>2.5666666666666602</c:v>
                </c:pt>
                <c:pt idx="762">
                  <c:v>2.9266666666666601</c:v>
                </c:pt>
                <c:pt idx="763">
                  <c:v>2.2733333333333299</c:v>
                </c:pt>
                <c:pt idx="764">
                  <c:v>3.28666666666666</c:v>
                </c:pt>
                <c:pt idx="765">
                  <c:v>4.37</c:v>
                </c:pt>
                <c:pt idx="766">
                  <c:v>6.5999999999999899</c:v>
                </c:pt>
                <c:pt idx="767">
                  <c:v>6.8966666666666603</c:v>
                </c:pt>
                <c:pt idx="768">
                  <c:v>7.1866666666666603</c:v>
                </c:pt>
                <c:pt idx="769">
                  <c:v>8.7566666666666606</c:v>
                </c:pt>
                <c:pt idx="770">
                  <c:v>7.9466666666666601</c:v>
                </c:pt>
                <c:pt idx="771">
                  <c:v>8.9600000000000009</c:v>
                </c:pt>
                <c:pt idx="772">
                  <c:v>8.6433333333333202</c:v>
                </c:pt>
                <c:pt idx="773">
                  <c:v>9.32</c:v>
                </c:pt>
                <c:pt idx="774">
                  <c:v>8.6666666666666607</c:v>
                </c:pt>
                <c:pt idx="775">
                  <c:v>8.9833333333333307</c:v>
                </c:pt>
                <c:pt idx="776">
                  <c:v>8.3966666666666594</c:v>
                </c:pt>
                <c:pt idx="777">
                  <c:v>7.2933333333333303</c:v>
                </c:pt>
                <c:pt idx="778">
                  <c:v>7.2333333333333298</c:v>
                </c:pt>
                <c:pt idx="779">
                  <c:v>6.7133333333333303</c:v>
                </c:pt>
                <c:pt idx="780">
                  <c:v>8.4266666666666605</c:v>
                </c:pt>
                <c:pt idx="781">
                  <c:v>5.9866666666666601</c:v>
                </c:pt>
                <c:pt idx="782">
                  <c:v>6.0799999999999903</c:v>
                </c:pt>
                <c:pt idx="783">
                  <c:v>7.9833333333333298</c:v>
                </c:pt>
                <c:pt idx="784">
                  <c:v>6.1233333333333304</c:v>
                </c:pt>
                <c:pt idx="785">
                  <c:v>8.3366666666666607</c:v>
                </c:pt>
                <c:pt idx="786">
                  <c:v>6.4133333333333304</c:v>
                </c:pt>
                <c:pt idx="787">
                  <c:v>6.4966666666666599</c:v>
                </c:pt>
                <c:pt idx="788">
                  <c:v>6.4166666666666599</c:v>
                </c:pt>
                <c:pt idx="789">
                  <c:v>6.07666666666666</c:v>
                </c:pt>
                <c:pt idx="790">
                  <c:v>7.2499999999999902</c:v>
                </c:pt>
                <c:pt idx="791">
                  <c:v>6.3566666666666602</c:v>
                </c:pt>
                <c:pt idx="792">
                  <c:v>4.93333333333333</c:v>
                </c:pt>
                <c:pt idx="793">
                  <c:v>6.58</c:v>
                </c:pt>
                <c:pt idx="794">
                  <c:v>4.68333333333333</c:v>
                </c:pt>
                <c:pt idx="795">
                  <c:v>5.7066666666666599</c:v>
                </c:pt>
                <c:pt idx="796">
                  <c:v>6.03666666666666</c:v>
                </c:pt>
                <c:pt idx="797">
                  <c:v>5.9833333333333298</c:v>
                </c:pt>
                <c:pt idx="798">
                  <c:v>6.4366666666666603</c:v>
                </c:pt>
                <c:pt idx="799">
                  <c:v>6.39</c:v>
                </c:pt>
                <c:pt idx="800">
                  <c:v>6.54</c:v>
                </c:pt>
                <c:pt idx="801">
                  <c:v>7.71999999999999</c:v>
                </c:pt>
                <c:pt idx="802">
                  <c:v>6.3366666666666598</c:v>
                </c:pt>
                <c:pt idx="803">
                  <c:v>6.3799999999999901</c:v>
                </c:pt>
                <c:pt idx="804">
                  <c:v>6.1966666666666601</c:v>
                </c:pt>
                <c:pt idx="805">
                  <c:v>5.08</c:v>
                </c:pt>
                <c:pt idx="806">
                  <c:v>3.6199999999999899</c:v>
                </c:pt>
                <c:pt idx="807">
                  <c:v>3.8366666666666598</c:v>
                </c:pt>
                <c:pt idx="808">
                  <c:v>3.7833333333333301</c:v>
                </c:pt>
                <c:pt idx="809">
                  <c:v>3.2066666666666599</c:v>
                </c:pt>
                <c:pt idx="810">
                  <c:v>3.21999999999999</c:v>
                </c:pt>
                <c:pt idx="811">
                  <c:v>2.7533333333333299</c:v>
                </c:pt>
                <c:pt idx="812">
                  <c:v>2.6933333333333298</c:v>
                </c:pt>
                <c:pt idx="813">
                  <c:v>2.6733333333333298</c:v>
                </c:pt>
                <c:pt idx="814">
                  <c:v>2.3966666666666598</c:v>
                </c:pt>
                <c:pt idx="815">
                  <c:v>2.28666666666666</c:v>
                </c:pt>
                <c:pt idx="816">
                  <c:v>1.9</c:v>
                </c:pt>
                <c:pt idx="817">
                  <c:v>2.0633333333333299</c:v>
                </c:pt>
                <c:pt idx="818">
                  <c:v>2.3966666666666598</c:v>
                </c:pt>
                <c:pt idx="819">
                  <c:v>2.1066666666666598</c:v>
                </c:pt>
                <c:pt idx="820">
                  <c:v>2.2433333333333301</c:v>
                </c:pt>
                <c:pt idx="821">
                  <c:v>2.1133333333333302</c:v>
                </c:pt>
                <c:pt idx="822">
                  <c:v>2.1866666666666599</c:v>
                </c:pt>
                <c:pt idx="823">
                  <c:v>1.9666666666666599</c:v>
                </c:pt>
                <c:pt idx="824">
                  <c:v>1.9366666666666601</c:v>
                </c:pt>
                <c:pt idx="825">
                  <c:v>1.8699999999999899</c:v>
                </c:pt>
                <c:pt idx="826">
                  <c:v>1.58</c:v>
                </c:pt>
                <c:pt idx="827">
                  <c:v>1.54666666666666</c:v>
                </c:pt>
                <c:pt idx="828">
                  <c:v>1.78</c:v>
                </c:pt>
                <c:pt idx="829">
                  <c:v>1.66333333333333</c:v>
                </c:pt>
                <c:pt idx="830">
                  <c:v>1.45</c:v>
                </c:pt>
                <c:pt idx="831">
                  <c:v>1.72</c:v>
                </c:pt>
                <c:pt idx="832">
                  <c:v>1.87333333333333</c:v>
                </c:pt>
                <c:pt idx="833">
                  <c:v>1.87333333333333</c:v>
                </c:pt>
                <c:pt idx="834">
                  <c:v>1.96333333333333</c:v>
                </c:pt>
                <c:pt idx="835">
                  <c:v>2.14</c:v>
                </c:pt>
                <c:pt idx="836">
                  <c:v>1.73</c:v>
                </c:pt>
                <c:pt idx="837">
                  <c:v>3.06</c:v>
                </c:pt>
                <c:pt idx="838">
                  <c:v>2.5866666666666598</c:v>
                </c:pt>
                <c:pt idx="839">
                  <c:v>2.7233333333333301</c:v>
                </c:pt>
                <c:pt idx="840">
                  <c:v>2.98999999999999</c:v>
                </c:pt>
                <c:pt idx="841">
                  <c:v>2.1533333333333302</c:v>
                </c:pt>
                <c:pt idx="842">
                  <c:v>2.3866666666666601</c:v>
                </c:pt>
                <c:pt idx="843">
                  <c:v>1.51</c:v>
                </c:pt>
                <c:pt idx="844">
                  <c:v>1.86333333333333</c:v>
                </c:pt>
                <c:pt idx="845">
                  <c:v>2.59666666666666</c:v>
                </c:pt>
                <c:pt idx="846">
                  <c:v>3.2133333333333298</c:v>
                </c:pt>
                <c:pt idx="847">
                  <c:v>2.68333333333333</c:v>
                </c:pt>
                <c:pt idx="848">
                  <c:v>1.3799999999999899</c:v>
                </c:pt>
                <c:pt idx="849">
                  <c:v>1.9933333333333301</c:v>
                </c:pt>
                <c:pt idx="850">
                  <c:v>1.7366666666666599</c:v>
                </c:pt>
                <c:pt idx="851">
                  <c:v>1.7433333333333301</c:v>
                </c:pt>
                <c:pt idx="852">
                  <c:v>1.5799999999999901</c:v>
                </c:pt>
                <c:pt idx="853">
                  <c:v>1.4099999999999899</c:v>
                </c:pt>
                <c:pt idx="854">
                  <c:v>1.6</c:v>
                </c:pt>
                <c:pt idx="855">
                  <c:v>1.84666666666666</c:v>
                </c:pt>
                <c:pt idx="856">
                  <c:v>2.2099999999999902</c:v>
                </c:pt>
                <c:pt idx="857">
                  <c:v>3.02999999999999</c:v>
                </c:pt>
                <c:pt idx="858">
                  <c:v>3.36</c:v>
                </c:pt>
                <c:pt idx="859">
                  <c:v>3.1199999999999899</c:v>
                </c:pt>
                <c:pt idx="860">
                  <c:v>3.2666666666666599</c:v>
                </c:pt>
                <c:pt idx="861">
                  <c:v>4.28666666666666</c:v>
                </c:pt>
                <c:pt idx="862">
                  <c:v>5.0166666666666604</c:v>
                </c:pt>
                <c:pt idx="863">
                  <c:v>4.0999999999999996</c:v>
                </c:pt>
                <c:pt idx="864">
                  <c:v>3.4099999999999899</c:v>
                </c:pt>
                <c:pt idx="865">
                  <c:v>3.2099999999999902</c:v>
                </c:pt>
                <c:pt idx="866">
                  <c:v>4.5966666666666596</c:v>
                </c:pt>
                <c:pt idx="867">
                  <c:v>3.2966666666666602</c:v>
                </c:pt>
                <c:pt idx="868">
                  <c:v>4.1533333333333298</c:v>
                </c:pt>
                <c:pt idx="869">
                  <c:v>3.4433333333333298</c:v>
                </c:pt>
                <c:pt idx="870">
                  <c:v>3.9366666666666599</c:v>
                </c:pt>
                <c:pt idx="871">
                  <c:v>3.4733333333333301</c:v>
                </c:pt>
                <c:pt idx="872">
                  <c:v>2.8633333333333302</c:v>
                </c:pt>
                <c:pt idx="873">
                  <c:v>3.7299999999999902</c:v>
                </c:pt>
                <c:pt idx="874">
                  <c:v>3.39</c:v>
                </c:pt>
                <c:pt idx="875">
                  <c:v>2.6099999999999901</c:v>
                </c:pt>
                <c:pt idx="876">
                  <c:v>4.42</c:v>
                </c:pt>
                <c:pt idx="877">
                  <c:v>6.91</c:v>
                </c:pt>
                <c:pt idx="878">
                  <c:v>5.7266666666666604</c:v>
                </c:pt>
                <c:pt idx="879">
                  <c:v>6.2999999999999901</c:v>
                </c:pt>
                <c:pt idx="880">
                  <c:v>4.8133333333333299</c:v>
                </c:pt>
                <c:pt idx="881">
                  <c:v>3.65</c:v>
                </c:pt>
                <c:pt idx="882">
                  <c:v>4.4466666666666601</c:v>
                </c:pt>
                <c:pt idx="883">
                  <c:v>3.9566666666666599</c:v>
                </c:pt>
                <c:pt idx="884">
                  <c:v>2.67</c:v>
                </c:pt>
                <c:pt idx="885">
                  <c:v>2.77</c:v>
                </c:pt>
                <c:pt idx="886">
                  <c:v>2.8233333333333301</c:v>
                </c:pt>
                <c:pt idx="887">
                  <c:v>3.0433333333333299</c:v>
                </c:pt>
                <c:pt idx="888">
                  <c:v>3.4366666666666599</c:v>
                </c:pt>
                <c:pt idx="889">
                  <c:v>5.6366666666666596</c:v>
                </c:pt>
                <c:pt idx="890">
                  <c:v>4.39333333333333</c:v>
                </c:pt>
                <c:pt idx="891">
                  <c:v>5.4866666666666601</c:v>
                </c:pt>
                <c:pt idx="892">
                  <c:v>7.8433333333333302</c:v>
                </c:pt>
                <c:pt idx="893">
                  <c:v>6.9166666666666599</c:v>
                </c:pt>
                <c:pt idx="894">
                  <c:v>6.2433333333333296</c:v>
                </c:pt>
                <c:pt idx="895">
                  <c:v>3.9866666666666601</c:v>
                </c:pt>
                <c:pt idx="896">
                  <c:v>5.5899999999999901</c:v>
                </c:pt>
                <c:pt idx="897">
                  <c:v>7.0933333333333302</c:v>
                </c:pt>
                <c:pt idx="898">
                  <c:v>8.8933333333333309</c:v>
                </c:pt>
                <c:pt idx="899">
                  <c:v>7.9233333333333302</c:v>
                </c:pt>
                <c:pt idx="900">
                  <c:v>4.8466666666666596</c:v>
                </c:pt>
                <c:pt idx="901">
                  <c:v>3.3033333333333301</c:v>
                </c:pt>
                <c:pt idx="902">
                  <c:v>1.9</c:v>
                </c:pt>
                <c:pt idx="903">
                  <c:v>3.36</c:v>
                </c:pt>
                <c:pt idx="904">
                  <c:v>6.7966666666666598</c:v>
                </c:pt>
                <c:pt idx="905">
                  <c:v>6.2633333333333301</c:v>
                </c:pt>
                <c:pt idx="906">
                  <c:v>5.8633333333333297</c:v>
                </c:pt>
                <c:pt idx="907">
                  <c:v>6.2266666666666604</c:v>
                </c:pt>
                <c:pt idx="908">
                  <c:v>6.11666666666666</c:v>
                </c:pt>
                <c:pt idx="909">
                  <c:v>5.89</c:v>
                </c:pt>
                <c:pt idx="910">
                  <c:v>4.5533333333333301</c:v>
                </c:pt>
                <c:pt idx="911">
                  <c:v>4.0133333333333301</c:v>
                </c:pt>
                <c:pt idx="912">
                  <c:v>3.54</c:v>
                </c:pt>
                <c:pt idx="913">
                  <c:v>3.27</c:v>
                </c:pt>
                <c:pt idx="914">
                  <c:v>3.2266666666666599</c:v>
                </c:pt>
                <c:pt idx="915">
                  <c:v>3.6</c:v>
                </c:pt>
                <c:pt idx="916">
                  <c:v>3.4599999999999902</c:v>
                </c:pt>
                <c:pt idx="917">
                  <c:v>2.6133333333333302</c:v>
                </c:pt>
                <c:pt idx="918">
                  <c:v>3.6033333333333299</c:v>
                </c:pt>
                <c:pt idx="919">
                  <c:v>3.73</c:v>
                </c:pt>
                <c:pt idx="920">
                  <c:v>3.18333333333333</c:v>
                </c:pt>
                <c:pt idx="921">
                  <c:v>3.07</c:v>
                </c:pt>
                <c:pt idx="922">
                  <c:v>3.14333333333333</c:v>
                </c:pt>
                <c:pt idx="923">
                  <c:v>3.4766666666666599</c:v>
                </c:pt>
                <c:pt idx="924">
                  <c:v>2.91333333333333</c:v>
                </c:pt>
                <c:pt idx="925">
                  <c:v>3.98</c:v>
                </c:pt>
                <c:pt idx="926">
                  <c:v>4.7933333333333303</c:v>
                </c:pt>
                <c:pt idx="927">
                  <c:v>4.3866666666666596</c:v>
                </c:pt>
                <c:pt idx="928">
                  <c:v>3.7066666666666599</c:v>
                </c:pt>
                <c:pt idx="929">
                  <c:v>6.5533333333333301</c:v>
                </c:pt>
                <c:pt idx="930">
                  <c:v>3.0866666666666598</c:v>
                </c:pt>
                <c:pt idx="931">
                  <c:v>3.68333333333333</c:v>
                </c:pt>
                <c:pt idx="932">
                  <c:v>4.68333333333333</c:v>
                </c:pt>
                <c:pt idx="933">
                  <c:v>6.9733333333333301</c:v>
                </c:pt>
                <c:pt idx="934">
                  <c:v>5.5933333333333302</c:v>
                </c:pt>
                <c:pt idx="935">
                  <c:v>3.64333333333333</c:v>
                </c:pt>
                <c:pt idx="936">
                  <c:v>4.8733333333333304</c:v>
                </c:pt>
                <c:pt idx="937">
                  <c:v>4.96</c:v>
                </c:pt>
                <c:pt idx="938">
                  <c:v>3.2233333333333301</c:v>
                </c:pt>
                <c:pt idx="939">
                  <c:v>3.1733333333333298</c:v>
                </c:pt>
                <c:pt idx="940">
                  <c:v>3.2833333333333301</c:v>
                </c:pt>
                <c:pt idx="941">
                  <c:v>4.6466666666666603</c:v>
                </c:pt>
                <c:pt idx="942">
                  <c:v>3.6199999999999899</c:v>
                </c:pt>
                <c:pt idx="943">
                  <c:v>5.4433333333333298</c:v>
                </c:pt>
                <c:pt idx="944">
                  <c:v>4.1533333333333298</c:v>
                </c:pt>
                <c:pt idx="945">
                  <c:v>3.07</c:v>
                </c:pt>
                <c:pt idx="946">
                  <c:v>3.80666666666666</c:v>
                </c:pt>
                <c:pt idx="947">
                  <c:v>2.89333333333333</c:v>
                </c:pt>
                <c:pt idx="948">
                  <c:v>3.4099999999999899</c:v>
                </c:pt>
                <c:pt idx="949">
                  <c:v>3.71999999999999</c:v>
                </c:pt>
                <c:pt idx="950">
                  <c:v>4.1733333333333302</c:v>
                </c:pt>
                <c:pt idx="951">
                  <c:v>5.1699999999999902</c:v>
                </c:pt>
                <c:pt idx="952">
                  <c:v>4.9833333333333298</c:v>
                </c:pt>
                <c:pt idx="953">
                  <c:v>4.46</c:v>
                </c:pt>
                <c:pt idx="954">
                  <c:v>5.6133333333333297</c:v>
                </c:pt>
                <c:pt idx="955">
                  <c:v>5.78</c:v>
                </c:pt>
                <c:pt idx="956">
                  <c:v>4.4233333333333302</c:v>
                </c:pt>
                <c:pt idx="957">
                  <c:v>3.6566666666666601</c:v>
                </c:pt>
                <c:pt idx="958">
                  <c:v>3.1</c:v>
                </c:pt>
                <c:pt idx="959">
                  <c:v>2.9033333333333302</c:v>
                </c:pt>
                <c:pt idx="960">
                  <c:v>2.93</c:v>
                </c:pt>
                <c:pt idx="961">
                  <c:v>1.92333333333333</c:v>
                </c:pt>
                <c:pt idx="962">
                  <c:v>1.15333333333333</c:v>
                </c:pt>
                <c:pt idx="963">
                  <c:v>1.4466666666666601</c:v>
                </c:pt>
                <c:pt idx="964">
                  <c:v>0.75666666666666604</c:v>
                </c:pt>
                <c:pt idx="965">
                  <c:v>0.5</c:v>
                </c:pt>
                <c:pt idx="966">
                  <c:v>0.73999999999999899</c:v>
                </c:pt>
                <c:pt idx="967">
                  <c:v>0.69666666666666599</c:v>
                </c:pt>
                <c:pt idx="968">
                  <c:v>0.76666666666666605</c:v>
                </c:pt>
                <c:pt idx="969">
                  <c:v>0.74</c:v>
                </c:pt>
                <c:pt idx="970">
                  <c:v>0.71333333333333304</c:v>
                </c:pt>
                <c:pt idx="971">
                  <c:v>1.0899999999999901</c:v>
                </c:pt>
                <c:pt idx="972">
                  <c:v>2.5533333333333301</c:v>
                </c:pt>
                <c:pt idx="973">
                  <c:v>18.8266666666666</c:v>
                </c:pt>
                <c:pt idx="974">
                  <c:v>17.149999999999999</c:v>
                </c:pt>
                <c:pt idx="975">
                  <c:v>12.533333333333299</c:v>
                </c:pt>
                <c:pt idx="976">
                  <c:v>9.2233333333333292</c:v>
                </c:pt>
                <c:pt idx="977">
                  <c:v>5.8</c:v>
                </c:pt>
                <c:pt idx="978">
                  <c:v>3.23999999999999</c:v>
                </c:pt>
                <c:pt idx="979">
                  <c:v>3.09666666666666</c:v>
                </c:pt>
                <c:pt idx="980">
                  <c:v>1.99</c:v>
                </c:pt>
                <c:pt idx="981">
                  <c:v>1.9566666666666599</c:v>
                </c:pt>
                <c:pt idx="982">
                  <c:v>1.8299999999999901</c:v>
                </c:pt>
                <c:pt idx="983">
                  <c:v>2.2833333333333301</c:v>
                </c:pt>
                <c:pt idx="984">
                  <c:v>3.9866666666666601</c:v>
                </c:pt>
                <c:pt idx="985">
                  <c:v>3.7099999999999902</c:v>
                </c:pt>
                <c:pt idx="986">
                  <c:v>2.9199999999999902</c:v>
                </c:pt>
                <c:pt idx="987">
                  <c:v>3.4266666666666601</c:v>
                </c:pt>
                <c:pt idx="988">
                  <c:v>3.5499999999999901</c:v>
                </c:pt>
                <c:pt idx="989">
                  <c:v>3.8133333333333299</c:v>
                </c:pt>
                <c:pt idx="990">
                  <c:v>2.09666666666666</c:v>
                </c:pt>
                <c:pt idx="991">
                  <c:v>1.86666666666666</c:v>
                </c:pt>
                <c:pt idx="992">
                  <c:v>2.21</c:v>
                </c:pt>
                <c:pt idx="993">
                  <c:v>1.93</c:v>
                </c:pt>
                <c:pt idx="994">
                  <c:v>1.45</c:v>
                </c:pt>
                <c:pt idx="995">
                  <c:v>1.7266666666666599</c:v>
                </c:pt>
                <c:pt idx="996">
                  <c:v>2.0299999999999998</c:v>
                </c:pt>
                <c:pt idx="997">
                  <c:v>2.38</c:v>
                </c:pt>
                <c:pt idx="998">
                  <c:v>1.7933333333333299</c:v>
                </c:pt>
                <c:pt idx="999">
                  <c:v>1.2066666666666599</c:v>
                </c:pt>
                <c:pt idx="1000">
                  <c:v>1.6566666666666601</c:v>
                </c:pt>
                <c:pt idx="1001">
                  <c:v>5.4133333333333304</c:v>
                </c:pt>
                <c:pt idx="1002">
                  <c:v>4.5499999999999901</c:v>
                </c:pt>
                <c:pt idx="1003">
                  <c:v>4.9666666666666597</c:v>
                </c:pt>
                <c:pt idx="1004">
                  <c:v>4.2966666666666598</c:v>
                </c:pt>
                <c:pt idx="1005">
                  <c:v>1.7566666666666599</c:v>
                </c:pt>
                <c:pt idx="1006">
                  <c:v>1.2</c:v>
                </c:pt>
                <c:pt idx="1007">
                  <c:v>0.90666666666666595</c:v>
                </c:pt>
                <c:pt idx="1008">
                  <c:v>1.3033333333333299</c:v>
                </c:pt>
                <c:pt idx="1009">
                  <c:v>1.90333333333333</c:v>
                </c:pt>
                <c:pt idx="1010">
                  <c:v>2.5533333333333301</c:v>
                </c:pt>
                <c:pt idx="1011">
                  <c:v>1.09666666666666</c:v>
                </c:pt>
                <c:pt idx="1012">
                  <c:v>1.03666666666666</c:v>
                </c:pt>
                <c:pt idx="1013">
                  <c:v>1.66</c:v>
                </c:pt>
                <c:pt idx="1014">
                  <c:v>1.1399999999999999</c:v>
                </c:pt>
                <c:pt idx="1015">
                  <c:v>1.2999999999999901</c:v>
                </c:pt>
                <c:pt idx="1016">
                  <c:v>1.64333333333333</c:v>
                </c:pt>
                <c:pt idx="1017">
                  <c:v>1.7666666666666599</c:v>
                </c:pt>
                <c:pt idx="1018">
                  <c:v>1.9166666666666601</c:v>
                </c:pt>
                <c:pt idx="1019">
                  <c:v>1.1866666666666601</c:v>
                </c:pt>
                <c:pt idx="1020">
                  <c:v>1.41</c:v>
                </c:pt>
                <c:pt idx="1021">
                  <c:v>1.77</c:v>
                </c:pt>
                <c:pt idx="1022">
                  <c:v>1.6866666666666601</c:v>
                </c:pt>
                <c:pt idx="1023">
                  <c:v>2.8333333333333299</c:v>
                </c:pt>
                <c:pt idx="1024">
                  <c:v>3.27</c:v>
                </c:pt>
                <c:pt idx="1025">
                  <c:v>3.64</c:v>
                </c:pt>
                <c:pt idx="1026">
                  <c:v>4.2433333333333296</c:v>
                </c:pt>
                <c:pt idx="1027">
                  <c:v>2.8566666666666598</c:v>
                </c:pt>
                <c:pt idx="1028">
                  <c:v>3.3833333333333302</c:v>
                </c:pt>
                <c:pt idx="1029">
                  <c:v>4.2533333333333303</c:v>
                </c:pt>
                <c:pt idx="1030">
                  <c:v>3.73999999999999</c:v>
                </c:pt>
                <c:pt idx="1031">
                  <c:v>3.4799999999999902</c:v>
                </c:pt>
                <c:pt idx="1032">
                  <c:v>3.75</c:v>
                </c:pt>
                <c:pt idx="1033">
                  <c:v>3.75</c:v>
                </c:pt>
                <c:pt idx="1034">
                  <c:v>3.47</c:v>
                </c:pt>
                <c:pt idx="1035">
                  <c:v>3.9566666666666599</c:v>
                </c:pt>
                <c:pt idx="1036">
                  <c:v>4.0833333333333304</c:v>
                </c:pt>
                <c:pt idx="1037">
                  <c:v>4.2799999999999896</c:v>
                </c:pt>
                <c:pt idx="1038">
                  <c:v>3.26</c:v>
                </c:pt>
                <c:pt idx="1039">
                  <c:v>3.17</c:v>
                </c:pt>
                <c:pt idx="1040">
                  <c:v>4.5566666666666604</c:v>
                </c:pt>
                <c:pt idx="1041">
                  <c:v>4.9933333333333296</c:v>
                </c:pt>
                <c:pt idx="1042">
                  <c:v>5.7966666666666598</c:v>
                </c:pt>
                <c:pt idx="1043">
                  <c:v>5.9366666666666603</c:v>
                </c:pt>
                <c:pt idx="1044">
                  <c:v>6.3833333333333302</c:v>
                </c:pt>
                <c:pt idx="1045">
                  <c:v>4.0666666666666602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68-417C-8C2C-24DB8B7EE658}"/>
            </c:ext>
          </c:extLst>
        </c:ser>
        <c:ser>
          <c:idx val="2"/>
          <c:order val="2"/>
          <c:tx>
            <c:v>PM10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'nebuleair_export (1)'!$A$1:$A$1046</c:f>
              <c:strCache>
                <c:ptCount val="1046"/>
                <c:pt idx="0">
                  <c:v>time</c:v>
                </c:pt>
                <c:pt idx="1">
                  <c:v>2026-01-26T16:00:00.000Z</c:v>
                </c:pt>
                <c:pt idx="2">
                  <c:v>2026-01-26T16:15:00.000Z</c:v>
                </c:pt>
                <c:pt idx="3">
                  <c:v>2026-01-26T16:30:00.000Z</c:v>
                </c:pt>
                <c:pt idx="4">
                  <c:v>2026-01-26T16:45:00.000Z</c:v>
                </c:pt>
                <c:pt idx="5">
                  <c:v>2026-01-26T17:00:00.000Z</c:v>
                </c:pt>
                <c:pt idx="6">
                  <c:v>2026-01-26T17:15:00.000Z</c:v>
                </c:pt>
                <c:pt idx="7">
                  <c:v>2026-01-26T17:30:00.000Z</c:v>
                </c:pt>
                <c:pt idx="8">
                  <c:v>2026-01-26T17:45:00.000Z</c:v>
                </c:pt>
                <c:pt idx="9">
                  <c:v>2026-01-26T18:00:00.000Z</c:v>
                </c:pt>
                <c:pt idx="10">
                  <c:v>2026-01-26T18:15:00.000Z</c:v>
                </c:pt>
                <c:pt idx="11">
                  <c:v>2026-01-26T18:30:00.000Z</c:v>
                </c:pt>
                <c:pt idx="12">
                  <c:v>2026-01-26T18:45:00.000Z</c:v>
                </c:pt>
                <c:pt idx="13">
                  <c:v>2026-01-26T19:00:00.000Z</c:v>
                </c:pt>
                <c:pt idx="14">
                  <c:v>2026-01-26T19:15:00.000Z</c:v>
                </c:pt>
                <c:pt idx="15">
                  <c:v>2026-01-26T19:30:00.000Z</c:v>
                </c:pt>
                <c:pt idx="16">
                  <c:v>2026-01-26T19:45:00.000Z</c:v>
                </c:pt>
                <c:pt idx="17">
                  <c:v>2026-01-26T20:00:00.000Z</c:v>
                </c:pt>
                <c:pt idx="18">
                  <c:v>2026-01-26T20:15:00.000Z</c:v>
                </c:pt>
                <c:pt idx="19">
                  <c:v>2026-01-26T20:30:00.000Z</c:v>
                </c:pt>
                <c:pt idx="20">
                  <c:v>2026-01-26T20:45:00.000Z</c:v>
                </c:pt>
                <c:pt idx="21">
                  <c:v>2026-01-26T21:00:00.000Z</c:v>
                </c:pt>
                <c:pt idx="22">
                  <c:v>2026-01-26T21:15:00.000Z</c:v>
                </c:pt>
                <c:pt idx="23">
                  <c:v>2026-01-26T21:30:00.000Z</c:v>
                </c:pt>
                <c:pt idx="24">
                  <c:v>2026-01-26T21:45:00.000Z</c:v>
                </c:pt>
                <c:pt idx="25">
                  <c:v>2026-01-26T22:00:00.000Z</c:v>
                </c:pt>
                <c:pt idx="26">
                  <c:v>2026-01-26T22:15:00.000Z</c:v>
                </c:pt>
                <c:pt idx="27">
                  <c:v>2026-01-26T22:30:00.000Z</c:v>
                </c:pt>
                <c:pt idx="28">
                  <c:v>2026-01-26T22:45:00.000Z</c:v>
                </c:pt>
                <c:pt idx="29">
                  <c:v>2026-01-26T23:00:00.000Z</c:v>
                </c:pt>
                <c:pt idx="30">
                  <c:v>2026-01-26T23:15:00.000Z</c:v>
                </c:pt>
                <c:pt idx="31">
                  <c:v>2026-01-26T23:30:00.000Z</c:v>
                </c:pt>
                <c:pt idx="32">
                  <c:v>2026-01-26T23:45:00.000Z</c:v>
                </c:pt>
                <c:pt idx="33">
                  <c:v>2026-01-27T00:00:00.000Z</c:v>
                </c:pt>
                <c:pt idx="34">
                  <c:v>2026-01-27T00:15:00.000Z</c:v>
                </c:pt>
                <c:pt idx="35">
                  <c:v>2026-01-27T00:30:00.000Z</c:v>
                </c:pt>
                <c:pt idx="36">
                  <c:v>2026-01-27T00:45:00.000Z</c:v>
                </c:pt>
                <c:pt idx="37">
                  <c:v>2026-01-27T01:00:00.000Z</c:v>
                </c:pt>
                <c:pt idx="38">
                  <c:v>2026-01-27T01:15:00.000Z</c:v>
                </c:pt>
                <c:pt idx="39">
                  <c:v>2026-01-27T01:30:00.000Z</c:v>
                </c:pt>
                <c:pt idx="40">
                  <c:v>2026-01-27T01:45:00.000Z</c:v>
                </c:pt>
                <c:pt idx="41">
                  <c:v>2026-01-27T02:00:00.000Z</c:v>
                </c:pt>
                <c:pt idx="42">
                  <c:v>2026-01-27T02:15:00.000Z</c:v>
                </c:pt>
                <c:pt idx="43">
                  <c:v>2026-01-27T02:30:00.000Z</c:v>
                </c:pt>
                <c:pt idx="44">
                  <c:v>2026-01-27T02:45:00.000Z</c:v>
                </c:pt>
                <c:pt idx="45">
                  <c:v>2026-01-27T03:00:00.000Z</c:v>
                </c:pt>
                <c:pt idx="46">
                  <c:v>2026-01-27T03:15:00.000Z</c:v>
                </c:pt>
                <c:pt idx="47">
                  <c:v>2026-01-27T03:30:00.000Z</c:v>
                </c:pt>
                <c:pt idx="48">
                  <c:v>2026-01-27T03:45:00.000Z</c:v>
                </c:pt>
                <c:pt idx="49">
                  <c:v>2026-01-27T04:00:00.000Z</c:v>
                </c:pt>
                <c:pt idx="50">
                  <c:v>2026-01-27T04:15:00.000Z</c:v>
                </c:pt>
                <c:pt idx="51">
                  <c:v>2026-01-27T04:30:00.000Z</c:v>
                </c:pt>
                <c:pt idx="52">
                  <c:v>2026-01-27T04:45:00.000Z</c:v>
                </c:pt>
                <c:pt idx="53">
                  <c:v>2026-01-27T05:00:00.000Z</c:v>
                </c:pt>
                <c:pt idx="54">
                  <c:v>2026-01-27T05:15:00.000Z</c:v>
                </c:pt>
                <c:pt idx="55">
                  <c:v>2026-01-27T05:30:00.000Z</c:v>
                </c:pt>
                <c:pt idx="56">
                  <c:v>2026-01-27T05:45:00.000Z</c:v>
                </c:pt>
                <c:pt idx="57">
                  <c:v>2026-01-27T06:00:00.000Z</c:v>
                </c:pt>
                <c:pt idx="58">
                  <c:v>2026-01-27T06:15:00.000Z</c:v>
                </c:pt>
                <c:pt idx="59">
                  <c:v>2026-01-27T06:30:00.000Z</c:v>
                </c:pt>
                <c:pt idx="60">
                  <c:v>2026-01-27T06:45:00.000Z</c:v>
                </c:pt>
                <c:pt idx="61">
                  <c:v>2026-01-27T07:00:00.000Z</c:v>
                </c:pt>
                <c:pt idx="62">
                  <c:v>2026-01-27T07:15:00.000Z</c:v>
                </c:pt>
                <c:pt idx="63">
                  <c:v>2026-01-27T07:30:00.000Z</c:v>
                </c:pt>
                <c:pt idx="64">
                  <c:v>2026-01-27T07:45:00.000Z</c:v>
                </c:pt>
                <c:pt idx="65">
                  <c:v>2026-01-27T08:00:00.000Z</c:v>
                </c:pt>
                <c:pt idx="66">
                  <c:v>2026-01-27T08:15:00.000Z</c:v>
                </c:pt>
                <c:pt idx="67">
                  <c:v>2026-01-27T08:30:00.000Z</c:v>
                </c:pt>
                <c:pt idx="68">
                  <c:v>2026-01-27T08:45:00.000Z</c:v>
                </c:pt>
                <c:pt idx="69">
                  <c:v>2026-01-27T09:00:00.000Z</c:v>
                </c:pt>
                <c:pt idx="70">
                  <c:v>2026-01-27T09:15:00.000Z</c:v>
                </c:pt>
                <c:pt idx="71">
                  <c:v>2026-01-27T09:30:00.000Z</c:v>
                </c:pt>
                <c:pt idx="72">
                  <c:v>2026-01-27T09:45:00.000Z</c:v>
                </c:pt>
                <c:pt idx="73">
                  <c:v>2026-01-27T10:00:00.000Z</c:v>
                </c:pt>
                <c:pt idx="74">
                  <c:v>2026-01-27T10:15:00.000Z</c:v>
                </c:pt>
                <c:pt idx="75">
                  <c:v>2026-01-27T10:30:00.000Z</c:v>
                </c:pt>
                <c:pt idx="76">
                  <c:v>2026-01-27T10:45:00.000Z</c:v>
                </c:pt>
                <c:pt idx="77">
                  <c:v>2026-01-27T11:00:00.000Z</c:v>
                </c:pt>
                <c:pt idx="78">
                  <c:v>2026-01-27T11:15:00.000Z</c:v>
                </c:pt>
                <c:pt idx="79">
                  <c:v>2026-01-27T11:30:00.000Z</c:v>
                </c:pt>
                <c:pt idx="80">
                  <c:v>2026-01-27T11:45:00.000Z</c:v>
                </c:pt>
                <c:pt idx="81">
                  <c:v>2026-01-27T12:00:00.000Z</c:v>
                </c:pt>
                <c:pt idx="82">
                  <c:v>2026-01-27T12:15:00.000Z</c:v>
                </c:pt>
                <c:pt idx="83">
                  <c:v>2026-01-27T12:30:00.000Z</c:v>
                </c:pt>
                <c:pt idx="84">
                  <c:v>2026-01-27T12:45:00.000Z</c:v>
                </c:pt>
                <c:pt idx="85">
                  <c:v>2026-01-27T13:00:00.000Z</c:v>
                </c:pt>
                <c:pt idx="86">
                  <c:v>2026-01-27T13:15:00.000Z</c:v>
                </c:pt>
                <c:pt idx="87">
                  <c:v>2026-01-27T13:30:00.000Z</c:v>
                </c:pt>
                <c:pt idx="88">
                  <c:v>2026-01-27T13:45:00.000Z</c:v>
                </c:pt>
                <c:pt idx="89">
                  <c:v>2026-01-27T14:00:00.000Z</c:v>
                </c:pt>
                <c:pt idx="90">
                  <c:v>2026-01-27T14:15:00.000Z</c:v>
                </c:pt>
                <c:pt idx="91">
                  <c:v>2026-01-27T14:30:00.000Z</c:v>
                </c:pt>
                <c:pt idx="92">
                  <c:v>2026-01-27T14:45:00.000Z</c:v>
                </c:pt>
                <c:pt idx="93">
                  <c:v>2026-01-27T15:00:00.000Z</c:v>
                </c:pt>
                <c:pt idx="94">
                  <c:v>2026-01-27T15:15:00.000Z</c:v>
                </c:pt>
                <c:pt idx="95">
                  <c:v>2026-01-27T15:30:00.000Z</c:v>
                </c:pt>
                <c:pt idx="96">
                  <c:v>2026-01-27T15:45:00.000Z</c:v>
                </c:pt>
                <c:pt idx="97">
                  <c:v>2026-01-27T16:00:00.000Z</c:v>
                </c:pt>
                <c:pt idx="98">
                  <c:v>2026-01-27T16:15:00.000Z</c:v>
                </c:pt>
                <c:pt idx="99">
                  <c:v>2026-01-27T16:30:00.000Z</c:v>
                </c:pt>
                <c:pt idx="100">
                  <c:v>2026-01-27T16:45:00.000Z</c:v>
                </c:pt>
                <c:pt idx="101">
                  <c:v>2026-01-27T17:00:00.000Z</c:v>
                </c:pt>
                <c:pt idx="102">
                  <c:v>2026-01-27T17:15:00.000Z</c:v>
                </c:pt>
                <c:pt idx="103">
                  <c:v>2026-01-27T17:30:00.000Z</c:v>
                </c:pt>
                <c:pt idx="104">
                  <c:v>2026-01-27T17:45:00.000Z</c:v>
                </c:pt>
                <c:pt idx="105">
                  <c:v>2026-01-27T18:00:00.000Z</c:v>
                </c:pt>
                <c:pt idx="106">
                  <c:v>2026-01-27T18:15:00.000Z</c:v>
                </c:pt>
                <c:pt idx="107">
                  <c:v>2026-01-27T18:30:00.000Z</c:v>
                </c:pt>
                <c:pt idx="108">
                  <c:v>2026-01-27T18:45:00.000Z</c:v>
                </c:pt>
                <c:pt idx="109">
                  <c:v>2026-01-27T19:00:00.000Z</c:v>
                </c:pt>
                <c:pt idx="110">
                  <c:v>2026-01-27T19:15:00.000Z</c:v>
                </c:pt>
                <c:pt idx="111">
                  <c:v>2026-01-27T19:30:00.000Z</c:v>
                </c:pt>
                <c:pt idx="112">
                  <c:v>2026-01-27T19:45:00.000Z</c:v>
                </c:pt>
                <c:pt idx="113">
                  <c:v>2026-01-27T20:00:00.000Z</c:v>
                </c:pt>
                <c:pt idx="114">
                  <c:v>2026-01-27T20:15:00.000Z</c:v>
                </c:pt>
                <c:pt idx="115">
                  <c:v>2026-01-27T20:30:00.000Z</c:v>
                </c:pt>
                <c:pt idx="116">
                  <c:v>2026-01-27T20:45:00.000Z</c:v>
                </c:pt>
                <c:pt idx="117">
                  <c:v>2026-01-27T21:00:00.000Z</c:v>
                </c:pt>
                <c:pt idx="118">
                  <c:v>2026-01-27T21:15:00.000Z</c:v>
                </c:pt>
                <c:pt idx="119">
                  <c:v>2026-01-27T21:30:00.000Z</c:v>
                </c:pt>
                <c:pt idx="120">
                  <c:v>2026-01-27T21:45:00.000Z</c:v>
                </c:pt>
                <c:pt idx="121">
                  <c:v>2026-01-27T22:00:00.000Z</c:v>
                </c:pt>
                <c:pt idx="122">
                  <c:v>2026-01-27T22:15:00.000Z</c:v>
                </c:pt>
                <c:pt idx="123">
                  <c:v>2026-01-27T22:30:00.000Z</c:v>
                </c:pt>
                <c:pt idx="124">
                  <c:v>2026-01-27T22:45:00.000Z</c:v>
                </c:pt>
                <c:pt idx="125">
                  <c:v>2026-01-27T23:00:00.000Z</c:v>
                </c:pt>
                <c:pt idx="126">
                  <c:v>2026-01-27T23:15:00.000Z</c:v>
                </c:pt>
                <c:pt idx="127">
                  <c:v>2026-01-27T23:30:00.000Z</c:v>
                </c:pt>
                <c:pt idx="128">
                  <c:v>2026-01-27T23:45:00.000Z</c:v>
                </c:pt>
                <c:pt idx="129">
                  <c:v>2026-01-28T00:00:00.000Z</c:v>
                </c:pt>
                <c:pt idx="130">
                  <c:v>2026-01-28T00:15:00.000Z</c:v>
                </c:pt>
                <c:pt idx="131">
                  <c:v>2026-01-28T00:30:00.000Z</c:v>
                </c:pt>
                <c:pt idx="132">
                  <c:v>2026-01-28T00:45:00.000Z</c:v>
                </c:pt>
                <c:pt idx="133">
                  <c:v>2026-01-28T01:00:00.000Z</c:v>
                </c:pt>
                <c:pt idx="134">
                  <c:v>2026-01-28T01:15:00.000Z</c:v>
                </c:pt>
                <c:pt idx="135">
                  <c:v>2026-01-28T01:30:00.000Z</c:v>
                </c:pt>
                <c:pt idx="136">
                  <c:v>2026-01-28T01:45:00.000Z</c:v>
                </c:pt>
                <c:pt idx="137">
                  <c:v>2026-01-28T02:00:00.000Z</c:v>
                </c:pt>
                <c:pt idx="138">
                  <c:v>2026-01-28T02:15:00.000Z</c:v>
                </c:pt>
                <c:pt idx="139">
                  <c:v>2026-01-28T02:30:00.000Z</c:v>
                </c:pt>
                <c:pt idx="140">
                  <c:v>2026-01-28T02:45:00.000Z</c:v>
                </c:pt>
                <c:pt idx="141">
                  <c:v>2026-01-28T03:00:00.000Z</c:v>
                </c:pt>
                <c:pt idx="142">
                  <c:v>2026-01-28T03:15:00.000Z</c:v>
                </c:pt>
                <c:pt idx="143">
                  <c:v>2026-01-28T03:30:00.000Z</c:v>
                </c:pt>
                <c:pt idx="144">
                  <c:v>2026-01-28T03:45:00.000Z</c:v>
                </c:pt>
                <c:pt idx="145">
                  <c:v>2026-01-28T04:00:00.000Z</c:v>
                </c:pt>
                <c:pt idx="146">
                  <c:v>2026-01-28T04:15:00.000Z</c:v>
                </c:pt>
                <c:pt idx="147">
                  <c:v>2026-01-28T04:30:00.000Z</c:v>
                </c:pt>
                <c:pt idx="148">
                  <c:v>2026-01-28T04:45:00.000Z</c:v>
                </c:pt>
                <c:pt idx="149">
                  <c:v>2026-01-28T05:00:00.000Z</c:v>
                </c:pt>
                <c:pt idx="150">
                  <c:v>2026-01-28T05:15:00.000Z</c:v>
                </c:pt>
                <c:pt idx="151">
                  <c:v>2026-01-28T05:30:00.000Z</c:v>
                </c:pt>
                <c:pt idx="152">
                  <c:v>2026-01-28T05:45:00.000Z</c:v>
                </c:pt>
                <c:pt idx="153">
                  <c:v>2026-01-28T06:00:00.000Z</c:v>
                </c:pt>
                <c:pt idx="154">
                  <c:v>2026-01-28T06:15:00.000Z</c:v>
                </c:pt>
                <c:pt idx="155">
                  <c:v>2026-01-28T06:30:00.000Z</c:v>
                </c:pt>
                <c:pt idx="156">
                  <c:v>2026-01-28T06:45:00.000Z</c:v>
                </c:pt>
                <c:pt idx="157">
                  <c:v>2026-01-28T07:00:00.000Z</c:v>
                </c:pt>
                <c:pt idx="158">
                  <c:v>2026-01-28T07:15:00.000Z</c:v>
                </c:pt>
                <c:pt idx="159">
                  <c:v>2026-01-28T07:30:00.000Z</c:v>
                </c:pt>
                <c:pt idx="160">
                  <c:v>2026-01-28T07:45:00.000Z</c:v>
                </c:pt>
                <c:pt idx="161">
                  <c:v>2026-01-28T08:00:00.000Z</c:v>
                </c:pt>
                <c:pt idx="162">
                  <c:v>2026-01-28T08:15:00.000Z</c:v>
                </c:pt>
                <c:pt idx="163">
                  <c:v>2026-01-28T08:30:00.000Z</c:v>
                </c:pt>
                <c:pt idx="164">
                  <c:v>2026-01-28T08:45:00.000Z</c:v>
                </c:pt>
                <c:pt idx="165">
                  <c:v>2026-01-28T09:00:00.000Z</c:v>
                </c:pt>
                <c:pt idx="166">
                  <c:v>2026-01-28T09:15:00.000Z</c:v>
                </c:pt>
                <c:pt idx="167">
                  <c:v>2026-01-28T09:30:00.000Z</c:v>
                </c:pt>
                <c:pt idx="168">
                  <c:v>2026-01-28T09:45:00.000Z</c:v>
                </c:pt>
                <c:pt idx="169">
                  <c:v>2026-01-28T10:00:00.000Z</c:v>
                </c:pt>
                <c:pt idx="170">
                  <c:v>2026-01-28T10:15:00.000Z</c:v>
                </c:pt>
                <c:pt idx="171">
                  <c:v>2026-01-28T10:30:00.000Z</c:v>
                </c:pt>
                <c:pt idx="172">
                  <c:v>2026-01-28T10:45:00.000Z</c:v>
                </c:pt>
                <c:pt idx="173">
                  <c:v>2026-01-28T11:00:00.000Z</c:v>
                </c:pt>
                <c:pt idx="174">
                  <c:v>2026-01-28T11:15:00.000Z</c:v>
                </c:pt>
                <c:pt idx="175">
                  <c:v>2026-01-28T11:30:00.000Z</c:v>
                </c:pt>
                <c:pt idx="176">
                  <c:v>2026-01-28T11:45:00.000Z</c:v>
                </c:pt>
                <c:pt idx="177">
                  <c:v>2026-01-28T12:00:00.000Z</c:v>
                </c:pt>
                <c:pt idx="178">
                  <c:v>2026-01-28T12:15:00.000Z</c:v>
                </c:pt>
                <c:pt idx="179">
                  <c:v>2026-01-28T12:30:00.000Z</c:v>
                </c:pt>
                <c:pt idx="180">
                  <c:v>2026-01-28T12:45:00.000Z</c:v>
                </c:pt>
                <c:pt idx="181">
                  <c:v>2026-01-28T13:00:00.000Z</c:v>
                </c:pt>
                <c:pt idx="182">
                  <c:v>2026-01-28T13:15:00.000Z</c:v>
                </c:pt>
                <c:pt idx="183">
                  <c:v>2026-01-28T13:30:00.000Z</c:v>
                </c:pt>
                <c:pt idx="184">
                  <c:v>2026-01-28T13:45:00.000Z</c:v>
                </c:pt>
                <c:pt idx="185">
                  <c:v>2026-01-28T14:00:00.000Z</c:v>
                </c:pt>
                <c:pt idx="186">
                  <c:v>2026-01-28T14:15:00.000Z</c:v>
                </c:pt>
                <c:pt idx="187">
                  <c:v>2026-01-28T14:30:00.000Z</c:v>
                </c:pt>
                <c:pt idx="188">
                  <c:v>2026-01-28T14:45:00.000Z</c:v>
                </c:pt>
                <c:pt idx="189">
                  <c:v>2026-01-28T15:00:00.000Z</c:v>
                </c:pt>
                <c:pt idx="190">
                  <c:v>2026-01-28T15:15:00.000Z</c:v>
                </c:pt>
                <c:pt idx="191">
                  <c:v>2026-01-28T15:30:00.000Z</c:v>
                </c:pt>
                <c:pt idx="192">
                  <c:v>2026-01-28T15:45:00.000Z</c:v>
                </c:pt>
                <c:pt idx="193">
                  <c:v>2026-01-28T16:00:00.000Z</c:v>
                </c:pt>
                <c:pt idx="194">
                  <c:v>2026-01-28T16:15:00.000Z</c:v>
                </c:pt>
                <c:pt idx="195">
                  <c:v>2026-01-28T16:30:00.000Z</c:v>
                </c:pt>
                <c:pt idx="196">
                  <c:v>2026-01-28T16:45:00.000Z</c:v>
                </c:pt>
                <c:pt idx="197">
                  <c:v>2026-01-28T17:00:00.000Z</c:v>
                </c:pt>
                <c:pt idx="198">
                  <c:v>2026-01-28T17:15:00.000Z</c:v>
                </c:pt>
                <c:pt idx="199">
                  <c:v>2026-01-28T17:30:00.000Z</c:v>
                </c:pt>
                <c:pt idx="200">
                  <c:v>2026-01-28T17:45:00.000Z</c:v>
                </c:pt>
                <c:pt idx="201">
                  <c:v>2026-01-28T18:00:00.000Z</c:v>
                </c:pt>
                <c:pt idx="202">
                  <c:v>2026-01-28T18:15:00.000Z</c:v>
                </c:pt>
                <c:pt idx="203">
                  <c:v>2026-01-28T18:30:00.000Z</c:v>
                </c:pt>
                <c:pt idx="204">
                  <c:v>2026-01-28T18:45:00.000Z</c:v>
                </c:pt>
                <c:pt idx="205">
                  <c:v>2026-01-28T19:00:00.000Z</c:v>
                </c:pt>
                <c:pt idx="206">
                  <c:v>2026-01-28T19:15:00.000Z</c:v>
                </c:pt>
                <c:pt idx="207">
                  <c:v>2026-01-28T19:30:00.000Z</c:v>
                </c:pt>
                <c:pt idx="208">
                  <c:v>2026-01-28T19:45:00.000Z</c:v>
                </c:pt>
                <c:pt idx="209">
                  <c:v>2026-01-28T20:00:00.000Z</c:v>
                </c:pt>
                <c:pt idx="210">
                  <c:v>2026-01-28T20:15:00.000Z</c:v>
                </c:pt>
                <c:pt idx="211">
                  <c:v>2026-01-28T20:30:00.000Z</c:v>
                </c:pt>
                <c:pt idx="212">
                  <c:v>2026-01-28T20:45:00.000Z</c:v>
                </c:pt>
                <c:pt idx="213">
                  <c:v>2026-01-28T21:00:00.000Z</c:v>
                </c:pt>
                <c:pt idx="214">
                  <c:v>2026-01-28T21:15:00.000Z</c:v>
                </c:pt>
                <c:pt idx="215">
                  <c:v>2026-01-28T21:30:00.000Z</c:v>
                </c:pt>
                <c:pt idx="216">
                  <c:v>2026-01-28T21:45:00.000Z</c:v>
                </c:pt>
                <c:pt idx="217">
                  <c:v>2026-01-28T22:00:00.000Z</c:v>
                </c:pt>
                <c:pt idx="218">
                  <c:v>2026-01-28T22:15:00.000Z</c:v>
                </c:pt>
                <c:pt idx="219">
                  <c:v>2026-01-28T22:30:00.000Z</c:v>
                </c:pt>
                <c:pt idx="220">
                  <c:v>2026-01-28T22:45:00.000Z</c:v>
                </c:pt>
                <c:pt idx="221">
                  <c:v>2026-01-28T23:00:00.000Z</c:v>
                </c:pt>
                <c:pt idx="222">
                  <c:v>2026-01-28T23:15:00.000Z</c:v>
                </c:pt>
                <c:pt idx="223">
                  <c:v>2026-01-28T23:30:00.000Z</c:v>
                </c:pt>
                <c:pt idx="224">
                  <c:v>2026-01-28T23:45:00.000Z</c:v>
                </c:pt>
                <c:pt idx="225">
                  <c:v>2026-01-29T00:00:00.000Z</c:v>
                </c:pt>
                <c:pt idx="226">
                  <c:v>2026-01-29T00:15:00.000Z</c:v>
                </c:pt>
                <c:pt idx="227">
                  <c:v>2026-01-29T00:30:00.000Z</c:v>
                </c:pt>
                <c:pt idx="228">
                  <c:v>2026-01-29T00:45:00.000Z</c:v>
                </c:pt>
                <c:pt idx="229">
                  <c:v>2026-01-29T01:00:00.000Z</c:v>
                </c:pt>
                <c:pt idx="230">
                  <c:v>2026-01-29T01:15:00.000Z</c:v>
                </c:pt>
                <c:pt idx="231">
                  <c:v>2026-01-29T01:30:00.000Z</c:v>
                </c:pt>
                <c:pt idx="232">
                  <c:v>2026-01-29T01:45:00.000Z</c:v>
                </c:pt>
                <c:pt idx="233">
                  <c:v>2026-01-29T02:00:00.000Z</c:v>
                </c:pt>
                <c:pt idx="234">
                  <c:v>2026-01-29T02:15:00.000Z</c:v>
                </c:pt>
                <c:pt idx="235">
                  <c:v>2026-01-29T02:30:00.000Z</c:v>
                </c:pt>
                <c:pt idx="236">
                  <c:v>2026-01-29T02:45:00.000Z</c:v>
                </c:pt>
                <c:pt idx="237">
                  <c:v>2026-01-29T03:00:00.000Z</c:v>
                </c:pt>
                <c:pt idx="238">
                  <c:v>2026-01-29T03:15:00.000Z</c:v>
                </c:pt>
                <c:pt idx="239">
                  <c:v>2026-01-29T03:30:00.000Z</c:v>
                </c:pt>
                <c:pt idx="240">
                  <c:v>2026-01-29T03:45:00.000Z</c:v>
                </c:pt>
                <c:pt idx="241">
                  <c:v>2026-01-29T04:00:00.000Z</c:v>
                </c:pt>
                <c:pt idx="242">
                  <c:v>2026-01-29T04:15:00.000Z</c:v>
                </c:pt>
                <c:pt idx="243">
                  <c:v>2026-01-29T04:30:00.000Z</c:v>
                </c:pt>
                <c:pt idx="244">
                  <c:v>2026-01-29T04:45:00.000Z</c:v>
                </c:pt>
                <c:pt idx="245">
                  <c:v>2026-01-29T05:00:00.000Z</c:v>
                </c:pt>
                <c:pt idx="246">
                  <c:v>2026-01-29T05:15:00.000Z</c:v>
                </c:pt>
                <c:pt idx="247">
                  <c:v>2026-01-29T05:30:00.000Z</c:v>
                </c:pt>
                <c:pt idx="248">
                  <c:v>2026-01-29T05:45:00.000Z</c:v>
                </c:pt>
                <c:pt idx="249">
                  <c:v>2026-01-29T06:00:00.000Z</c:v>
                </c:pt>
                <c:pt idx="250">
                  <c:v>2026-01-29T06:15:00.000Z</c:v>
                </c:pt>
                <c:pt idx="251">
                  <c:v>2026-01-29T06:30:00.000Z</c:v>
                </c:pt>
                <c:pt idx="252">
                  <c:v>2026-01-29T06:45:00.000Z</c:v>
                </c:pt>
                <c:pt idx="253">
                  <c:v>2026-01-29T07:00:00.000Z</c:v>
                </c:pt>
                <c:pt idx="254">
                  <c:v>2026-01-29T07:15:00.000Z</c:v>
                </c:pt>
                <c:pt idx="255">
                  <c:v>2026-01-29T07:30:00.000Z</c:v>
                </c:pt>
                <c:pt idx="256">
                  <c:v>2026-01-29T07:45:00.000Z</c:v>
                </c:pt>
                <c:pt idx="257">
                  <c:v>2026-01-29T08:00:00.000Z</c:v>
                </c:pt>
                <c:pt idx="258">
                  <c:v>2026-01-29T08:15:00.000Z</c:v>
                </c:pt>
                <c:pt idx="259">
                  <c:v>2026-01-29T08:30:00.000Z</c:v>
                </c:pt>
                <c:pt idx="260">
                  <c:v>2026-01-29T08:45:00.000Z</c:v>
                </c:pt>
                <c:pt idx="261">
                  <c:v>2026-01-29T09:00:00.000Z</c:v>
                </c:pt>
                <c:pt idx="262">
                  <c:v>2026-01-29T09:15:00.000Z</c:v>
                </c:pt>
                <c:pt idx="263">
                  <c:v>2026-01-29T09:30:00.000Z</c:v>
                </c:pt>
                <c:pt idx="264">
                  <c:v>2026-01-29T09:45:00.000Z</c:v>
                </c:pt>
                <c:pt idx="265">
                  <c:v>2026-01-29T10:00:00.000Z</c:v>
                </c:pt>
                <c:pt idx="266">
                  <c:v>2026-01-29T10:15:00.000Z</c:v>
                </c:pt>
                <c:pt idx="267">
                  <c:v>2026-01-29T10:30:00.000Z</c:v>
                </c:pt>
                <c:pt idx="268">
                  <c:v>2026-01-29T10:45:00.000Z</c:v>
                </c:pt>
                <c:pt idx="269">
                  <c:v>2026-01-29T11:00:00.000Z</c:v>
                </c:pt>
                <c:pt idx="270">
                  <c:v>2026-01-29T11:15:00.000Z</c:v>
                </c:pt>
                <c:pt idx="271">
                  <c:v>2026-01-29T11:30:00.000Z</c:v>
                </c:pt>
                <c:pt idx="272">
                  <c:v>2026-01-29T11:45:00.000Z</c:v>
                </c:pt>
                <c:pt idx="273">
                  <c:v>2026-01-29T12:00:00.000Z</c:v>
                </c:pt>
                <c:pt idx="274">
                  <c:v>2026-01-29T12:15:00.000Z</c:v>
                </c:pt>
                <c:pt idx="275">
                  <c:v>2026-01-29T12:30:00.000Z</c:v>
                </c:pt>
                <c:pt idx="276">
                  <c:v>2026-01-29T12:45:00.000Z</c:v>
                </c:pt>
                <c:pt idx="277">
                  <c:v>2026-01-29T13:00:00.000Z</c:v>
                </c:pt>
                <c:pt idx="278">
                  <c:v>2026-01-29T13:15:00.000Z</c:v>
                </c:pt>
                <c:pt idx="279">
                  <c:v>2026-01-29T13:30:00.000Z</c:v>
                </c:pt>
                <c:pt idx="280">
                  <c:v>2026-01-29T13:45:00.000Z</c:v>
                </c:pt>
                <c:pt idx="281">
                  <c:v>2026-01-29T14:00:00.000Z</c:v>
                </c:pt>
                <c:pt idx="282">
                  <c:v>2026-01-29T14:15:00.000Z</c:v>
                </c:pt>
                <c:pt idx="283">
                  <c:v>2026-01-29T14:30:00.000Z</c:v>
                </c:pt>
                <c:pt idx="284">
                  <c:v>2026-01-29T14:45:00.000Z</c:v>
                </c:pt>
                <c:pt idx="285">
                  <c:v>2026-01-29T15:00:00.000Z</c:v>
                </c:pt>
                <c:pt idx="286">
                  <c:v>2026-01-29T15:15:00.000Z</c:v>
                </c:pt>
                <c:pt idx="287">
                  <c:v>2026-01-29T15:30:00.000Z</c:v>
                </c:pt>
                <c:pt idx="288">
                  <c:v>2026-01-29T15:45:00.000Z</c:v>
                </c:pt>
                <c:pt idx="289">
                  <c:v>2026-01-29T16:00:00.000Z</c:v>
                </c:pt>
                <c:pt idx="290">
                  <c:v>2026-01-29T16:15:00.000Z</c:v>
                </c:pt>
                <c:pt idx="291">
                  <c:v>2026-01-29T16:30:00.000Z</c:v>
                </c:pt>
                <c:pt idx="292">
                  <c:v>2026-01-29T16:45:00.000Z</c:v>
                </c:pt>
                <c:pt idx="293">
                  <c:v>2026-01-29T17:00:00.000Z</c:v>
                </c:pt>
                <c:pt idx="294">
                  <c:v>2026-01-29T17:15:00.000Z</c:v>
                </c:pt>
                <c:pt idx="295">
                  <c:v>2026-01-29T17:30:00.000Z</c:v>
                </c:pt>
                <c:pt idx="296">
                  <c:v>2026-01-29T17:45:00.000Z</c:v>
                </c:pt>
                <c:pt idx="297">
                  <c:v>2026-01-29T18:00:00.000Z</c:v>
                </c:pt>
                <c:pt idx="298">
                  <c:v>2026-01-29T18:15:00.000Z</c:v>
                </c:pt>
                <c:pt idx="299">
                  <c:v>2026-01-29T18:30:00.000Z</c:v>
                </c:pt>
                <c:pt idx="300">
                  <c:v>2026-01-29T18:45:00.000Z</c:v>
                </c:pt>
                <c:pt idx="301">
                  <c:v>2026-01-29T19:00:00.000Z</c:v>
                </c:pt>
                <c:pt idx="302">
                  <c:v>2026-01-29T19:15:00.000Z</c:v>
                </c:pt>
                <c:pt idx="303">
                  <c:v>2026-01-29T19:30:00.000Z</c:v>
                </c:pt>
                <c:pt idx="304">
                  <c:v>2026-01-29T19:45:00.000Z</c:v>
                </c:pt>
                <c:pt idx="305">
                  <c:v>2026-01-29T20:00:00.000Z</c:v>
                </c:pt>
                <c:pt idx="306">
                  <c:v>2026-01-29T20:15:00.000Z</c:v>
                </c:pt>
                <c:pt idx="307">
                  <c:v>2026-01-29T20:30:00.000Z</c:v>
                </c:pt>
                <c:pt idx="308">
                  <c:v>2026-01-29T20:45:00.000Z</c:v>
                </c:pt>
                <c:pt idx="309">
                  <c:v>2026-01-29T21:00:00.000Z</c:v>
                </c:pt>
                <c:pt idx="310">
                  <c:v>2026-01-29T21:15:00.000Z</c:v>
                </c:pt>
                <c:pt idx="311">
                  <c:v>2026-01-29T21:30:00.000Z</c:v>
                </c:pt>
                <c:pt idx="312">
                  <c:v>2026-01-29T21:45:00.000Z</c:v>
                </c:pt>
                <c:pt idx="313">
                  <c:v>2026-01-29T22:00:00.000Z</c:v>
                </c:pt>
                <c:pt idx="314">
                  <c:v>2026-01-29T22:15:00.000Z</c:v>
                </c:pt>
                <c:pt idx="315">
                  <c:v>2026-01-29T22:30:00.000Z</c:v>
                </c:pt>
                <c:pt idx="316">
                  <c:v>2026-01-29T22:45:00.000Z</c:v>
                </c:pt>
                <c:pt idx="317">
                  <c:v>2026-01-29T23:00:00.000Z</c:v>
                </c:pt>
                <c:pt idx="318">
                  <c:v>2026-01-29T23:15:00.000Z</c:v>
                </c:pt>
                <c:pt idx="319">
                  <c:v>2026-01-29T23:30:00.000Z</c:v>
                </c:pt>
                <c:pt idx="320">
                  <c:v>2026-01-29T23:45:00.000Z</c:v>
                </c:pt>
                <c:pt idx="321">
                  <c:v>2026-01-30T00:00:00.000Z</c:v>
                </c:pt>
                <c:pt idx="322">
                  <c:v>2026-01-30T00:15:00.000Z</c:v>
                </c:pt>
                <c:pt idx="323">
                  <c:v>2026-01-30T00:30:00.000Z</c:v>
                </c:pt>
                <c:pt idx="324">
                  <c:v>2026-01-30T00:45:00.000Z</c:v>
                </c:pt>
                <c:pt idx="325">
                  <c:v>2026-01-30T01:00:00.000Z</c:v>
                </c:pt>
                <c:pt idx="326">
                  <c:v>2026-01-30T01:15:00.000Z</c:v>
                </c:pt>
                <c:pt idx="327">
                  <c:v>2026-01-30T01:30:00.000Z</c:v>
                </c:pt>
                <c:pt idx="328">
                  <c:v>2026-01-30T01:45:00.000Z</c:v>
                </c:pt>
                <c:pt idx="329">
                  <c:v>2026-01-30T02:00:00.000Z</c:v>
                </c:pt>
                <c:pt idx="330">
                  <c:v>2026-01-30T02:15:00.000Z</c:v>
                </c:pt>
                <c:pt idx="331">
                  <c:v>2026-01-30T02:30:00.000Z</c:v>
                </c:pt>
                <c:pt idx="332">
                  <c:v>2026-01-30T02:45:00.000Z</c:v>
                </c:pt>
                <c:pt idx="333">
                  <c:v>2026-01-30T03:00:00.000Z</c:v>
                </c:pt>
                <c:pt idx="334">
                  <c:v>2026-01-30T03:15:00.000Z</c:v>
                </c:pt>
                <c:pt idx="335">
                  <c:v>2026-01-30T03:30:00.000Z</c:v>
                </c:pt>
                <c:pt idx="336">
                  <c:v>2026-01-30T03:45:00.000Z</c:v>
                </c:pt>
                <c:pt idx="337">
                  <c:v>2026-01-30T04:00:00.000Z</c:v>
                </c:pt>
                <c:pt idx="338">
                  <c:v>2026-01-30T04:15:00.000Z</c:v>
                </c:pt>
                <c:pt idx="339">
                  <c:v>2026-01-30T04:30:00.000Z</c:v>
                </c:pt>
                <c:pt idx="340">
                  <c:v>2026-01-30T04:45:00.000Z</c:v>
                </c:pt>
                <c:pt idx="341">
                  <c:v>2026-01-30T05:00:00.000Z</c:v>
                </c:pt>
                <c:pt idx="342">
                  <c:v>2026-01-30T05:15:00.000Z</c:v>
                </c:pt>
                <c:pt idx="343">
                  <c:v>2026-01-30T05:30:00.000Z</c:v>
                </c:pt>
                <c:pt idx="344">
                  <c:v>2026-01-30T05:45:00.000Z</c:v>
                </c:pt>
                <c:pt idx="345">
                  <c:v>2026-01-30T06:00:00.000Z</c:v>
                </c:pt>
                <c:pt idx="346">
                  <c:v>2026-01-30T06:15:00.000Z</c:v>
                </c:pt>
                <c:pt idx="347">
                  <c:v>2026-01-30T06:30:00.000Z</c:v>
                </c:pt>
                <c:pt idx="348">
                  <c:v>2026-01-30T06:45:00.000Z</c:v>
                </c:pt>
                <c:pt idx="349">
                  <c:v>2026-01-30T07:00:00.000Z</c:v>
                </c:pt>
                <c:pt idx="350">
                  <c:v>2026-01-30T07:15:00.000Z</c:v>
                </c:pt>
                <c:pt idx="351">
                  <c:v>2026-01-30T07:30:00.000Z</c:v>
                </c:pt>
                <c:pt idx="352">
                  <c:v>2026-01-30T07:45:00.000Z</c:v>
                </c:pt>
                <c:pt idx="353">
                  <c:v>2026-01-30T08:00:00.000Z</c:v>
                </c:pt>
                <c:pt idx="354">
                  <c:v>2026-01-30T08:15:00.000Z</c:v>
                </c:pt>
                <c:pt idx="355">
                  <c:v>2026-01-30T08:30:00.000Z</c:v>
                </c:pt>
                <c:pt idx="356">
                  <c:v>2026-01-30T08:45:00.000Z</c:v>
                </c:pt>
                <c:pt idx="357">
                  <c:v>2026-01-30T09:00:00.000Z</c:v>
                </c:pt>
                <c:pt idx="358">
                  <c:v>2026-01-30T09:15:00.000Z</c:v>
                </c:pt>
                <c:pt idx="359">
                  <c:v>2026-01-30T09:30:00.000Z</c:v>
                </c:pt>
                <c:pt idx="360">
                  <c:v>2026-01-30T09:45:00.000Z</c:v>
                </c:pt>
                <c:pt idx="361">
                  <c:v>2026-01-30T10:00:00.000Z</c:v>
                </c:pt>
                <c:pt idx="362">
                  <c:v>2026-01-30T10:15:00.000Z</c:v>
                </c:pt>
                <c:pt idx="363">
                  <c:v>2026-01-30T10:30:00.000Z</c:v>
                </c:pt>
                <c:pt idx="364">
                  <c:v>2026-01-30T10:45:00.000Z</c:v>
                </c:pt>
                <c:pt idx="365">
                  <c:v>2026-01-30T11:00:00.000Z</c:v>
                </c:pt>
                <c:pt idx="366">
                  <c:v>2026-01-30T11:15:00.000Z</c:v>
                </c:pt>
                <c:pt idx="367">
                  <c:v>2026-01-30T11:30:00.000Z</c:v>
                </c:pt>
                <c:pt idx="368">
                  <c:v>2026-01-30T11:45:00.000Z</c:v>
                </c:pt>
                <c:pt idx="369">
                  <c:v>2026-01-30T12:00:00.000Z</c:v>
                </c:pt>
                <c:pt idx="370">
                  <c:v>2026-01-30T12:15:00.000Z</c:v>
                </c:pt>
                <c:pt idx="371">
                  <c:v>2026-01-30T12:30:00.000Z</c:v>
                </c:pt>
                <c:pt idx="372">
                  <c:v>2026-01-30T12:45:00.000Z</c:v>
                </c:pt>
                <c:pt idx="373">
                  <c:v>2026-01-30T13:00:00.000Z</c:v>
                </c:pt>
                <c:pt idx="374">
                  <c:v>2026-01-30T13:15:00.000Z</c:v>
                </c:pt>
                <c:pt idx="375">
                  <c:v>2026-01-30T13:30:00.000Z</c:v>
                </c:pt>
                <c:pt idx="376">
                  <c:v>2026-01-30T13:45:00.000Z</c:v>
                </c:pt>
                <c:pt idx="377">
                  <c:v>2026-01-30T14:00:00.000Z</c:v>
                </c:pt>
                <c:pt idx="378">
                  <c:v>2026-01-30T14:15:00.000Z</c:v>
                </c:pt>
                <c:pt idx="379">
                  <c:v>2026-01-30T14:30:00.000Z</c:v>
                </c:pt>
                <c:pt idx="380">
                  <c:v>2026-01-30T14:45:00.000Z</c:v>
                </c:pt>
                <c:pt idx="381">
                  <c:v>2026-01-30T15:00:00.000Z</c:v>
                </c:pt>
                <c:pt idx="382">
                  <c:v>2026-01-30T15:15:00.000Z</c:v>
                </c:pt>
                <c:pt idx="383">
                  <c:v>2026-01-30T15:30:00.000Z</c:v>
                </c:pt>
                <c:pt idx="384">
                  <c:v>2026-01-30T15:45:00.000Z</c:v>
                </c:pt>
                <c:pt idx="385">
                  <c:v>2026-01-30T16:00:00.000Z</c:v>
                </c:pt>
                <c:pt idx="386">
                  <c:v>2026-01-30T16:15:00.000Z</c:v>
                </c:pt>
                <c:pt idx="387">
                  <c:v>2026-01-30T16:30:00.000Z</c:v>
                </c:pt>
                <c:pt idx="388">
                  <c:v>2026-01-30T16:45:00.000Z</c:v>
                </c:pt>
                <c:pt idx="389">
                  <c:v>2026-01-30T17:00:00.000Z</c:v>
                </c:pt>
                <c:pt idx="390">
                  <c:v>2026-01-30T17:15:00.000Z</c:v>
                </c:pt>
                <c:pt idx="391">
                  <c:v>2026-01-30T17:30:00.000Z</c:v>
                </c:pt>
                <c:pt idx="392">
                  <c:v>2026-01-30T17:45:00.000Z</c:v>
                </c:pt>
                <c:pt idx="393">
                  <c:v>2026-01-30T18:00:00.000Z</c:v>
                </c:pt>
                <c:pt idx="394">
                  <c:v>2026-01-30T18:15:00.000Z</c:v>
                </c:pt>
                <c:pt idx="395">
                  <c:v>2026-01-30T18:30:00.000Z</c:v>
                </c:pt>
                <c:pt idx="396">
                  <c:v>2026-01-30T18:45:00.000Z</c:v>
                </c:pt>
                <c:pt idx="397">
                  <c:v>2026-01-30T19:00:00.000Z</c:v>
                </c:pt>
                <c:pt idx="398">
                  <c:v>2026-01-30T19:15:00.000Z</c:v>
                </c:pt>
                <c:pt idx="399">
                  <c:v>2026-01-30T19:30:00.000Z</c:v>
                </c:pt>
                <c:pt idx="400">
                  <c:v>2026-01-30T19:45:00.000Z</c:v>
                </c:pt>
                <c:pt idx="401">
                  <c:v>2026-01-30T20:00:00.000Z</c:v>
                </c:pt>
                <c:pt idx="402">
                  <c:v>2026-01-30T20:15:00.000Z</c:v>
                </c:pt>
                <c:pt idx="403">
                  <c:v>2026-01-30T20:30:00.000Z</c:v>
                </c:pt>
                <c:pt idx="404">
                  <c:v>2026-01-30T20:45:00.000Z</c:v>
                </c:pt>
                <c:pt idx="405">
                  <c:v>2026-01-30T21:00:00.000Z</c:v>
                </c:pt>
                <c:pt idx="406">
                  <c:v>2026-01-30T21:15:00.000Z</c:v>
                </c:pt>
                <c:pt idx="407">
                  <c:v>2026-01-30T21:30:00.000Z</c:v>
                </c:pt>
                <c:pt idx="408">
                  <c:v>2026-01-30T21:45:00.000Z</c:v>
                </c:pt>
                <c:pt idx="409">
                  <c:v>2026-01-30T22:00:00.000Z</c:v>
                </c:pt>
                <c:pt idx="410">
                  <c:v>2026-01-30T22:15:00.000Z</c:v>
                </c:pt>
                <c:pt idx="411">
                  <c:v>2026-01-30T22:30:00.000Z</c:v>
                </c:pt>
                <c:pt idx="412">
                  <c:v>2026-01-30T22:45:00.000Z</c:v>
                </c:pt>
                <c:pt idx="413">
                  <c:v>2026-01-30T23:00:00.000Z</c:v>
                </c:pt>
                <c:pt idx="414">
                  <c:v>2026-01-30T23:15:00.000Z</c:v>
                </c:pt>
                <c:pt idx="415">
                  <c:v>2026-01-30T23:30:00.000Z</c:v>
                </c:pt>
                <c:pt idx="416">
                  <c:v>2026-01-30T23:45:00.000Z</c:v>
                </c:pt>
                <c:pt idx="417">
                  <c:v>2026-01-31T00:00:00.000Z</c:v>
                </c:pt>
                <c:pt idx="418">
                  <c:v>2026-01-31T00:15:00.000Z</c:v>
                </c:pt>
                <c:pt idx="419">
                  <c:v>2026-01-31T00:30:00.000Z</c:v>
                </c:pt>
                <c:pt idx="420">
                  <c:v>2026-01-31T00:45:00.000Z</c:v>
                </c:pt>
                <c:pt idx="421">
                  <c:v>2026-01-31T01:00:00.000Z</c:v>
                </c:pt>
                <c:pt idx="422">
                  <c:v>2026-01-31T01:15:00.000Z</c:v>
                </c:pt>
                <c:pt idx="423">
                  <c:v>2026-01-31T01:30:00.000Z</c:v>
                </c:pt>
                <c:pt idx="424">
                  <c:v>2026-01-31T01:45:00.000Z</c:v>
                </c:pt>
                <c:pt idx="425">
                  <c:v>2026-01-31T02:00:00.000Z</c:v>
                </c:pt>
                <c:pt idx="426">
                  <c:v>2026-01-31T02:15:00.000Z</c:v>
                </c:pt>
                <c:pt idx="427">
                  <c:v>2026-01-31T02:30:00.000Z</c:v>
                </c:pt>
                <c:pt idx="428">
                  <c:v>2026-01-31T02:45:00.000Z</c:v>
                </c:pt>
                <c:pt idx="429">
                  <c:v>2026-01-31T03:00:00.000Z</c:v>
                </c:pt>
                <c:pt idx="430">
                  <c:v>2026-01-31T03:15:00.000Z</c:v>
                </c:pt>
                <c:pt idx="431">
                  <c:v>2026-01-31T03:30:00.000Z</c:v>
                </c:pt>
                <c:pt idx="432">
                  <c:v>2026-01-31T03:45:00.000Z</c:v>
                </c:pt>
                <c:pt idx="433">
                  <c:v>2026-01-31T04:00:00.000Z</c:v>
                </c:pt>
                <c:pt idx="434">
                  <c:v>2026-01-31T04:15:00.000Z</c:v>
                </c:pt>
                <c:pt idx="435">
                  <c:v>2026-01-31T04:30:00.000Z</c:v>
                </c:pt>
                <c:pt idx="436">
                  <c:v>2026-01-31T04:45:00.000Z</c:v>
                </c:pt>
                <c:pt idx="437">
                  <c:v>2026-01-31T05:00:00.000Z</c:v>
                </c:pt>
                <c:pt idx="438">
                  <c:v>2026-01-31T05:15:00.000Z</c:v>
                </c:pt>
                <c:pt idx="439">
                  <c:v>2026-01-31T05:30:00.000Z</c:v>
                </c:pt>
                <c:pt idx="440">
                  <c:v>2026-01-31T05:45:00.000Z</c:v>
                </c:pt>
                <c:pt idx="441">
                  <c:v>2026-01-31T06:00:00.000Z</c:v>
                </c:pt>
                <c:pt idx="442">
                  <c:v>2026-01-31T06:15:00.000Z</c:v>
                </c:pt>
                <c:pt idx="443">
                  <c:v>2026-01-31T06:30:00.000Z</c:v>
                </c:pt>
                <c:pt idx="444">
                  <c:v>2026-01-31T06:45:00.000Z</c:v>
                </c:pt>
                <c:pt idx="445">
                  <c:v>2026-01-31T07:00:00.000Z</c:v>
                </c:pt>
                <c:pt idx="446">
                  <c:v>2026-01-31T07:15:00.000Z</c:v>
                </c:pt>
                <c:pt idx="447">
                  <c:v>2026-01-31T07:30:00.000Z</c:v>
                </c:pt>
                <c:pt idx="448">
                  <c:v>2026-01-31T07:45:00.000Z</c:v>
                </c:pt>
                <c:pt idx="449">
                  <c:v>2026-01-31T08:00:00.000Z</c:v>
                </c:pt>
                <c:pt idx="450">
                  <c:v>2026-01-31T08:15:00.000Z</c:v>
                </c:pt>
                <c:pt idx="451">
                  <c:v>2026-01-31T08:30:00.000Z</c:v>
                </c:pt>
                <c:pt idx="452">
                  <c:v>2026-01-31T08:45:00.000Z</c:v>
                </c:pt>
                <c:pt idx="453">
                  <c:v>2026-01-31T09:00:00.000Z</c:v>
                </c:pt>
                <c:pt idx="454">
                  <c:v>2026-01-31T09:15:00.000Z</c:v>
                </c:pt>
                <c:pt idx="455">
                  <c:v>2026-01-31T09:30:00.000Z</c:v>
                </c:pt>
                <c:pt idx="456">
                  <c:v>2026-01-31T09:45:00.000Z</c:v>
                </c:pt>
                <c:pt idx="457">
                  <c:v>2026-01-31T10:00:00.000Z</c:v>
                </c:pt>
                <c:pt idx="458">
                  <c:v>2026-01-31T10:15:00.000Z</c:v>
                </c:pt>
                <c:pt idx="459">
                  <c:v>2026-01-31T10:30:00.000Z</c:v>
                </c:pt>
                <c:pt idx="460">
                  <c:v>2026-01-31T10:45:00.000Z</c:v>
                </c:pt>
                <c:pt idx="461">
                  <c:v>2026-01-31T11:00:00.000Z</c:v>
                </c:pt>
                <c:pt idx="462">
                  <c:v>2026-01-31T11:15:00.000Z</c:v>
                </c:pt>
                <c:pt idx="463">
                  <c:v>2026-01-31T11:30:00.000Z</c:v>
                </c:pt>
                <c:pt idx="464">
                  <c:v>2026-01-31T11:45:00.000Z</c:v>
                </c:pt>
                <c:pt idx="465">
                  <c:v>2026-01-31T12:00:00.000Z</c:v>
                </c:pt>
                <c:pt idx="466">
                  <c:v>2026-01-31T12:15:00.000Z</c:v>
                </c:pt>
                <c:pt idx="467">
                  <c:v>2026-01-31T12:30:00.000Z</c:v>
                </c:pt>
                <c:pt idx="468">
                  <c:v>2026-01-31T12:45:00.000Z</c:v>
                </c:pt>
                <c:pt idx="469">
                  <c:v>2026-01-31T13:00:00.000Z</c:v>
                </c:pt>
                <c:pt idx="470">
                  <c:v>2026-01-31T13:15:00.000Z</c:v>
                </c:pt>
                <c:pt idx="471">
                  <c:v>2026-01-31T13:30:00.000Z</c:v>
                </c:pt>
                <c:pt idx="472">
                  <c:v>2026-01-31T13:45:00.000Z</c:v>
                </c:pt>
                <c:pt idx="473">
                  <c:v>2026-01-31T14:00:00.000Z</c:v>
                </c:pt>
                <c:pt idx="474">
                  <c:v>2026-01-31T14:15:00.000Z</c:v>
                </c:pt>
                <c:pt idx="475">
                  <c:v>2026-01-31T14:30:00.000Z</c:v>
                </c:pt>
                <c:pt idx="476">
                  <c:v>2026-01-31T14:45:00.000Z</c:v>
                </c:pt>
                <c:pt idx="477">
                  <c:v>2026-01-31T15:00:00.000Z</c:v>
                </c:pt>
                <c:pt idx="478">
                  <c:v>2026-01-31T15:15:00.000Z</c:v>
                </c:pt>
                <c:pt idx="479">
                  <c:v>2026-01-31T15:30:00.000Z</c:v>
                </c:pt>
                <c:pt idx="480">
                  <c:v>2026-01-31T15:45:00.000Z</c:v>
                </c:pt>
                <c:pt idx="481">
                  <c:v>2026-01-31T16:00:00.000Z</c:v>
                </c:pt>
                <c:pt idx="482">
                  <c:v>2026-01-31T16:15:00.000Z</c:v>
                </c:pt>
                <c:pt idx="483">
                  <c:v>2026-01-31T16:30:00.000Z</c:v>
                </c:pt>
                <c:pt idx="484">
                  <c:v>2026-01-31T16:45:00.000Z</c:v>
                </c:pt>
                <c:pt idx="485">
                  <c:v>2026-01-31T17:00:00.000Z</c:v>
                </c:pt>
                <c:pt idx="486">
                  <c:v>2026-01-31T17:15:00.000Z</c:v>
                </c:pt>
                <c:pt idx="487">
                  <c:v>2026-01-31T17:30:00.000Z</c:v>
                </c:pt>
                <c:pt idx="488">
                  <c:v>2026-01-31T17:45:00.000Z</c:v>
                </c:pt>
                <c:pt idx="489">
                  <c:v>2026-01-31T18:00:00.000Z</c:v>
                </c:pt>
                <c:pt idx="490">
                  <c:v>2026-01-31T18:15:00.000Z</c:v>
                </c:pt>
                <c:pt idx="491">
                  <c:v>2026-01-31T18:30:00.000Z</c:v>
                </c:pt>
                <c:pt idx="492">
                  <c:v>2026-01-31T18:45:00.000Z</c:v>
                </c:pt>
                <c:pt idx="493">
                  <c:v>2026-01-31T19:00:00.000Z</c:v>
                </c:pt>
                <c:pt idx="494">
                  <c:v>2026-01-31T19:15:00.000Z</c:v>
                </c:pt>
                <c:pt idx="495">
                  <c:v>2026-01-31T19:30:00.000Z</c:v>
                </c:pt>
                <c:pt idx="496">
                  <c:v>2026-01-31T19:45:00.000Z</c:v>
                </c:pt>
                <c:pt idx="497">
                  <c:v>2026-01-31T20:00:00.000Z</c:v>
                </c:pt>
                <c:pt idx="498">
                  <c:v>2026-01-31T20:15:00.000Z</c:v>
                </c:pt>
                <c:pt idx="499">
                  <c:v>2026-01-31T20:30:00.000Z</c:v>
                </c:pt>
                <c:pt idx="500">
                  <c:v>2026-01-31T20:45:00.000Z</c:v>
                </c:pt>
                <c:pt idx="501">
                  <c:v>2026-01-31T21:00:00.000Z</c:v>
                </c:pt>
                <c:pt idx="502">
                  <c:v>2026-01-31T21:15:00.000Z</c:v>
                </c:pt>
                <c:pt idx="503">
                  <c:v>2026-01-31T21:30:00.000Z</c:v>
                </c:pt>
                <c:pt idx="504">
                  <c:v>2026-01-31T21:45:00.000Z</c:v>
                </c:pt>
                <c:pt idx="505">
                  <c:v>2026-01-31T22:00:00.000Z</c:v>
                </c:pt>
                <c:pt idx="506">
                  <c:v>2026-01-31T22:15:00.000Z</c:v>
                </c:pt>
                <c:pt idx="507">
                  <c:v>2026-01-31T22:30:00.000Z</c:v>
                </c:pt>
                <c:pt idx="508">
                  <c:v>2026-01-31T22:45:00.000Z</c:v>
                </c:pt>
                <c:pt idx="509">
                  <c:v>2026-01-31T23:00:00.000Z</c:v>
                </c:pt>
                <c:pt idx="510">
                  <c:v>2026-01-31T23:15:00.000Z</c:v>
                </c:pt>
                <c:pt idx="511">
                  <c:v>2026-01-31T23:30:00.000Z</c:v>
                </c:pt>
                <c:pt idx="512">
                  <c:v>2026-01-31T23:45:00.000Z</c:v>
                </c:pt>
                <c:pt idx="513">
                  <c:v>2026-02-01T00:00:00.000Z</c:v>
                </c:pt>
                <c:pt idx="514">
                  <c:v>2026-02-01T00:15:00.000Z</c:v>
                </c:pt>
                <c:pt idx="515">
                  <c:v>2026-02-01T00:30:00.000Z</c:v>
                </c:pt>
                <c:pt idx="516">
                  <c:v>2026-02-01T00:45:00.000Z</c:v>
                </c:pt>
                <c:pt idx="517">
                  <c:v>2026-02-01T01:00:00.000Z</c:v>
                </c:pt>
                <c:pt idx="518">
                  <c:v>2026-02-01T01:15:00.000Z</c:v>
                </c:pt>
                <c:pt idx="519">
                  <c:v>2026-02-01T01:30:00.000Z</c:v>
                </c:pt>
                <c:pt idx="520">
                  <c:v>2026-02-01T01:45:00.000Z</c:v>
                </c:pt>
                <c:pt idx="521">
                  <c:v>2026-02-01T02:00:00.000Z</c:v>
                </c:pt>
                <c:pt idx="522">
                  <c:v>2026-02-01T02:15:00.000Z</c:v>
                </c:pt>
                <c:pt idx="523">
                  <c:v>2026-02-01T02:30:00.000Z</c:v>
                </c:pt>
                <c:pt idx="524">
                  <c:v>2026-02-01T02:45:00.000Z</c:v>
                </c:pt>
                <c:pt idx="525">
                  <c:v>2026-02-01T03:00:00.000Z</c:v>
                </c:pt>
                <c:pt idx="526">
                  <c:v>2026-02-01T03:15:00.000Z</c:v>
                </c:pt>
                <c:pt idx="527">
                  <c:v>2026-02-01T03:30:00.000Z</c:v>
                </c:pt>
                <c:pt idx="528">
                  <c:v>2026-02-01T03:45:00.000Z</c:v>
                </c:pt>
                <c:pt idx="529">
                  <c:v>2026-02-01T04:00:00.000Z</c:v>
                </c:pt>
                <c:pt idx="530">
                  <c:v>2026-02-01T04:15:00.000Z</c:v>
                </c:pt>
                <c:pt idx="531">
                  <c:v>2026-02-01T04:30:00.000Z</c:v>
                </c:pt>
                <c:pt idx="532">
                  <c:v>2026-02-01T04:45:00.000Z</c:v>
                </c:pt>
                <c:pt idx="533">
                  <c:v>2026-02-01T05:00:00.000Z</c:v>
                </c:pt>
                <c:pt idx="534">
                  <c:v>2026-02-01T05:15:00.000Z</c:v>
                </c:pt>
                <c:pt idx="535">
                  <c:v>2026-02-01T05:30:00.000Z</c:v>
                </c:pt>
                <c:pt idx="536">
                  <c:v>2026-02-01T05:45:00.000Z</c:v>
                </c:pt>
                <c:pt idx="537">
                  <c:v>2026-02-01T06:00:00.000Z</c:v>
                </c:pt>
                <c:pt idx="538">
                  <c:v>2026-02-01T06:15:00.000Z</c:v>
                </c:pt>
                <c:pt idx="539">
                  <c:v>2026-02-01T06:30:00.000Z</c:v>
                </c:pt>
                <c:pt idx="540">
                  <c:v>2026-02-01T06:45:00.000Z</c:v>
                </c:pt>
                <c:pt idx="541">
                  <c:v>2026-02-01T07:00:00.000Z</c:v>
                </c:pt>
                <c:pt idx="542">
                  <c:v>2026-02-01T07:15:00.000Z</c:v>
                </c:pt>
                <c:pt idx="543">
                  <c:v>2026-02-01T07:30:00.000Z</c:v>
                </c:pt>
                <c:pt idx="544">
                  <c:v>2026-02-01T07:45:00.000Z</c:v>
                </c:pt>
                <c:pt idx="545">
                  <c:v>2026-02-01T08:00:00.000Z</c:v>
                </c:pt>
                <c:pt idx="546">
                  <c:v>2026-02-01T08:15:00.000Z</c:v>
                </c:pt>
                <c:pt idx="547">
                  <c:v>2026-02-01T08:30:00.000Z</c:v>
                </c:pt>
                <c:pt idx="548">
                  <c:v>2026-02-01T08:45:00.000Z</c:v>
                </c:pt>
                <c:pt idx="549">
                  <c:v>2026-02-01T09:00:00.000Z</c:v>
                </c:pt>
                <c:pt idx="550">
                  <c:v>2026-02-01T09:15:00.000Z</c:v>
                </c:pt>
                <c:pt idx="551">
                  <c:v>2026-02-01T09:30:00.000Z</c:v>
                </c:pt>
                <c:pt idx="552">
                  <c:v>2026-02-01T09:45:00.000Z</c:v>
                </c:pt>
                <c:pt idx="553">
                  <c:v>2026-02-01T10:00:00.000Z</c:v>
                </c:pt>
                <c:pt idx="554">
                  <c:v>2026-02-01T10:15:00.000Z</c:v>
                </c:pt>
                <c:pt idx="555">
                  <c:v>2026-02-01T10:30:00.000Z</c:v>
                </c:pt>
                <c:pt idx="556">
                  <c:v>2026-02-01T10:45:00.000Z</c:v>
                </c:pt>
                <c:pt idx="557">
                  <c:v>2026-02-01T11:00:00.000Z</c:v>
                </c:pt>
                <c:pt idx="558">
                  <c:v>2026-02-01T11:15:00.000Z</c:v>
                </c:pt>
                <c:pt idx="559">
                  <c:v>2026-02-01T11:30:00.000Z</c:v>
                </c:pt>
                <c:pt idx="560">
                  <c:v>2026-02-01T11:45:00.000Z</c:v>
                </c:pt>
                <c:pt idx="561">
                  <c:v>2026-02-01T12:00:00.000Z</c:v>
                </c:pt>
                <c:pt idx="562">
                  <c:v>2026-02-01T12:15:00.000Z</c:v>
                </c:pt>
                <c:pt idx="563">
                  <c:v>2026-02-01T12:30:00.000Z</c:v>
                </c:pt>
                <c:pt idx="564">
                  <c:v>2026-02-01T12:45:00.000Z</c:v>
                </c:pt>
                <c:pt idx="565">
                  <c:v>2026-02-01T13:00:00.000Z</c:v>
                </c:pt>
                <c:pt idx="566">
                  <c:v>2026-02-01T13:15:00.000Z</c:v>
                </c:pt>
                <c:pt idx="567">
                  <c:v>2026-02-01T13:30:00.000Z</c:v>
                </c:pt>
                <c:pt idx="568">
                  <c:v>2026-02-01T13:45:00.000Z</c:v>
                </c:pt>
                <c:pt idx="569">
                  <c:v>2026-02-01T14:00:00.000Z</c:v>
                </c:pt>
                <c:pt idx="570">
                  <c:v>2026-02-01T14:15:00.000Z</c:v>
                </c:pt>
                <c:pt idx="571">
                  <c:v>2026-02-01T14:30:00.000Z</c:v>
                </c:pt>
                <c:pt idx="572">
                  <c:v>2026-02-01T14:45:00.000Z</c:v>
                </c:pt>
                <c:pt idx="573">
                  <c:v>2026-02-01T15:00:00.000Z</c:v>
                </c:pt>
                <c:pt idx="574">
                  <c:v>2026-02-01T15:15:00.000Z</c:v>
                </c:pt>
                <c:pt idx="575">
                  <c:v>2026-02-01T15:30:00.000Z</c:v>
                </c:pt>
                <c:pt idx="576">
                  <c:v>2026-02-01T15:45:00.000Z</c:v>
                </c:pt>
                <c:pt idx="577">
                  <c:v>2026-02-01T16:00:00.000Z</c:v>
                </c:pt>
                <c:pt idx="578">
                  <c:v>2026-02-01T16:15:00.000Z</c:v>
                </c:pt>
                <c:pt idx="579">
                  <c:v>2026-02-01T16:30:00.000Z</c:v>
                </c:pt>
                <c:pt idx="580">
                  <c:v>2026-02-01T16:45:00.000Z</c:v>
                </c:pt>
                <c:pt idx="581">
                  <c:v>2026-02-01T17:00:00.000Z</c:v>
                </c:pt>
                <c:pt idx="582">
                  <c:v>2026-02-01T17:15:00.000Z</c:v>
                </c:pt>
                <c:pt idx="583">
                  <c:v>2026-02-01T17:30:00.000Z</c:v>
                </c:pt>
                <c:pt idx="584">
                  <c:v>2026-02-01T17:45:00.000Z</c:v>
                </c:pt>
                <c:pt idx="585">
                  <c:v>2026-02-01T18:00:00.000Z</c:v>
                </c:pt>
                <c:pt idx="586">
                  <c:v>2026-02-01T18:15:00.000Z</c:v>
                </c:pt>
                <c:pt idx="587">
                  <c:v>2026-02-01T18:30:00.000Z</c:v>
                </c:pt>
                <c:pt idx="588">
                  <c:v>2026-02-01T18:45:00.000Z</c:v>
                </c:pt>
                <c:pt idx="589">
                  <c:v>2026-02-01T19:00:00.000Z</c:v>
                </c:pt>
                <c:pt idx="590">
                  <c:v>2026-02-01T19:15:00.000Z</c:v>
                </c:pt>
                <c:pt idx="591">
                  <c:v>2026-02-01T19:30:00.000Z</c:v>
                </c:pt>
                <c:pt idx="592">
                  <c:v>2026-02-01T19:45:00.000Z</c:v>
                </c:pt>
                <c:pt idx="593">
                  <c:v>2026-02-01T20:00:00.000Z</c:v>
                </c:pt>
                <c:pt idx="594">
                  <c:v>2026-02-01T20:15:00.000Z</c:v>
                </c:pt>
                <c:pt idx="595">
                  <c:v>2026-02-01T20:30:00.000Z</c:v>
                </c:pt>
                <c:pt idx="596">
                  <c:v>2026-02-01T20:45:00.000Z</c:v>
                </c:pt>
                <c:pt idx="597">
                  <c:v>2026-02-01T21:00:00.000Z</c:v>
                </c:pt>
                <c:pt idx="598">
                  <c:v>2026-02-01T21:15:00.000Z</c:v>
                </c:pt>
                <c:pt idx="599">
                  <c:v>2026-02-01T21:30:00.000Z</c:v>
                </c:pt>
                <c:pt idx="600">
                  <c:v>2026-02-01T21:45:00.000Z</c:v>
                </c:pt>
                <c:pt idx="601">
                  <c:v>2026-02-01T22:00:00.000Z</c:v>
                </c:pt>
                <c:pt idx="602">
                  <c:v>2026-02-01T22:15:00.000Z</c:v>
                </c:pt>
                <c:pt idx="603">
                  <c:v>2026-02-01T22:30:00.000Z</c:v>
                </c:pt>
                <c:pt idx="604">
                  <c:v>2026-02-01T22:45:00.000Z</c:v>
                </c:pt>
                <c:pt idx="605">
                  <c:v>2026-02-01T23:00:00.000Z</c:v>
                </c:pt>
                <c:pt idx="606">
                  <c:v>2026-02-01T23:15:00.000Z</c:v>
                </c:pt>
                <c:pt idx="607">
                  <c:v>2026-02-01T23:30:00.000Z</c:v>
                </c:pt>
                <c:pt idx="608">
                  <c:v>2026-02-01T23:45:00.000Z</c:v>
                </c:pt>
                <c:pt idx="609">
                  <c:v>2026-02-02T00:00:00.000Z</c:v>
                </c:pt>
                <c:pt idx="610">
                  <c:v>2026-02-02T00:15:00.000Z</c:v>
                </c:pt>
                <c:pt idx="611">
                  <c:v>2026-02-02T00:30:00.000Z</c:v>
                </c:pt>
                <c:pt idx="612">
                  <c:v>2026-02-02T00:45:00.000Z</c:v>
                </c:pt>
                <c:pt idx="613">
                  <c:v>2026-02-02T01:00:00.000Z</c:v>
                </c:pt>
                <c:pt idx="614">
                  <c:v>2026-02-02T01:15:00.000Z</c:v>
                </c:pt>
                <c:pt idx="615">
                  <c:v>2026-02-02T01:30:00.000Z</c:v>
                </c:pt>
                <c:pt idx="616">
                  <c:v>2026-02-02T01:45:00.000Z</c:v>
                </c:pt>
                <c:pt idx="617">
                  <c:v>2026-02-02T02:00:00.000Z</c:v>
                </c:pt>
                <c:pt idx="618">
                  <c:v>2026-02-02T02:15:00.000Z</c:v>
                </c:pt>
                <c:pt idx="619">
                  <c:v>2026-02-02T02:30:00.000Z</c:v>
                </c:pt>
                <c:pt idx="620">
                  <c:v>2026-02-02T02:45:00.000Z</c:v>
                </c:pt>
                <c:pt idx="621">
                  <c:v>2026-02-02T03:00:00.000Z</c:v>
                </c:pt>
                <c:pt idx="622">
                  <c:v>2026-02-02T03:15:00.000Z</c:v>
                </c:pt>
                <c:pt idx="623">
                  <c:v>2026-02-02T03:30:00.000Z</c:v>
                </c:pt>
                <c:pt idx="624">
                  <c:v>2026-02-02T03:45:00.000Z</c:v>
                </c:pt>
                <c:pt idx="625">
                  <c:v>2026-02-02T04:00:00.000Z</c:v>
                </c:pt>
                <c:pt idx="626">
                  <c:v>2026-02-02T04:15:00.000Z</c:v>
                </c:pt>
                <c:pt idx="627">
                  <c:v>2026-02-02T04:30:00.000Z</c:v>
                </c:pt>
                <c:pt idx="628">
                  <c:v>2026-02-02T04:45:00.000Z</c:v>
                </c:pt>
                <c:pt idx="629">
                  <c:v>2026-02-02T05:00:00.000Z</c:v>
                </c:pt>
                <c:pt idx="630">
                  <c:v>2026-02-02T05:15:00.000Z</c:v>
                </c:pt>
                <c:pt idx="631">
                  <c:v>2026-02-02T05:30:00.000Z</c:v>
                </c:pt>
                <c:pt idx="632">
                  <c:v>2026-02-02T05:45:00.000Z</c:v>
                </c:pt>
                <c:pt idx="633">
                  <c:v>2026-02-02T06:00:00.000Z</c:v>
                </c:pt>
                <c:pt idx="634">
                  <c:v>2026-02-02T06:15:00.000Z</c:v>
                </c:pt>
                <c:pt idx="635">
                  <c:v>2026-02-02T06:30:00.000Z</c:v>
                </c:pt>
                <c:pt idx="636">
                  <c:v>2026-02-02T06:45:00.000Z</c:v>
                </c:pt>
                <c:pt idx="637">
                  <c:v>2026-02-02T07:00:00.000Z</c:v>
                </c:pt>
                <c:pt idx="638">
                  <c:v>2026-02-02T07:15:00.000Z</c:v>
                </c:pt>
                <c:pt idx="639">
                  <c:v>2026-02-02T07:30:00.000Z</c:v>
                </c:pt>
                <c:pt idx="640">
                  <c:v>2026-02-02T07:45:00.000Z</c:v>
                </c:pt>
                <c:pt idx="641">
                  <c:v>2026-02-02T08:00:00.000Z</c:v>
                </c:pt>
                <c:pt idx="642">
                  <c:v>2026-02-02T08:15:00.000Z</c:v>
                </c:pt>
                <c:pt idx="643">
                  <c:v>2026-02-02T08:30:00.000Z</c:v>
                </c:pt>
                <c:pt idx="644">
                  <c:v>2026-02-02T08:45:00.000Z</c:v>
                </c:pt>
                <c:pt idx="645">
                  <c:v>2026-02-02T09:00:00.000Z</c:v>
                </c:pt>
                <c:pt idx="646">
                  <c:v>2026-02-02T09:15:00.000Z</c:v>
                </c:pt>
                <c:pt idx="647">
                  <c:v>2026-02-02T09:30:00.000Z</c:v>
                </c:pt>
                <c:pt idx="648">
                  <c:v>2026-02-02T09:45:00.000Z</c:v>
                </c:pt>
                <c:pt idx="649">
                  <c:v>2026-02-02T10:00:00.000Z</c:v>
                </c:pt>
                <c:pt idx="650">
                  <c:v>2026-02-02T10:15:00.000Z</c:v>
                </c:pt>
                <c:pt idx="651">
                  <c:v>2026-02-02T10:30:00.000Z</c:v>
                </c:pt>
                <c:pt idx="652">
                  <c:v>2026-02-02T10:45:00.000Z</c:v>
                </c:pt>
                <c:pt idx="653">
                  <c:v>2026-02-02T11:00:00.000Z</c:v>
                </c:pt>
                <c:pt idx="654">
                  <c:v>2026-02-02T11:15:00.000Z</c:v>
                </c:pt>
                <c:pt idx="655">
                  <c:v>2026-02-02T11:30:00.000Z</c:v>
                </c:pt>
                <c:pt idx="656">
                  <c:v>2026-02-02T11:45:00.000Z</c:v>
                </c:pt>
                <c:pt idx="657">
                  <c:v>2026-02-02T12:00:00.000Z</c:v>
                </c:pt>
                <c:pt idx="658">
                  <c:v>2026-02-02T12:15:00.000Z</c:v>
                </c:pt>
                <c:pt idx="659">
                  <c:v>2026-02-02T12:30:00.000Z</c:v>
                </c:pt>
                <c:pt idx="660">
                  <c:v>2026-02-02T12:45:00.000Z</c:v>
                </c:pt>
                <c:pt idx="661">
                  <c:v>2026-02-02T13:00:00.000Z</c:v>
                </c:pt>
                <c:pt idx="662">
                  <c:v>2026-02-02T13:15:00.000Z</c:v>
                </c:pt>
                <c:pt idx="663">
                  <c:v>2026-02-02T13:30:00.000Z</c:v>
                </c:pt>
                <c:pt idx="664">
                  <c:v>2026-02-02T13:45:00.000Z</c:v>
                </c:pt>
                <c:pt idx="665">
                  <c:v>2026-02-02T14:00:00.000Z</c:v>
                </c:pt>
                <c:pt idx="666">
                  <c:v>2026-02-02T14:15:00.000Z</c:v>
                </c:pt>
                <c:pt idx="667">
                  <c:v>2026-02-02T14:30:00.000Z</c:v>
                </c:pt>
                <c:pt idx="668">
                  <c:v>2026-02-02T14:45:00.000Z</c:v>
                </c:pt>
                <c:pt idx="669">
                  <c:v>2026-02-02T15:00:00.000Z</c:v>
                </c:pt>
                <c:pt idx="670">
                  <c:v>2026-02-02T15:15:00.000Z</c:v>
                </c:pt>
                <c:pt idx="671">
                  <c:v>2026-02-02T15:30:00.000Z</c:v>
                </c:pt>
                <c:pt idx="672">
                  <c:v>2026-02-02T15:45:00.000Z</c:v>
                </c:pt>
                <c:pt idx="673">
                  <c:v>2026-02-02T16:00:00.000Z</c:v>
                </c:pt>
                <c:pt idx="674">
                  <c:v>2026-02-02T16:15:00.000Z</c:v>
                </c:pt>
                <c:pt idx="675">
                  <c:v>2026-02-02T16:30:00.000Z</c:v>
                </c:pt>
                <c:pt idx="676">
                  <c:v>2026-02-02T16:45:00.000Z</c:v>
                </c:pt>
                <c:pt idx="677">
                  <c:v>2026-02-02T17:00:00.000Z</c:v>
                </c:pt>
                <c:pt idx="678">
                  <c:v>2026-02-02T17:15:00.000Z</c:v>
                </c:pt>
                <c:pt idx="679">
                  <c:v>2026-02-02T17:30:00.000Z</c:v>
                </c:pt>
                <c:pt idx="680">
                  <c:v>2026-02-02T17:45:00.000Z</c:v>
                </c:pt>
                <c:pt idx="681">
                  <c:v>2026-02-02T18:00:00.000Z</c:v>
                </c:pt>
                <c:pt idx="682">
                  <c:v>2026-02-02T18:15:00.000Z</c:v>
                </c:pt>
                <c:pt idx="683">
                  <c:v>2026-02-02T18:30:00.000Z</c:v>
                </c:pt>
                <c:pt idx="684">
                  <c:v>2026-02-02T18:45:00.000Z</c:v>
                </c:pt>
                <c:pt idx="685">
                  <c:v>2026-02-02T19:00:00.000Z</c:v>
                </c:pt>
                <c:pt idx="686">
                  <c:v>2026-02-02T19:15:00.000Z</c:v>
                </c:pt>
                <c:pt idx="687">
                  <c:v>2026-02-02T19:30:00.000Z</c:v>
                </c:pt>
                <c:pt idx="688">
                  <c:v>2026-02-02T19:45:00.000Z</c:v>
                </c:pt>
                <c:pt idx="689">
                  <c:v>2026-02-02T20:00:00.000Z</c:v>
                </c:pt>
                <c:pt idx="690">
                  <c:v>2026-02-02T20:15:00.000Z</c:v>
                </c:pt>
                <c:pt idx="691">
                  <c:v>2026-02-02T20:30:00.000Z</c:v>
                </c:pt>
                <c:pt idx="692">
                  <c:v>2026-02-02T20:45:00.000Z</c:v>
                </c:pt>
                <c:pt idx="693">
                  <c:v>2026-02-02T21:00:00.000Z</c:v>
                </c:pt>
                <c:pt idx="694">
                  <c:v>2026-02-02T21:15:00.000Z</c:v>
                </c:pt>
                <c:pt idx="695">
                  <c:v>2026-02-02T21:30:00.000Z</c:v>
                </c:pt>
                <c:pt idx="696">
                  <c:v>2026-02-02T21:45:00.000Z</c:v>
                </c:pt>
                <c:pt idx="697">
                  <c:v>2026-02-02T22:00:00.000Z</c:v>
                </c:pt>
                <c:pt idx="698">
                  <c:v>2026-02-02T22:15:00.000Z</c:v>
                </c:pt>
                <c:pt idx="699">
                  <c:v>2026-02-02T22:30:00.000Z</c:v>
                </c:pt>
                <c:pt idx="700">
                  <c:v>2026-02-02T22:45:00.000Z</c:v>
                </c:pt>
                <c:pt idx="701">
                  <c:v>2026-02-02T23:00:00.000Z</c:v>
                </c:pt>
                <c:pt idx="702">
                  <c:v>2026-02-02T23:15:00.000Z</c:v>
                </c:pt>
                <c:pt idx="703">
                  <c:v>2026-02-02T23:30:00.000Z</c:v>
                </c:pt>
                <c:pt idx="704">
                  <c:v>2026-02-02T23:45:00.000Z</c:v>
                </c:pt>
                <c:pt idx="705">
                  <c:v>2026-02-03T00:00:00.000Z</c:v>
                </c:pt>
                <c:pt idx="706">
                  <c:v>2026-02-03T00:15:00.000Z</c:v>
                </c:pt>
                <c:pt idx="707">
                  <c:v>2026-02-03T00:30:00.000Z</c:v>
                </c:pt>
                <c:pt idx="708">
                  <c:v>2026-02-03T00:45:00.000Z</c:v>
                </c:pt>
                <c:pt idx="709">
                  <c:v>2026-02-03T01:00:00.000Z</c:v>
                </c:pt>
                <c:pt idx="710">
                  <c:v>2026-02-03T01:15:00.000Z</c:v>
                </c:pt>
                <c:pt idx="711">
                  <c:v>2026-02-03T01:30:00.000Z</c:v>
                </c:pt>
                <c:pt idx="712">
                  <c:v>2026-02-03T01:45:00.000Z</c:v>
                </c:pt>
                <c:pt idx="713">
                  <c:v>2026-02-03T02:00:00.000Z</c:v>
                </c:pt>
                <c:pt idx="714">
                  <c:v>2026-02-03T02:15:00.000Z</c:v>
                </c:pt>
                <c:pt idx="715">
                  <c:v>2026-02-03T02:30:00.000Z</c:v>
                </c:pt>
                <c:pt idx="716">
                  <c:v>2026-02-03T02:45:00.000Z</c:v>
                </c:pt>
                <c:pt idx="717">
                  <c:v>2026-02-03T03:00:00.000Z</c:v>
                </c:pt>
                <c:pt idx="718">
                  <c:v>2026-02-03T03:15:00.000Z</c:v>
                </c:pt>
                <c:pt idx="719">
                  <c:v>2026-02-03T03:30:00.000Z</c:v>
                </c:pt>
                <c:pt idx="720">
                  <c:v>2026-02-03T03:45:00.000Z</c:v>
                </c:pt>
                <c:pt idx="721">
                  <c:v>2026-02-03T04:00:00.000Z</c:v>
                </c:pt>
                <c:pt idx="722">
                  <c:v>2026-02-03T04:15:00.000Z</c:v>
                </c:pt>
                <c:pt idx="723">
                  <c:v>2026-02-03T04:30:00.000Z</c:v>
                </c:pt>
                <c:pt idx="724">
                  <c:v>2026-02-03T04:45:00.000Z</c:v>
                </c:pt>
                <c:pt idx="725">
                  <c:v>2026-02-03T05:00:00.000Z</c:v>
                </c:pt>
                <c:pt idx="726">
                  <c:v>2026-02-03T05:15:00.000Z</c:v>
                </c:pt>
                <c:pt idx="727">
                  <c:v>2026-02-03T05:30:00.000Z</c:v>
                </c:pt>
                <c:pt idx="728">
                  <c:v>2026-02-03T05:45:00.000Z</c:v>
                </c:pt>
                <c:pt idx="729">
                  <c:v>2026-02-03T06:00:00.000Z</c:v>
                </c:pt>
                <c:pt idx="730">
                  <c:v>2026-02-03T06:15:00.000Z</c:v>
                </c:pt>
                <c:pt idx="731">
                  <c:v>2026-02-03T06:30:00.000Z</c:v>
                </c:pt>
                <c:pt idx="732">
                  <c:v>2026-02-03T06:45:00.000Z</c:v>
                </c:pt>
                <c:pt idx="733">
                  <c:v>2026-02-03T07:00:00.000Z</c:v>
                </c:pt>
                <c:pt idx="734">
                  <c:v>2026-02-03T07:15:00.000Z</c:v>
                </c:pt>
                <c:pt idx="735">
                  <c:v>2026-02-03T07:30:00.000Z</c:v>
                </c:pt>
                <c:pt idx="736">
                  <c:v>2026-02-03T07:45:00.000Z</c:v>
                </c:pt>
                <c:pt idx="737">
                  <c:v>2026-02-03T08:00:00.000Z</c:v>
                </c:pt>
                <c:pt idx="738">
                  <c:v>2026-02-03T08:15:00.000Z</c:v>
                </c:pt>
                <c:pt idx="739">
                  <c:v>2026-02-03T08:30:00.000Z</c:v>
                </c:pt>
                <c:pt idx="740">
                  <c:v>2026-02-03T08:45:00.000Z</c:v>
                </c:pt>
                <c:pt idx="741">
                  <c:v>2026-02-03T09:00:00.000Z</c:v>
                </c:pt>
                <c:pt idx="742">
                  <c:v>2026-02-03T09:15:00.000Z</c:v>
                </c:pt>
                <c:pt idx="743">
                  <c:v>2026-02-03T09:30:00.000Z</c:v>
                </c:pt>
                <c:pt idx="744">
                  <c:v>2026-02-03T09:45:00.000Z</c:v>
                </c:pt>
                <c:pt idx="745">
                  <c:v>2026-02-03T10:00:00.000Z</c:v>
                </c:pt>
                <c:pt idx="746">
                  <c:v>2026-02-03T10:15:00.000Z</c:v>
                </c:pt>
                <c:pt idx="747">
                  <c:v>2026-02-03T10:30:00.000Z</c:v>
                </c:pt>
                <c:pt idx="748">
                  <c:v>2026-02-03T10:45:00.000Z</c:v>
                </c:pt>
                <c:pt idx="749">
                  <c:v>2026-02-03T11:00:00.000Z</c:v>
                </c:pt>
                <c:pt idx="750">
                  <c:v>2026-02-03T11:15:00.000Z</c:v>
                </c:pt>
                <c:pt idx="751">
                  <c:v>2026-02-03T11:30:00.000Z</c:v>
                </c:pt>
                <c:pt idx="752">
                  <c:v>2026-02-03T11:45:00.000Z</c:v>
                </c:pt>
                <c:pt idx="753">
                  <c:v>2026-02-03T12:00:00.000Z</c:v>
                </c:pt>
                <c:pt idx="754">
                  <c:v>2026-02-03T12:15:00.000Z</c:v>
                </c:pt>
                <c:pt idx="755">
                  <c:v>2026-02-03T12:30:00.000Z</c:v>
                </c:pt>
                <c:pt idx="756">
                  <c:v>2026-02-03T12:45:00.000Z</c:v>
                </c:pt>
                <c:pt idx="757">
                  <c:v>2026-02-03T13:00:00.000Z</c:v>
                </c:pt>
                <c:pt idx="758">
                  <c:v>2026-02-03T13:15:00.000Z</c:v>
                </c:pt>
                <c:pt idx="759">
                  <c:v>2026-02-03T13:30:00.000Z</c:v>
                </c:pt>
                <c:pt idx="760">
                  <c:v>2026-02-03T13:45:00.000Z</c:v>
                </c:pt>
                <c:pt idx="761">
                  <c:v>2026-02-03T14:00:00.000Z</c:v>
                </c:pt>
                <c:pt idx="762">
                  <c:v>2026-02-03T14:15:00.000Z</c:v>
                </c:pt>
                <c:pt idx="763">
                  <c:v>2026-02-03T14:30:00.000Z</c:v>
                </c:pt>
                <c:pt idx="764">
                  <c:v>2026-02-03T14:45:00.000Z</c:v>
                </c:pt>
                <c:pt idx="765">
                  <c:v>2026-02-03T15:00:00.000Z</c:v>
                </c:pt>
                <c:pt idx="766">
                  <c:v>2026-02-03T15:15:00.000Z</c:v>
                </c:pt>
                <c:pt idx="767">
                  <c:v>2026-02-03T15:30:00.000Z</c:v>
                </c:pt>
                <c:pt idx="768">
                  <c:v>2026-02-03T15:45:00.000Z</c:v>
                </c:pt>
                <c:pt idx="769">
                  <c:v>2026-02-03T16:00:00.000Z</c:v>
                </c:pt>
                <c:pt idx="770">
                  <c:v>2026-02-03T16:15:00.000Z</c:v>
                </c:pt>
                <c:pt idx="771">
                  <c:v>2026-02-03T16:30:00.000Z</c:v>
                </c:pt>
                <c:pt idx="772">
                  <c:v>2026-02-03T16:45:00.000Z</c:v>
                </c:pt>
                <c:pt idx="773">
                  <c:v>2026-02-03T17:00:00.000Z</c:v>
                </c:pt>
                <c:pt idx="774">
                  <c:v>2026-02-03T17:15:00.000Z</c:v>
                </c:pt>
                <c:pt idx="775">
                  <c:v>2026-02-03T17:30:00.000Z</c:v>
                </c:pt>
                <c:pt idx="776">
                  <c:v>2026-02-03T17:45:00.000Z</c:v>
                </c:pt>
                <c:pt idx="777">
                  <c:v>2026-02-03T18:00:00.000Z</c:v>
                </c:pt>
                <c:pt idx="778">
                  <c:v>2026-02-03T18:15:00.000Z</c:v>
                </c:pt>
                <c:pt idx="779">
                  <c:v>2026-02-03T18:30:00.000Z</c:v>
                </c:pt>
                <c:pt idx="780">
                  <c:v>2026-02-03T18:45:00.000Z</c:v>
                </c:pt>
                <c:pt idx="781">
                  <c:v>2026-02-03T19:00:00.000Z</c:v>
                </c:pt>
                <c:pt idx="782">
                  <c:v>2026-02-03T19:15:00.000Z</c:v>
                </c:pt>
                <c:pt idx="783">
                  <c:v>2026-02-03T19:30:00.000Z</c:v>
                </c:pt>
                <c:pt idx="784">
                  <c:v>2026-02-03T19:45:00.000Z</c:v>
                </c:pt>
                <c:pt idx="785">
                  <c:v>2026-02-03T20:00:00.000Z</c:v>
                </c:pt>
                <c:pt idx="786">
                  <c:v>2026-02-03T20:15:00.000Z</c:v>
                </c:pt>
                <c:pt idx="787">
                  <c:v>2026-02-03T20:30:00.000Z</c:v>
                </c:pt>
                <c:pt idx="788">
                  <c:v>2026-02-03T20:45:00.000Z</c:v>
                </c:pt>
                <c:pt idx="789">
                  <c:v>2026-02-03T21:00:00.000Z</c:v>
                </c:pt>
                <c:pt idx="790">
                  <c:v>2026-02-03T21:15:00.000Z</c:v>
                </c:pt>
                <c:pt idx="791">
                  <c:v>2026-02-03T21:30:00.000Z</c:v>
                </c:pt>
                <c:pt idx="792">
                  <c:v>2026-02-03T21:45:00.000Z</c:v>
                </c:pt>
                <c:pt idx="793">
                  <c:v>2026-02-03T22:00:00.000Z</c:v>
                </c:pt>
                <c:pt idx="794">
                  <c:v>2026-02-03T22:15:00.000Z</c:v>
                </c:pt>
                <c:pt idx="795">
                  <c:v>2026-02-03T22:30:00.000Z</c:v>
                </c:pt>
                <c:pt idx="796">
                  <c:v>2026-02-03T22:45:00.000Z</c:v>
                </c:pt>
                <c:pt idx="797">
                  <c:v>2026-02-03T23:00:00.000Z</c:v>
                </c:pt>
                <c:pt idx="798">
                  <c:v>2026-02-03T23:15:00.000Z</c:v>
                </c:pt>
                <c:pt idx="799">
                  <c:v>2026-02-03T23:30:00.000Z</c:v>
                </c:pt>
                <c:pt idx="800">
                  <c:v>2026-02-03T23:45:00.000Z</c:v>
                </c:pt>
                <c:pt idx="801">
                  <c:v>2026-02-04T00:00:00.000Z</c:v>
                </c:pt>
                <c:pt idx="802">
                  <c:v>2026-02-04T00:15:00.000Z</c:v>
                </c:pt>
                <c:pt idx="803">
                  <c:v>2026-02-04T00:30:00.000Z</c:v>
                </c:pt>
                <c:pt idx="804">
                  <c:v>2026-02-04T00:45:00.000Z</c:v>
                </c:pt>
                <c:pt idx="805">
                  <c:v>2026-02-04T01:00:00.000Z</c:v>
                </c:pt>
                <c:pt idx="806">
                  <c:v>2026-02-04T01:15:00.000Z</c:v>
                </c:pt>
                <c:pt idx="807">
                  <c:v>2026-02-04T01:30:00.000Z</c:v>
                </c:pt>
                <c:pt idx="808">
                  <c:v>2026-02-04T01:45:00.000Z</c:v>
                </c:pt>
                <c:pt idx="809">
                  <c:v>2026-02-04T02:00:00.000Z</c:v>
                </c:pt>
                <c:pt idx="810">
                  <c:v>2026-02-04T02:15:00.000Z</c:v>
                </c:pt>
                <c:pt idx="811">
                  <c:v>2026-02-04T02:30:00.000Z</c:v>
                </c:pt>
                <c:pt idx="812">
                  <c:v>2026-02-04T02:45:00.000Z</c:v>
                </c:pt>
                <c:pt idx="813">
                  <c:v>2026-02-04T03:00:00.000Z</c:v>
                </c:pt>
                <c:pt idx="814">
                  <c:v>2026-02-04T03:15:00.000Z</c:v>
                </c:pt>
                <c:pt idx="815">
                  <c:v>2026-02-04T03:30:00.000Z</c:v>
                </c:pt>
                <c:pt idx="816">
                  <c:v>2026-02-04T03:45:00.000Z</c:v>
                </c:pt>
                <c:pt idx="817">
                  <c:v>2026-02-04T04:00:00.000Z</c:v>
                </c:pt>
                <c:pt idx="818">
                  <c:v>2026-02-04T04:15:00.000Z</c:v>
                </c:pt>
                <c:pt idx="819">
                  <c:v>2026-02-04T04:30:00.000Z</c:v>
                </c:pt>
                <c:pt idx="820">
                  <c:v>2026-02-04T04:45:00.000Z</c:v>
                </c:pt>
                <c:pt idx="821">
                  <c:v>2026-02-04T05:00:00.000Z</c:v>
                </c:pt>
                <c:pt idx="822">
                  <c:v>2026-02-04T05:15:00.000Z</c:v>
                </c:pt>
                <c:pt idx="823">
                  <c:v>2026-02-04T05:30:00.000Z</c:v>
                </c:pt>
                <c:pt idx="824">
                  <c:v>2026-02-04T05:45:00.000Z</c:v>
                </c:pt>
                <c:pt idx="825">
                  <c:v>2026-02-04T06:00:00.000Z</c:v>
                </c:pt>
                <c:pt idx="826">
                  <c:v>2026-02-04T06:15:00.000Z</c:v>
                </c:pt>
                <c:pt idx="827">
                  <c:v>2026-02-04T06:30:00.000Z</c:v>
                </c:pt>
                <c:pt idx="828">
                  <c:v>2026-02-04T06:45:00.000Z</c:v>
                </c:pt>
                <c:pt idx="829">
                  <c:v>2026-02-04T07:00:00.000Z</c:v>
                </c:pt>
                <c:pt idx="830">
                  <c:v>2026-02-04T07:15:00.000Z</c:v>
                </c:pt>
                <c:pt idx="831">
                  <c:v>2026-02-04T07:30:00.000Z</c:v>
                </c:pt>
                <c:pt idx="832">
                  <c:v>2026-02-04T07:45:00.000Z</c:v>
                </c:pt>
                <c:pt idx="833">
                  <c:v>2026-02-04T08:00:00.000Z</c:v>
                </c:pt>
                <c:pt idx="834">
                  <c:v>2026-02-04T08:15:00.000Z</c:v>
                </c:pt>
                <c:pt idx="835">
                  <c:v>2026-02-04T08:30:00.000Z</c:v>
                </c:pt>
                <c:pt idx="836">
                  <c:v>2026-02-04T08:45:00.000Z</c:v>
                </c:pt>
                <c:pt idx="837">
                  <c:v>2026-02-04T09:00:00.000Z</c:v>
                </c:pt>
                <c:pt idx="838">
                  <c:v>2026-02-04T09:15:00.000Z</c:v>
                </c:pt>
                <c:pt idx="839">
                  <c:v>2026-02-04T09:30:00.000Z</c:v>
                </c:pt>
                <c:pt idx="840">
                  <c:v>2026-02-04T09:45:00.000Z</c:v>
                </c:pt>
                <c:pt idx="841">
                  <c:v>2026-02-04T10:00:00.000Z</c:v>
                </c:pt>
                <c:pt idx="842">
                  <c:v>2026-02-04T10:15:00.000Z</c:v>
                </c:pt>
                <c:pt idx="843">
                  <c:v>2026-02-04T10:30:00.000Z</c:v>
                </c:pt>
                <c:pt idx="844">
                  <c:v>2026-02-04T10:45:00.000Z</c:v>
                </c:pt>
                <c:pt idx="845">
                  <c:v>2026-02-04T11:00:00.000Z</c:v>
                </c:pt>
                <c:pt idx="846">
                  <c:v>2026-02-04T11:15:00.000Z</c:v>
                </c:pt>
                <c:pt idx="847">
                  <c:v>2026-02-04T11:30:00.000Z</c:v>
                </c:pt>
                <c:pt idx="848">
                  <c:v>2026-02-04T11:45:00.000Z</c:v>
                </c:pt>
                <c:pt idx="849">
                  <c:v>2026-02-04T12:00:00.000Z</c:v>
                </c:pt>
                <c:pt idx="850">
                  <c:v>2026-02-04T12:15:00.000Z</c:v>
                </c:pt>
                <c:pt idx="851">
                  <c:v>2026-02-04T12:30:00.000Z</c:v>
                </c:pt>
                <c:pt idx="852">
                  <c:v>2026-02-04T12:45:00.000Z</c:v>
                </c:pt>
                <c:pt idx="853">
                  <c:v>2026-02-04T13:00:00.000Z</c:v>
                </c:pt>
                <c:pt idx="854">
                  <c:v>2026-02-04T13:15:00.000Z</c:v>
                </c:pt>
                <c:pt idx="855">
                  <c:v>2026-02-04T13:30:00.000Z</c:v>
                </c:pt>
                <c:pt idx="856">
                  <c:v>2026-02-04T13:45:00.000Z</c:v>
                </c:pt>
                <c:pt idx="857">
                  <c:v>2026-02-04T14:00:00.000Z</c:v>
                </c:pt>
                <c:pt idx="858">
                  <c:v>2026-02-04T14:15:00.000Z</c:v>
                </c:pt>
                <c:pt idx="859">
                  <c:v>2026-02-04T14:30:00.000Z</c:v>
                </c:pt>
                <c:pt idx="860">
                  <c:v>2026-02-04T14:45:00.000Z</c:v>
                </c:pt>
                <c:pt idx="861">
                  <c:v>2026-02-04T15:00:00.000Z</c:v>
                </c:pt>
                <c:pt idx="862">
                  <c:v>2026-02-04T15:15:00.000Z</c:v>
                </c:pt>
                <c:pt idx="863">
                  <c:v>2026-02-04T15:30:00.000Z</c:v>
                </c:pt>
                <c:pt idx="864">
                  <c:v>2026-02-04T15:45:00.000Z</c:v>
                </c:pt>
                <c:pt idx="865">
                  <c:v>2026-02-04T16:00:00.000Z</c:v>
                </c:pt>
                <c:pt idx="866">
                  <c:v>2026-02-04T16:15:00.000Z</c:v>
                </c:pt>
                <c:pt idx="867">
                  <c:v>2026-02-04T16:30:00.000Z</c:v>
                </c:pt>
                <c:pt idx="868">
                  <c:v>2026-02-04T16:45:00.000Z</c:v>
                </c:pt>
                <c:pt idx="869">
                  <c:v>2026-02-04T17:00:00.000Z</c:v>
                </c:pt>
                <c:pt idx="870">
                  <c:v>2026-02-04T17:15:00.000Z</c:v>
                </c:pt>
                <c:pt idx="871">
                  <c:v>2026-02-04T17:30:00.000Z</c:v>
                </c:pt>
                <c:pt idx="872">
                  <c:v>2026-02-04T17:45:00.000Z</c:v>
                </c:pt>
                <c:pt idx="873">
                  <c:v>2026-02-04T18:00:00.000Z</c:v>
                </c:pt>
                <c:pt idx="874">
                  <c:v>2026-02-04T18:15:00.000Z</c:v>
                </c:pt>
                <c:pt idx="875">
                  <c:v>2026-02-04T18:30:00.000Z</c:v>
                </c:pt>
                <c:pt idx="876">
                  <c:v>2026-02-04T18:45:00.000Z</c:v>
                </c:pt>
                <c:pt idx="877">
                  <c:v>2026-02-04T19:00:00.000Z</c:v>
                </c:pt>
                <c:pt idx="878">
                  <c:v>2026-02-04T19:15:00.000Z</c:v>
                </c:pt>
                <c:pt idx="879">
                  <c:v>2026-02-04T19:30:00.000Z</c:v>
                </c:pt>
                <c:pt idx="880">
                  <c:v>2026-02-04T19:45:00.000Z</c:v>
                </c:pt>
                <c:pt idx="881">
                  <c:v>2026-02-04T20:00:00.000Z</c:v>
                </c:pt>
                <c:pt idx="882">
                  <c:v>2026-02-04T20:15:00.000Z</c:v>
                </c:pt>
                <c:pt idx="883">
                  <c:v>2026-02-04T20:30:00.000Z</c:v>
                </c:pt>
                <c:pt idx="884">
                  <c:v>2026-02-04T20:45:00.000Z</c:v>
                </c:pt>
                <c:pt idx="885">
                  <c:v>2026-02-04T21:00:00.000Z</c:v>
                </c:pt>
                <c:pt idx="886">
                  <c:v>2026-02-04T21:15:00.000Z</c:v>
                </c:pt>
                <c:pt idx="887">
                  <c:v>2026-02-04T21:30:00.000Z</c:v>
                </c:pt>
                <c:pt idx="888">
                  <c:v>2026-02-04T21:45:00.000Z</c:v>
                </c:pt>
                <c:pt idx="889">
                  <c:v>2026-02-04T22:00:00.000Z</c:v>
                </c:pt>
                <c:pt idx="890">
                  <c:v>2026-02-04T22:15:00.000Z</c:v>
                </c:pt>
                <c:pt idx="891">
                  <c:v>2026-02-04T22:30:00.000Z</c:v>
                </c:pt>
                <c:pt idx="892">
                  <c:v>2026-02-04T22:45:00.000Z</c:v>
                </c:pt>
                <c:pt idx="893">
                  <c:v>2026-02-04T23:00:00.000Z</c:v>
                </c:pt>
                <c:pt idx="894">
                  <c:v>2026-02-04T23:15:00.000Z</c:v>
                </c:pt>
                <c:pt idx="895">
                  <c:v>2026-02-04T23:30:00.000Z</c:v>
                </c:pt>
                <c:pt idx="896">
                  <c:v>2026-02-04T23:45:00.000Z</c:v>
                </c:pt>
                <c:pt idx="897">
                  <c:v>2026-02-05T00:00:00.000Z</c:v>
                </c:pt>
                <c:pt idx="898">
                  <c:v>2026-02-05T00:15:00.000Z</c:v>
                </c:pt>
                <c:pt idx="899">
                  <c:v>2026-02-05T00:30:00.000Z</c:v>
                </c:pt>
                <c:pt idx="900">
                  <c:v>2026-02-05T00:45:00.000Z</c:v>
                </c:pt>
                <c:pt idx="901">
                  <c:v>2026-02-05T01:00:00.000Z</c:v>
                </c:pt>
                <c:pt idx="902">
                  <c:v>2026-02-05T01:15:00.000Z</c:v>
                </c:pt>
                <c:pt idx="903">
                  <c:v>2026-02-05T01:30:00.000Z</c:v>
                </c:pt>
                <c:pt idx="904">
                  <c:v>2026-02-05T01:45:00.000Z</c:v>
                </c:pt>
                <c:pt idx="905">
                  <c:v>2026-02-05T02:00:00.000Z</c:v>
                </c:pt>
                <c:pt idx="906">
                  <c:v>2026-02-05T02:15:00.000Z</c:v>
                </c:pt>
                <c:pt idx="907">
                  <c:v>2026-02-05T02:30:00.000Z</c:v>
                </c:pt>
                <c:pt idx="908">
                  <c:v>2026-02-05T02:45:00.000Z</c:v>
                </c:pt>
                <c:pt idx="909">
                  <c:v>2026-02-05T03:00:00.000Z</c:v>
                </c:pt>
                <c:pt idx="910">
                  <c:v>2026-02-05T03:15:00.000Z</c:v>
                </c:pt>
                <c:pt idx="911">
                  <c:v>2026-02-05T03:30:00.000Z</c:v>
                </c:pt>
                <c:pt idx="912">
                  <c:v>2026-02-05T03:45:00.000Z</c:v>
                </c:pt>
                <c:pt idx="913">
                  <c:v>2026-02-05T04:00:00.000Z</c:v>
                </c:pt>
                <c:pt idx="914">
                  <c:v>2026-02-05T04:15:00.000Z</c:v>
                </c:pt>
                <c:pt idx="915">
                  <c:v>2026-02-05T04:30:00.000Z</c:v>
                </c:pt>
                <c:pt idx="916">
                  <c:v>2026-02-05T04:45:00.000Z</c:v>
                </c:pt>
                <c:pt idx="917">
                  <c:v>2026-02-05T05:00:00.000Z</c:v>
                </c:pt>
                <c:pt idx="918">
                  <c:v>2026-02-05T05:15:00.000Z</c:v>
                </c:pt>
                <c:pt idx="919">
                  <c:v>2026-02-05T05:30:00.000Z</c:v>
                </c:pt>
                <c:pt idx="920">
                  <c:v>2026-02-05T05:45:00.000Z</c:v>
                </c:pt>
                <c:pt idx="921">
                  <c:v>2026-02-05T06:00:00.000Z</c:v>
                </c:pt>
                <c:pt idx="922">
                  <c:v>2026-02-05T06:15:00.000Z</c:v>
                </c:pt>
                <c:pt idx="923">
                  <c:v>2026-02-05T06:30:00.000Z</c:v>
                </c:pt>
                <c:pt idx="924">
                  <c:v>2026-02-05T06:45:00.000Z</c:v>
                </c:pt>
                <c:pt idx="925">
                  <c:v>2026-02-05T07:00:00.000Z</c:v>
                </c:pt>
                <c:pt idx="926">
                  <c:v>2026-02-05T07:15:00.000Z</c:v>
                </c:pt>
                <c:pt idx="927">
                  <c:v>2026-02-05T07:30:00.000Z</c:v>
                </c:pt>
                <c:pt idx="928">
                  <c:v>2026-02-05T07:45:00.000Z</c:v>
                </c:pt>
                <c:pt idx="929">
                  <c:v>2026-02-05T08:00:00.000Z</c:v>
                </c:pt>
                <c:pt idx="930">
                  <c:v>2026-02-05T08:15:00.000Z</c:v>
                </c:pt>
                <c:pt idx="931">
                  <c:v>2026-02-05T08:30:00.000Z</c:v>
                </c:pt>
                <c:pt idx="932">
                  <c:v>2026-02-05T08:45:00.000Z</c:v>
                </c:pt>
                <c:pt idx="933">
                  <c:v>2026-02-05T09:00:00.000Z</c:v>
                </c:pt>
                <c:pt idx="934">
                  <c:v>2026-02-05T09:15:00.000Z</c:v>
                </c:pt>
                <c:pt idx="935">
                  <c:v>2026-02-05T09:30:00.000Z</c:v>
                </c:pt>
                <c:pt idx="936">
                  <c:v>2026-02-05T09:45:00.000Z</c:v>
                </c:pt>
                <c:pt idx="937">
                  <c:v>2026-02-05T10:00:00.000Z</c:v>
                </c:pt>
                <c:pt idx="938">
                  <c:v>2026-02-05T10:15:00.000Z</c:v>
                </c:pt>
                <c:pt idx="939">
                  <c:v>2026-02-05T10:30:00.000Z</c:v>
                </c:pt>
                <c:pt idx="940">
                  <c:v>2026-02-05T10:45:00.000Z</c:v>
                </c:pt>
                <c:pt idx="941">
                  <c:v>2026-02-05T11:00:00.000Z</c:v>
                </c:pt>
                <c:pt idx="942">
                  <c:v>2026-02-05T11:15:00.000Z</c:v>
                </c:pt>
                <c:pt idx="943">
                  <c:v>2026-02-05T11:30:00.000Z</c:v>
                </c:pt>
                <c:pt idx="944">
                  <c:v>2026-02-05T11:45:00.000Z</c:v>
                </c:pt>
                <c:pt idx="945">
                  <c:v>2026-02-05T12:00:00.000Z</c:v>
                </c:pt>
                <c:pt idx="946">
                  <c:v>2026-02-05T12:15:00.000Z</c:v>
                </c:pt>
                <c:pt idx="947">
                  <c:v>2026-02-05T12:30:00.000Z</c:v>
                </c:pt>
                <c:pt idx="948">
                  <c:v>2026-02-05T12:45:00.000Z</c:v>
                </c:pt>
                <c:pt idx="949">
                  <c:v>2026-02-05T13:00:00.000Z</c:v>
                </c:pt>
                <c:pt idx="950">
                  <c:v>2026-02-05T13:15:00.000Z</c:v>
                </c:pt>
                <c:pt idx="951">
                  <c:v>2026-02-05T13:30:00.000Z</c:v>
                </c:pt>
                <c:pt idx="952">
                  <c:v>2026-02-05T13:45:00.000Z</c:v>
                </c:pt>
                <c:pt idx="953">
                  <c:v>2026-02-05T14:00:00.000Z</c:v>
                </c:pt>
                <c:pt idx="954">
                  <c:v>2026-02-05T14:15:00.000Z</c:v>
                </c:pt>
                <c:pt idx="955">
                  <c:v>2026-02-05T14:30:00.000Z</c:v>
                </c:pt>
                <c:pt idx="956">
                  <c:v>2026-02-05T14:45:00.000Z</c:v>
                </c:pt>
                <c:pt idx="957">
                  <c:v>2026-02-05T15:00:00.000Z</c:v>
                </c:pt>
                <c:pt idx="958">
                  <c:v>2026-02-05T15:15:00.000Z</c:v>
                </c:pt>
                <c:pt idx="959">
                  <c:v>2026-02-05T15:30:00.000Z</c:v>
                </c:pt>
                <c:pt idx="960">
                  <c:v>2026-02-05T15:45:00.000Z</c:v>
                </c:pt>
                <c:pt idx="961">
                  <c:v>2026-02-05T16:00:00.000Z</c:v>
                </c:pt>
                <c:pt idx="962">
                  <c:v>2026-02-05T16:15:00.000Z</c:v>
                </c:pt>
                <c:pt idx="963">
                  <c:v>2026-02-05T16:30:00.000Z</c:v>
                </c:pt>
                <c:pt idx="964">
                  <c:v>2026-02-05T16:45:00.000Z</c:v>
                </c:pt>
                <c:pt idx="965">
                  <c:v>2026-02-05T17:00:00.000Z</c:v>
                </c:pt>
                <c:pt idx="966">
                  <c:v>2026-02-05T17:15:00.000Z</c:v>
                </c:pt>
                <c:pt idx="967">
                  <c:v>2026-02-05T17:30:00.000Z</c:v>
                </c:pt>
                <c:pt idx="968">
                  <c:v>2026-02-05T17:45:00.000Z</c:v>
                </c:pt>
                <c:pt idx="969">
                  <c:v>2026-02-05T18:00:00.000Z</c:v>
                </c:pt>
                <c:pt idx="970">
                  <c:v>2026-02-05T18:15:00.000Z</c:v>
                </c:pt>
                <c:pt idx="971">
                  <c:v>2026-02-05T18:30:00.000Z</c:v>
                </c:pt>
                <c:pt idx="972">
                  <c:v>2026-02-05T18:45:00.000Z</c:v>
                </c:pt>
                <c:pt idx="973">
                  <c:v>2026-02-05T19:00:00.000Z</c:v>
                </c:pt>
                <c:pt idx="974">
                  <c:v>2026-02-05T19:15:00.000Z</c:v>
                </c:pt>
                <c:pt idx="975">
                  <c:v>2026-02-05T19:30:00.000Z</c:v>
                </c:pt>
                <c:pt idx="976">
                  <c:v>2026-02-05T19:45:00.000Z</c:v>
                </c:pt>
                <c:pt idx="977">
                  <c:v>2026-02-05T20:00:00.000Z</c:v>
                </c:pt>
                <c:pt idx="978">
                  <c:v>2026-02-05T20:15:00.000Z</c:v>
                </c:pt>
                <c:pt idx="979">
                  <c:v>2026-02-05T20:30:00.000Z</c:v>
                </c:pt>
                <c:pt idx="980">
                  <c:v>2026-02-05T20:45:00.000Z</c:v>
                </c:pt>
                <c:pt idx="981">
                  <c:v>2026-02-05T21:00:00.000Z</c:v>
                </c:pt>
                <c:pt idx="982">
                  <c:v>2026-02-05T21:15:00.000Z</c:v>
                </c:pt>
                <c:pt idx="983">
                  <c:v>2026-02-05T21:30:00.000Z</c:v>
                </c:pt>
                <c:pt idx="984">
                  <c:v>2026-02-05T21:45:00.000Z</c:v>
                </c:pt>
                <c:pt idx="985">
                  <c:v>2026-02-05T22:00:00.000Z</c:v>
                </c:pt>
                <c:pt idx="986">
                  <c:v>2026-02-05T22:15:00.000Z</c:v>
                </c:pt>
                <c:pt idx="987">
                  <c:v>2026-02-05T22:30:00.000Z</c:v>
                </c:pt>
                <c:pt idx="988">
                  <c:v>2026-02-05T22:45:00.000Z</c:v>
                </c:pt>
                <c:pt idx="989">
                  <c:v>2026-02-05T23:00:00.000Z</c:v>
                </c:pt>
                <c:pt idx="990">
                  <c:v>2026-02-05T23:15:00.000Z</c:v>
                </c:pt>
                <c:pt idx="991">
                  <c:v>2026-02-05T23:30:00.000Z</c:v>
                </c:pt>
                <c:pt idx="992">
                  <c:v>2026-02-05T23:45:00.000Z</c:v>
                </c:pt>
                <c:pt idx="993">
                  <c:v>2026-02-06T00:00:00.000Z</c:v>
                </c:pt>
                <c:pt idx="994">
                  <c:v>2026-02-06T00:15:00.000Z</c:v>
                </c:pt>
                <c:pt idx="995">
                  <c:v>2026-02-06T00:30:00.000Z</c:v>
                </c:pt>
                <c:pt idx="996">
                  <c:v>2026-02-06T00:45:00.000Z</c:v>
                </c:pt>
                <c:pt idx="997">
                  <c:v>2026-02-06T01:00:00.000Z</c:v>
                </c:pt>
                <c:pt idx="998">
                  <c:v>2026-02-06T01:15:00.000Z</c:v>
                </c:pt>
                <c:pt idx="999">
                  <c:v>2026-02-06T01:30:00.000Z</c:v>
                </c:pt>
                <c:pt idx="1000">
                  <c:v>2026-02-06T01:45:00.000Z</c:v>
                </c:pt>
                <c:pt idx="1001">
                  <c:v>2026-02-06T02:00:00.000Z</c:v>
                </c:pt>
                <c:pt idx="1002">
                  <c:v>2026-02-06T02:15:00.000Z</c:v>
                </c:pt>
                <c:pt idx="1003">
                  <c:v>2026-02-06T02:30:00.000Z</c:v>
                </c:pt>
                <c:pt idx="1004">
                  <c:v>2026-02-06T02:45:00.000Z</c:v>
                </c:pt>
                <c:pt idx="1005">
                  <c:v>2026-02-06T03:00:00.000Z</c:v>
                </c:pt>
                <c:pt idx="1006">
                  <c:v>2026-02-06T03:15:00.000Z</c:v>
                </c:pt>
                <c:pt idx="1007">
                  <c:v>2026-02-06T03:30:00.000Z</c:v>
                </c:pt>
                <c:pt idx="1008">
                  <c:v>2026-02-06T03:45:00.000Z</c:v>
                </c:pt>
                <c:pt idx="1009">
                  <c:v>2026-02-06T04:00:00.000Z</c:v>
                </c:pt>
                <c:pt idx="1010">
                  <c:v>2026-02-06T04:15:00.000Z</c:v>
                </c:pt>
                <c:pt idx="1011">
                  <c:v>2026-02-06T04:30:00.000Z</c:v>
                </c:pt>
                <c:pt idx="1012">
                  <c:v>2026-02-06T04:45:00.000Z</c:v>
                </c:pt>
                <c:pt idx="1013">
                  <c:v>2026-02-06T05:00:00.000Z</c:v>
                </c:pt>
                <c:pt idx="1014">
                  <c:v>2026-02-06T05:15:00.000Z</c:v>
                </c:pt>
                <c:pt idx="1015">
                  <c:v>2026-02-06T05:30:00.000Z</c:v>
                </c:pt>
                <c:pt idx="1016">
                  <c:v>2026-02-06T05:45:00.000Z</c:v>
                </c:pt>
                <c:pt idx="1017">
                  <c:v>2026-02-06T06:00:00.000Z</c:v>
                </c:pt>
                <c:pt idx="1018">
                  <c:v>2026-02-06T06:15:00.000Z</c:v>
                </c:pt>
                <c:pt idx="1019">
                  <c:v>2026-02-06T06:30:00.000Z</c:v>
                </c:pt>
                <c:pt idx="1020">
                  <c:v>2026-02-06T06:45:00.000Z</c:v>
                </c:pt>
                <c:pt idx="1021">
                  <c:v>2026-02-06T07:00:00.000Z</c:v>
                </c:pt>
                <c:pt idx="1022">
                  <c:v>2026-02-06T07:15:00.000Z</c:v>
                </c:pt>
                <c:pt idx="1023">
                  <c:v>2026-02-06T07:30:00.000Z</c:v>
                </c:pt>
                <c:pt idx="1024">
                  <c:v>2026-02-06T07:45:00.000Z</c:v>
                </c:pt>
                <c:pt idx="1025">
                  <c:v>2026-02-06T08:00:00.000Z</c:v>
                </c:pt>
                <c:pt idx="1026">
                  <c:v>2026-02-06T08:15:00.000Z</c:v>
                </c:pt>
                <c:pt idx="1027">
                  <c:v>2026-02-06T08:30:00.000Z</c:v>
                </c:pt>
                <c:pt idx="1028">
                  <c:v>2026-02-06T08:45:00.000Z</c:v>
                </c:pt>
                <c:pt idx="1029">
                  <c:v>2026-02-06T09:00:00.000Z</c:v>
                </c:pt>
                <c:pt idx="1030">
                  <c:v>2026-02-06T09:15:00.000Z</c:v>
                </c:pt>
                <c:pt idx="1031">
                  <c:v>2026-02-06T09:30:00.000Z</c:v>
                </c:pt>
                <c:pt idx="1032">
                  <c:v>2026-02-06T09:45:00.000Z</c:v>
                </c:pt>
                <c:pt idx="1033">
                  <c:v>2026-02-06T10:00:00.000Z</c:v>
                </c:pt>
                <c:pt idx="1034">
                  <c:v>2026-02-06T10:15:00.000Z</c:v>
                </c:pt>
                <c:pt idx="1035">
                  <c:v>2026-02-06T10:30:00.000Z</c:v>
                </c:pt>
                <c:pt idx="1036">
                  <c:v>2026-02-06T10:45:00.000Z</c:v>
                </c:pt>
                <c:pt idx="1037">
                  <c:v>2026-02-06T11:00:00.000Z</c:v>
                </c:pt>
                <c:pt idx="1038">
                  <c:v>2026-02-06T11:15:00.000Z</c:v>
                </c:pt>
                <c:pt idx="1039">
                  <c:v>2026-02-06T11:30:00.000Z</c:v>
                </c:pt>
                <c:pt idx="1040">
                  <c:v>2026-02-06T11:45:00.000Z</c:v>
                </c:pt>
                <c:pt idx="1041">
                  <c:v>2026-02-06T12:00:00.000Z</c:v>
                </c:pt>
                <c:pt idx="1042">
                  <c:v>2026-02-06T12:15:00.000Z</c:v>
                </c:pt>
                <c:pt idx="1043">
                  <c:v>2026-02-06T12:30:00.000Z</c:v>
                </c:pt>
                <c:pt idx="1044">
                  <c:v>2026-02-06T12:45:00.000Z</c:v>
                </c:pt>
                <c:pt idx="1045">
                  <c:v>2026-02-06T13:00:00.000Z</c:v>
                </c:pt>
              </c:strCache>
            </c:strRef>
          </c:xVal>
          <c:yVal>
            <c:numRef>
              <c:f>'nebuleair_export (1)'!$D:$D</c:f>
              <c:numCache>
                <c:formatCode>General</c:formatCode>
                <c:ptCount val="1048576"/>
                <c:pt idx="0">
                  <c:v>0</c:v>
                </c:pt>
                <c:pt idx="1">
                  <c:v>3.8233333333333301</c:v>
                </c:pt>
                <c:pt idx="2">
                  <c:v>4.8966666666666603</c:v>
                </c:pt>
                <c:pt idx="3">
                  <c:v>2.86666666666666</c:v>
                </c:pt>
                <c:pt idx="4">
                  <c:v>2.7566666666666602</c:v>
                </c:pt>
                <c:pt idx="5">
                  <c:v>2.6533333333333302</c:v>
                </c:pt>
                <c:pt idx="6">
                  <c:v>4.1366666666666596</c:v>
                </c:pt>
                <c:pt idx="7">
                  <c:v>4.2033333333333296</c:v>
                </c:pt>
                <c:pt idx="8">
                  <c:v>5.45</c:v>
                </c:pt>
                <c:pt idx="9">
                  <c:v>6.3066666666666604</c:v>
                </c:pt>
                <c:pt idx="10">
                  <c:v>4.7633333333333301</c:v>
                </c:pt>
                <c:pt idx="11">
                  <c:v>4.72</c:v>
                </c:pt>
                <c:pt idx="12">
                  <c:v>4.7</c:v>
                </c:pt>
                <c:pt idx="13">
                  <c:v>4.9366666666666603</c:v>
                </c:pt>
                <c:pt idx="14">
                  <c:v>7.39333333333333</c:v>
                </c:pt>
                <c:pt idx="15">
                  <c:v>8.18333333333333</c:v>
                </c:pt>
                <c:pt idx="16">
                  <c:v>5.8233333333333297</c:v>
                </c:pt>
                <c:pt idx="17">
                  <c:v>17.716666666666601</c:v>
                </c:pt>
                <c:pt idx="18">
                  <c:v>22.093333333333302</c:v>
                </c:pt>
                <c:pt idx="19">
                  <c:v>25.266666666666602</c:v>
                </c:pt>
                <c:pt idx="20">
                  <c:v>22.893333333333299</c:v>
                </c:pt>
                <c:pt idx="21">
                  <c:v>23.399999999999899</c:v>
                </c:pt>
                <c:pt idx="22">
                  <c:v>14.55</c:v>
                </c:pt>
                <c:pt idx="23">
                  <c:v>18.259999999999899</c:v>
                </c:pt>
                <c:pt idx="24">
                  <c:v>21.759999999999899</c:v>
                </c:pt>
                <c:pt idx="25">
                  <c:v>20.973333333333301</c:v>
                </c:pt>
                <c:pt idx="26">
                  <c:v>20.523333333333301</c:v>
                </c:pt>
                <c:pt idx="27">
                  <c:v>21.033333333333299</c:v>
                </c:pt>
                <c:pt idx="28">
                  <c:v>23.336666666666599</c:v>
                </c:pt>
                <c:pt idx="29">
                  <c:v>16.633333333333301</c:v>
                </c:pt>
                <c:pt idx="30">
                  <c:v>20.806666666666601</c:v>
                </c:pt>
                <c:pt idx="31">
                  <c:v>16.309999999999999</c:v>
                </c:pt>
                <c:pt idx="32">
                  <c:v>17.48</c:v>
                </c:pt>
                <c:pt idx="33">
                  <c:v>11.2899999999999</c:v>
                </c:pt>
                <c:pt idx="34">
                  <c:v>8.7966666666666598</c:v>
                </c:pt>
                <c:pt idx="35">
                  <c:v>11.713333333333299</c:v>
                </c:pt>
                <c:pt idx="36">
                  <c:v>11.063333333333301</c:v>
                </c:pt>
                <c:pt idx="37">
                  <c:v>10.2866666666666</c:v>
                </c:pt>
                <c:pt idx="38">
                  <c:v>10.386666666666599</c:v>
                </c:pt>
                <c:pt idx="39">
                  <c:v>7.5966666666666596</c:v>
                </c:pt>
                <c:pt idx="40">
                  <c:v>6.4866666666666601</c:v>
                </c:pt>
                <c:pt idx="41">
                  <c:v>6.1133333333333297</c:v>
                </c:pt>
                <c:pt idx="42">
                  <c:v>4.0033333333333303</c:v>
                </c:pt>
                <c:pt idx="43">
                  <c:v>4.8599999999999897</c:v>
                </c:pt>
                <c:pt idx="44">
                  <c:v>5.6266666666666598</c:v>
                </c:pt>
                <c:pt idx="45">
                  <c:v>4.2633333333333301</c:v>
                </c:pt>
                <c:pt idx="46">
                  <c:v>3.43333333333333</c:v>
                </c:pt>
                <c:pt idx="47">
                  <c:v>2.8366666666666598</c:v>
                </c:pt>
                <c:pt idx="48">
                  <c:v>2.6366666666666601</c:v>
                </c:pt>
                <c:pt idx="49">
                  <c:v>3.69</c:v>
                </c:pt>
                <c:pt idx="50">
                  <c:v>3.53</c:v>
                </c:pt>
                <c:pt idx="51">
                  <c:v>4.4799999999999898</c:v>
                </c:pt>
                <c:pt idx="52">
                  <c:v>3.9766666666666599</c:v>
                </c:pt>
                <c:pt idx="53">
                  <c:v>3.58</c:v>
                </c:pt>
                <c:pt idx="54">
                  <c:v>4.88</c:v>
                </c:pt>
                <c:pt idx="55">
                  <c:v>4.7066666666666599</c:v>
                </c:pt>
                <c:pt idx="56">
                  <c:v>5.0566666666666604</c:v>
                </c:pt>
                <c:pt idx="57">
                  <c:v>5.7999999999999901</c:v>
                </c:pt>
                <c:pt idx="58">
                  <c:v>6.1366666666666596</c:v>
                </c:pt>
                <c:pt idx="59">
                  <c:v>6.8966666666666603</c:v>
                </c:pt>
                <c:pt idx="60">
                  <c:v>4.6633333333333304</c:v>
                </c:pt>
                <c:pt idx="61">
                  <c:v>5.2366666666666601</c:v>
                </c:pt>
                <c:pt idx="62">
                  <c:v>4.6299999999999901</c:v>
                </c:pt>
                <c:pt idx="63">
                  <c:v>5.39333333333333</c:v>
                </c:pt>
                <c:pt idx="64">
                  <c:v>4.58</c:v>
                </c:pt>
                <c:pt idx="65">
                  <c:v>4.5166666666666604</c:v>
                </c:pt>
                <c:pt idx="66">
                  <c:v>4.0433333333333303</c:v>
                </c:pt>
                <c:pt idx="67">
                  <c:v>2.46999999999999</c:v>
                </c:pt>
                <c:pt idx="68">
                  <c:v>1.9099999999999899</c:v>
                </c:pt>
                <c:pt idx="69">
                  <c:v>2.3633333333333302</c:v>
                </c:pt>
                <c:pt idx="70">
                  <c:v>2.0699999999999998</c:v>
                </c:pt>
                <c:pt idx="71">
                  <c:v>2.2533333333333299</c:v>
                </c:pt>
                <c:pt idx="72">
                  <c:v>1.92</c:v>
                </c:pt>
                <c:pt idx="73">
                  <c:v>1.9366666666666601</c:v>
                </c:pt>
                <c:pt idx="74">
                  <c:v>2.5833333333333299</c:v>
                </c:pt>
                <c:pt idx="75">
                  <c:v>3.39333333333333</c:v>
                </c:pt>
                <c:pt idx="76">
                  <c:v>3.2633333333333301</c:v>
                </c:pt>
                <c:pt idx="77">
                  <c:v>4.0299999999999896</c:v>
                </c:pt>
                <c:pt idx="78">
                  <c:v>4.47</c:v>
                </c:pt>
                <c:pt idx="79">
                  <c:v>6.6266666666666598</c:v>
                </c:pt>
                <c:pt idx="80">
                  <c:v>5.53</c:v>
                </c:pt>
                <c:pt idx="81">
                  <c:v>6.4433333333333298</c:v>
                </c:pt>
                <c:pt idx="82">
                  <c:v>8.2566666666666606</c:v>
                </c:pt>
                <c:pt idx="83">
                  <c:v>10.886666666666599</c:v>
                </c:pt>
                <c:pt idx="84">
                  <c:v>15.046666666666599</c:v>
                </c:pt>
                <c:pt idx="85">
                  <c:v>15.3266666666666</c:v>
                </c:pt>
                <c:pt idx="86">
                  <c:v>14.569999999999901</c:v>
                </c:pt>
                <c:pt idx="87">
                  <c:v>15.06</c:v>
                </c:pt>
                <c:pt idx="88">
                  <c:v>15.969999999999899</c:v>
                </c:pt>
                <c:pt idx="89">
                  <c:v>19.2</c:v>
                </c:pt>
                <c:pt idx="90">
                  <c:v>15.803333333333301</c:v>
                </c:pt>
                <c:pt idx="91">
                  <c:v>18.1666666666666</c:v>
                </c:pt>
                <c:pt idx="92">
                  <c:v>22.13</c:v>
                </c:pt>
                <c:pt idx="93">
                  <c:v>22.02</c:v>
                </c:pt>
                <c:pt idx="94">
                  <c:v>20.6033333333333</c:v>
                </c:pt>
                <c:pt idx="95">
                  <c:v>21.063333333333301</c:v>
                </c:pt>
                <c:pt idx="96">
                  <c:v>21</c:v>
                </c:pt>
                <c:pt idx="97">
                  <c:v>18.100000000000001</c:v>
                </c:pt>
                <c:pt idx="98">
                  <c:v>17.703333333333301</c:v>
                </c:pt>
                <c:pt idx="99">
                  <c:v>19.553333333333299</c:v>
                </c:pt>
                <c:pt idx="100">
                  <c:v>20.303333333333299</c:v>
                </c:pt>
                <c:pt idx="101">
                  <c:v>18.023333333333301</c:v>
                </c:pt>
                <c:pt idx="102">
                  <c:v>18.329999999999998</c:v>
                </c:pt>
                <c:pt idx="103">
                  <c:v>19.226666666666599</c:v>
                </c:pt>
                <c:pt idx="104">
                  <c:v>19.036666666666601</c:v>
                </c:pt>
                <c:pt idx="105">
                  <c:v>17.399999999999899</c:v>
                </c:pt>
                <c:pt idx="106">
                  <c:v>16.496666666666599</c:v>
                </c:pt>
                <c:pt idx="107">
                  <c:v>15.1933333333333</c:v>
                </c:pt>
                <c:pt idx="108">
                  <c:v>13.3499999999999</c:v>
                </c:pt>
                <c:pt idx="109">
                  <c:v>13.229999999999899</c:v>
                </c:pt>
                <c:pt idx="110">
                  <c:v>14.3793103448275</c:v>
                </c:pt>
                <c:pt idx="111">
                  <c:v>11.5233333333333</c:v>
                </c:pt>
                <c:pt idx="112">
                  <c:v>8.73</c:v>
                </c:pt>
                <c:pt idx="113">
                  <c:v>9.1482758620689602</c:v>
                </c:pt>
                <c:pt idx="114">
                  <c:v>11.1903225806451</c:v>
                </c:pt>
                <c:pt idx="115">
                  <c:v>10.486666666666601</c:v>
                </c:pt>
                <c:pt idx="116">
                  <c:v>11.5766666666666</c:v>
                </c:pt>
                <c:pt idx="117">
                  <c:v>11.203333333333299</c:v>
                </c:pt>
                <c:pt idx="118">
                  <c:v>7.9099999999999904</c:v>
                </c:pt>
                <c:pt idx="119">
                  <c:v>7.9066666666666601</c:v>
                </c:pt>
                <c:pt idx="120">
                  <c:v>6.7966666666666598</c:v>
                </c:pt>
                <c:pt idx="121">
                  <c:v>6.59</c:v>
                </c:pt>
                <c:pt idx="122">
                  <c:v>5.26</c:v>
                </c:pt>
                <c:pt idx="123">
                  <c:v>6.2266666666666604</c:v>
                </c:pt>
                <c:pt idx="124">
                  <c:v>6.3466666666666596</c:v>
                </c:pt>
                <c:pt idx="125">
                  <c:v>6.7933333333333303</c:v>
                </c:pt>
                <c:pt idx="126">
                  <c:v>6.0233333333333299</c:v>
                </c:pt>
                <c:pt idx="127">
                  <c:v>10.316666666666601</c:v>
                </c:pt>
                <c:pt idx="128">
                  <c:v>6.8533333333333299</c:v>
                </c:pt>
                <c:pt idx="129">
                  <c:v>6.3366666666666598</c:v>
                </c:pt>
                <c:pt idx="130">
                  <c:v>5.93</c:v>
                </c:pt>
                <c:pt idx="131">
                  <c:v>7.5499999999999901</c:v>
                </c:pt>
                <c:pt idx="132">
                  <c:v>6.2966666666666598</c:v>
                </c:pt>
                <c:pt idx="133">
                  <c:v>5.7033333333333296</c:v>
                </c:pt>
                <c:pt idx="134">
                  <c:v>3.78</c:v>
                </c:pt>
                <c:pt idx="135">
                  <c:v>2.7133333333333298</c:v>
                </c:pt>
                <c:pt idx="136">
                  <c:v>2.1766666666666601</c:v>
                </c:pt>
                <c:pt idx="137">
                  <c:v>1.46</c:v>
                </c:pt>
                <c:pt idx="138">
                  <c:v>2.6766666666666601</c:v>
                </c:pt>
                <c:pt idx="139">
                  <c:v>3.36666666666666</c:v>
                </c:pt>
                <c:pt idx="140">
                  <c:v>3.8966666666666598</c:v>
                </c:pt>
                <c:pt idx="141">
                  <c:v>1.17</c:v>
                </c:pt>
                <c:pt idx="142">
                  <c:v>1.05666666666666</c:v>
                </c:pt>
                <c:pt idx="143">
                  <c:v>0.74666666666666603</c:v>
                </c:pt>
                <c:pt idx="144">
                  <c:v>0.87666666666666604</c:v>
                </c:pt>
                <c:pt idx="145">
                  <c:v>0.85666666666666602</c:v>
                </c:pt>
                <c:pt idx="146">
                  <c:v>0.62666666666666604</c:v>
                </c:pt>
                <c:pt idx="147">
                  <c:v>0.60333333333333306</c:v>
                </c:pt>
                <c:pt idx="148">
                  <c:v>0.58333333333333304</c:v>
                </c:pt>
                <c:pt idx="149">
                  <c:v>0.73</c:v>
                </c:pt>
                <c:pt idx="150">
                  <c:v>0.88666666666666605</c:v>
                </c:pt>
                <c:pt idx="151">
                  <c:v>0.61666666666666603</c:v>
                </c:pt>
                <c:pt idx="152">
                  <c:v>1.32</c:v>
                </c:pt>
                <c:pt idx="153">
                  <c:v>1.2066666666666599</c:v>
                </c:pt>
                <c:pt idx="154">
                  <c:v>1.4833333333333301</c:v>
                </c:pt>
                <c:pt idx="155">
                  <c:v>0.956666666666666</c:v>
                </c:pt>
                <c:pt idx="156">
                  <c:v>0.85333333333333306</c:v>
                </c:pt>
                <c:pt idx="157">
                  <c:v>2.2299999999999902</c:v>
                </c:pt>
                <c:pt idx="158">
                  <c:v>2.0033333333333299</c:v>
                </c:pt>
                <c:pt idx="159">
                  <c:v>1.09666666666666</c:v>
                </c:pt>
                <c:pt idx="160">
                  <c:v>1.19333333333333</c:v>
                </c:pt>
                <c:pt idx="161">
                  <c:v>1.0499999999999901</c:v>
                </c:pt>
                <c:pt idx="162">
                  <c:v>1.98</c:v>
                </c:pt>
                <c:pt idx="163">
                  <c:v>2.21</c:v>
                </c:pt>
                <c:pt idx="164">
                  <c:v>2.7833333333333301</c:v>
                </c:pt>
                <c:pt idx="165">
                  <c:v>2.87</c:v>
                </c:pt>
                <c:pt idx="166">
                  <c:v>3.89</c:v>
                </c:pt>
                <c:pt idx="167">
                  <c:v>3.1533333333333302</c:v>
                </c:pt>
                <c:pt idx="168">
                  <c:v>2.5066666666666602</c:v>
                </c:pt>
                <c:pt idx="169">
                  <c:v>2.9433333333333298</c:v>
                </c:pt>
                <c:pt idx="170">
                  <c:v>2.66</c:v>
                </c:pt>
                <c:pt idx="171">
                  <c:v>3.7633333333333301</c:v>
                </c:pt>
                <c:pt idx="172">
                  <c:v>2.6533333333333302</c:v>
                </c:pt>
                <c:pt idx="173">
                  <c:v>2.19</c:v>
                </c:pt>
                <c:pt idx="174">
                  <c:v>3.1866666666666599</c:v>
                </c:pt>
                <c:pt idx="175">
                  <c:v>3.8333333333333299</c:v>
                </c:pt>
                <c:pt idx="176">
                  <c:v>4.07666666666666</c:v>
                </c:pt>
                <c:pt idx="177">
                  <c:v>3.69</c:v>
                </c:pt>
                <c:pt idx="178">
                  <c:v>3.4933333333333301</c:v>
                </c:pt>
                <c:pt idx="179">
                  <c:v>3.26</c:v>
                </c:pt>
                <c:pt idx="180">
                  <c:v>2.8</c:v>
                </c:pt>
                <c:pt idx="181">
                  <c:v>4.18333333333333</c:v>
                </c:pt>
                <c:pt idx="182">
                  <c:v>2.6966666666666601</c:v>
                </c:pt>
                <c:pt idx="183">
                  <c:v>3.0833333333333299</c:v>
                </c:pt>
                <c:pt idx="184">
                  <c:v>1.65</c:v>
                </c:pt>
                <c:pt idx="185">
                  <c:v>1.75</c:v>
                </c:pt>
                <c:pt idx="186">
                  <c:v>3.7666666666666599</c:v>
                </c:pt>
                <c:pt idx="187">
                  <c:v>2.18333333333333</c:v>
                </c:pt>
                <c:pt idx="188">
                  <c:v>2.23</c:v>
                </c:pt>
                <c:pt idx="189">
                  <c:v>2.18333333333333</c:v>
                </c:pt>
                <c:pt idx="190">
                  <c:v>3.2299999999999902</c:v>
                </c:pt>
                <c:pt idx="191">
                  <c:v>2.2999999999999998</c:v>
                </c:pt>
                <c:pt idx="192">
                  <c:v>2.29</c:v>
                </c:pt>
                <c:pt idx="193">
                  <c:v>3.5</c:v>
                </c:pt>
                <c:pt idx="194">
                  <c:v>2.3333333333333299</c:v>
                </c:pt>
                <c:pt idx="195">
                  <c:v>2.02</c:v>
                </c:pt>
                <c:pt idx="196">
                  <c:v>2.9099999999999899</c:v>
                </c:pt>
                <c:pt idx="197">
                  <c:v>3.59666666666666</c:v>
                </c:pt>
                <c:pt idx="198">
                  <c:v>4.2233333333333301</c:v>
                </c:pt>
                <c:pt idx="199">
                  <c:v>4.7733333333333299</c:v>
                </c:pt>
                <c:pt idx="200">
                  <c:v>4.1966666666666601</c:v>
                </c:pt>
                <c:pt idx="201">
                  <c:v>4.9666666666666597</c:v>
                </c:pt>
                <c:pt idx="202">
                  <c:v>7.8733333333333304</c:v>
                </c:pt>
                <c:pt idx="203">
                  <c:v>4.78</c:v>
                </c:pt>
                <c:pt idx="204">
                  <c:v>6.76</c:v>
                </c:pt>
                <c:pt idx="205">
                  <c:v>5.7399999999999904</c:v>
                </c:pt>
                <c:pt idx="206">
                  <c:v>3.6466666666666598</c:v>
                </c:pt>
                <c:pt idx="207">
                  <c:v>3.3866666666666601</c:v>
                </c:pt>
                <c:pt idx="208">
                  <c:v>3.0133333333333301</c:v>
                </c:pt>
                <c:pt idx="209">
                  <c:v>5.6666666666666599</c:v>
                </c:pt>
                <c:pt idx="210">
                  <c:v>5.4799999999999898</c:v>
                </c:pt>
                <c:pt idx="211">
                  <c:v>5.8299999999999903</c:v>
                </c:pt>
                <c:pt idx="212">
                  <c:v>4.5733333333333297</c:v>
                </c:pt>
                <c:pt idx="213">
                  <c:v>5.18333333333333</c:v>
                </c:pt>
                <c:pt idx="214">
                  <c:v>3.45333333333333</c:v>
                </c:pt>
                <c:pt idx="215">
                  <c:v>3.89333333333333</c:v>
                </c:pt>
                <c:pt idx="216">
                  <c:v>4.92</c:v>
                </c:pt>
                <c:pt idx="217">
                  <c:v>3.52</c:v>
                </c:pt>
                <c:pt idx="218">
                  <c:v>3.6066666666666598</c:v>
                </c:pt>
                <c:pt idx="219">
                  <c:v>3.30666666666666</c:v>
                </c:pt>
                <c:pt idx="220">
                  <c:v>3.8333333333333299</c:v>
                </c:pt>
                <c:pt idx="221">
                  <c:v>4.6633333333333304</c:v>
                </c:pt>
                <c:pt idx="222">
                  <c:v>4.2033333333333296</c:v>
                </c:pt>
                <c:pt idx="223">
                  <c:v>2.8766666666666598</c:v>
                </c:pt>
                <c:pt idx="224">
                  <c:v>5.3566666666666602</c:v>
                </c:pt>
                <c:pt idx="225">
                  <c:v>3.62333333333333</c:v>
                </c:pt>
                <c:pt idx="226">
                  <c:v>3.1933333333333298</c:v>
                </c:pt>
                <c:pt idx="227">
                  <c:v>4.3566666666666602</c:v>
                </c:pt>
                <c:pt idx="228">
                  <c:v>5.83</c:v>
                </c:pt>
                <c:pt idx="229">
                  <c:v>4.4266666666666596</c:v>
                </c:pt>
                <c:pt idx="230">
                  <c:v>3.1399999999999899</c:v>
                </c:pt>
                <c:pt idx="231">
                  <c:v>3.9433333333333298</c:v>
                </c:pt>
                <c:pt idx="232">
                  <c:v>3.56</c:v>
                </c:pt>
                <c:pt idx="233">
                  <c:v>4.1266666666666598</c:v>
                </c:pt>
                <c:pt idx="234">
                  <c:v>6.3333333333333304</c:v>
                </c:pt>
                <c:pt idx="235">
                  <c:v>4.7633333333333301</c:v>
                </c:pt>
                <c:pt idx="236">
                  <c:v>6.6966666666666601</c:v>
                </c:pt>
                <c:pt idx="237">
                  <c:v>4.87</c:v>
                </c:pt>
                <c:pt idx="238">
                  <c:v>5.5033333333333303</c:v>
                </c:pt>
                <c:pt idx="239">
                  <c:v>5.0699999999999896</c:v>
                </c:pt>
                <c:pt idx="240">
                  <c:v>4.16</c:v>
                </c:pt>
                <c:pt idx="241">
                  <c:v>4.6899999999999897</c:v>
                </c:pt>
                <c:pt idx="242">
                  <c:v>4.0933333333333302</c:v>
                </c:pt>
                <c:pt idx="243">
                  <c:v>5.3599999999999897</c:v>
                </c:pt>
                <c:pt idx="244">
                  <c:v>4.4566666666666599</c:v>
                </c:pt>
                <c:pt idx="245">
                  <c:v>4.1933333333333298</c:v>
                </c:pt>
                <c:pt idx="246">
                  <c:v>5.57666666666666</c:v>
                </c:pt>
                <c:pt idx="247">
                  <c:v>4.76</c:v>
                </c:pt>
                <c:pt idx="248">
                  <c:v>4.75999999999999</c:v>
                </c:pt>
                <c:pt idx="249">
                  <c:v>5.0033333333333303</c:v>
                </c:pt>
                <c:pt idx="250">
                  <c:v>5.7333333333333298</c:v>
                </c:pt>
                <c:pt idx="251">
                  <c:v>4.3333333333333304</c:v>
                </c:pt>
                <c:pt idx="252">
                  <c:v>5.74</c:v>
                </c:pt>
                <c:pt idx="253">
                  <c:v>4.5166666666666604</c:v>
                </c:pt>
                <c:pt idx="254">
                  <c:v>5.0533333333333301</c:v>
                </c:pt>
                <c:pt idx="255">
                  <c:v>7.37</c:v>
                </c:pt>
                <c:pt idx="256">
                  <c:v>4.0733333333333297</c:v>
                </c:pt>
                <c:pt idx="257">
                  <c:v>5.3766666666666598</c:v>
                </c:pt>
                <c:pt idx="258">
                  <c:v>4.6133333333333297</c:v>
                </c:pt>
                <c:pt idx="259">
                  <c:v>5.51</c:v>
                </c:pt>
                <c:pt idx="260">
                  <c:v>5.0866666666666598</c:v>
                </c:pt>
                <c:pt idx="261">
                  <c:v>8.1733333333333302</c:v>
                </c:pt>
                <c:pt idx="262">
                  <c:v>6.2833333333333297</c:v>
                </c:pt>
                <c:pt idx="263">
                  <c:v>5.2066666666666599</c:v>
                </c:pt>
                <c:pt idx="264">
                  <c:v>5.46</c:v>
                </c:pt>
                <c:pt idx="265">
                  <c:v>4.92</c:v>
                </c:pt>
                <c:pt idx="266">
                  <c:v>6.5266666666666602</c:v>
                </c:pt>
                <c:pt idx="267">
                  <c:v>4.7733333333333299</c:v>
                </c:pt>
                <c:pt idx="268">
                  <c:v>4.86666666666666</c:v>
                </c:pt>
                <c:pt idx="269">
                  <c:v>4.0299999999999896</c:v>
                </c:pt>
                <c:pt idx="270">
                  <c:v>5.1133333333333297</c:v>
                </c:pt>
                <c:pt idx="271">
                  <c:v>4.07666666666666</c:v>
                </c:pt>
                <c:pt idx="272">
                  <c:v>5.94</c:v>
                </c:pt>
                <c:pt idx="273">
                  <c:v>5.0033333333333303</c:v>
                </c:pt>
                <c:pt idx="274">
                  <c:v>5.0199999999999898</c:v>
                </c:pt>
                <c:pt idx="275">
                  <c:v>5.2799999999999896</c:v>
                </c:pt>
                <c:pt idx="276">
                  <c:v>3.93333333333333</c:v>
                </c:pt>
                <c:pt idx="277">
                  <c:v>2.75</c:v>
                </c:pt>
                <c:pt idx="278">
                  <c:v>4.5666666666666602</c:v>
                </c:pt>
                <c:pt idx="279">
                  <c:v>3.31</c:v>
                </c:pt>
                <c:pt idx="280">
                  <c:v>4.2833333333333297</c:v>
                </c:pt>
                <c:pt idx="281">
                  <c:v>4.3366666666666598</c:v>
                </c:pt>
                <c:pt idx="282">
                  <c:v>2.56</c:v>
                </c:pt>
                <c:pt idx="283">
                  <c:v>3.0866666666666598</c:v>
                </c:pt>
                <c:pt idx="284">
                  <c:v>2.5533333333333301</c:v>
                </c:pt>
                <c:pt idx="285">
                  <c:v>3.7299999999999902</c:v>
                </c:pt>
                <c:pt idx="286">
                  <c:v>2.7766666666666602</c:v>
                </c:pt>
                <c:pt idx="287">
                  <c:v>4.7233333333333301</c:v>
                </c:pt>
                <c:pt idx="288">
                  <c:v>2.78666666666666</c:v>
                </c:pt>
                <c:pt idx="289">
                  <c:v>4.2899999999999903</c:v>
                </c:pt>
                <c:pt idx="290">
                  <c:v>4.0733333333333297</c:v>
                </c:pt>
                <c:pt idx="291">
                  <c:v>3.5233333333333299</c:v>
                </c:pt>
                <c:pt idx="292">
                  <c:v>5.19</c:v>
                </c:pt>
                <c:pt idx="293">
                  <c:v>4.9066666666666601</c:v>
                </c:pt>
                <c:pt idx="294">
                  <c:v>5.9633333333333303</c:v>
                </c:pt>
                <c:pt idx="295">
                  <c:v>5.85</c:v>
                </c:pt>
                <c:pt idx="296">
                  <c:v>4.3733333333333304</c:v>
                </c:pt>
                <c:pt idx="297">
                  <c:v>4.7666666666666604</c:v>
                </c:pt>
                <c:pt idx="298">
                  <c:v>4.1333333333333302</c:v>
                </c:pt>
                <c:pt idx="299">
                  <c:v>5.4833333333333298</c:v>
                </c:pt>
                <c:pt idx="300">
                  <c:v>6.0333333333333297</c:v>
                </c:pt>
                <c:pt idx="301">
                  <c:v>10.7866666666666</c:v>
                </c:pt>
                <c:pt idx="302">
                  <c:v>19.906666666666599</c:v>
                </c:pt>
                <c:pt idx="303">
                  <c:v>14.5766666666666</c:v>
                </c:pt>
                <c:pt idx="304">
                  <c:v>6.3033333333333301</c:v>
                </c:pt>
                <c:pt idx="305">
                  <c:v>10.809999999999899</c:v>
                </c:pt>
                <c:pt idx="306">
                  <c:v>4.8099999999999996</c:v>
                </c:pt>
                <c:pt idx="307">
                  <c:v>6.2699999999999898</c:v>
                </c:pt>
                <c:pt idx="308">
                  <c:v>13.466666666666599</c:v>
                </c:pt>
                <c:pt idx="309">
                  <c:v>13.3266666666666</c:v>
                </c:pt>
                <c:pt idx="310">
                  <c:v>12.986666666666601</c:v>
                </c:pt>
                <c:pt idx="311">
                  <c:v>10.713333333333299</c:v>
                </c:pt>
                <c:pt idx="312">
                  <c:v>16.956666666666599</c:v>
                </c:pt>
                <c:pt idx="313">
                  <c:v>18.156666666666599</c:v>
                </c:pt>
                <c:pt idx="314">
                  <c:v>16.086666666666599</c:v>
                </c:pt>
                <c:pt idx="315">
                  <c:v>16.5766666666666</c:v>
                </c:pt>
                <c:pt idx="316">
                  <c:v>17.336666666666599</c:v>
                </c:pt>
                <c:pt idx="317">
                  <c:v>19.889999999999901</c:v>
                </c:pt>
                <c:pt idx="318">
                  <c:v>22.033333333333299</c:v>
                </c:pt>
                <c:pt idx="319">
                  <c:v>27</c:v>
                </c:pt>
                <c:pt idx="320">
                  <c:v>20.82</c:v>
                </c:pt>
                <c:pt idx="321">
                  <c:v>19.04</c:v>
                </c:pt>
                <c:pt idx="322">
                  <c:v>14.04</c:v>
                </c:pt>
                <c:pt idx="323">
                  <c:v>12.579999999999901</c:v>
                </c:pt>
                <c:pt idx="324">
                  <c:v>9.3766666666666598</c:v>
                </c:pt>
                <c:pt idx="325">
                  <c:v>7.7366666666666601</c:v>
                </c:pt>
                <c:pt idx="326">
                  <c:v>10.49</c:v>
                </c:pt>
                <c:pt idx="327">
                  <c:v>17.133333333333301</c:v>
                </c:pt>
                <c:pt idx="328">
                  <c:v>8.6399999999999899</c:v>
                </c:pt>
                <c:pt idx="329">
                  <c:v>10.5933333333333</c:v>
                </c:pt>
                <c:pt idx="330">
                  <c:v>8.3633333333333297</c:v>
                </c:pt>
                <c:pt idx="331">
                  <c:v>9.6733333333333302</c:v>
                </c:pt>
                <c:pt idx="332">
                  <c:v>5.9833333333333298</c:v>
                </c:pt>
                <c:pt idx="333">
                  <c:v>11.83</c:v>
                </c:pt>
                <c:pt idx="334">
                  <c:v>9.36</c:v>
                </c:pt>
                <c:pt idx="335">
                  <c:v>8.4566666666666599</c:v>
                </c:pt>
                <c:pt idx="336">
                  <c:v>7.79</c:v>
                </c:pt>
                <c:pt idx="337">
                  <c:v>6.44</c:v>
                </c:pt>
                <c:pt idx="338">
                  <c:v>7.0466666666666598</c:v>
                </c:pt>
                <c:pt idx="339">
                  <c:v>7.6233333333333304</c:v>
                </c:pt>
                <c:pt idx="340">
                  <c:v>5.03666666666666</c:v>
                </c:pt>
                <c:pt idx="341">
                  <c:v>6.43333333333333</c:v>
                </c:pt>
                <c:pt idx="342">
                  <c:v>4.8099999999999996</c:v>
                </c:pt>
                <c:pt idx="343">
                  <c:v>4.82666666666666</c:v>
                </c:pt>
                <c:pt idx="344">
                  <c:v>7.59</c:v>
                </c:pt>
                <c:pt idx="345">
                  <c:v>6.3</c:v>
                </c:pt>
                <c:pt idx="346">
                  <c:v>5.25</c:v>
                </c:pt>
                <c:pt idx="347">
                  <c:v>5.5833333333333304</c:v>
                </c:pt>
                <c:pt idx="348">
                  <c:v>3.4033333333333302</c:v>
                </c:pt>
                <c:pt idx="349">
                  <c:v>5.6733333333333302</c:v>
                </c:pt>
                <c:pt idx="350">
                  <c:v>6.9766666666666604</c:v>
                </c:pt>
                <c:pt idx="351">
                  <c:v>6.7266666666666604</c:v>
                </c:pt>
                <c:pt idx="352">
                  <c:v>4.3033333333333301</c:v>
                </c:pt>
                <c:pt idx="353">
                  <c:v>5.9366666666666603</c:v>
                </c:pt>
                <c:pt idx="354">
                  <c:v>7.82666666666666</c:v>
                </c:pt>
                <c:pt idx="355">
                  <c:v>10.9266666666666</c:v>
                </c:pt>
                <c:pt idx="356">
                  <c:v>7.0033333333333303</c:v>
                </c:pt>
                <c:pt idx="357">
                  <c:v>7.3066666666666604</c:v>
                </c:pt>
                <c:pt idx="358">
                  <c:v>7.8499999999999899</c:v>
                </c:pt>
                <c:pt idx="359">
                  <c:v>6.9466666666666601</c:v>
                </c:pt>
                <c:pt idx="360">
                  <c:v>5.2166666666666597</c:v>
                </c:pt>
                <c:pt idx="361">
                  <c:v>8.8000000000000007</c:v>
                </c:pt>
                <c:pt idx="362">
                  <c:v>4.7033333333333296</c:v>
                </c:pt>
                <c:pt idx="363">
                  <c:v>5.3333333333333304</c:v>
                </c:pt>
                <c:pt idx="364">
                  <c:v>3.7733333333333299</c:v>
                </c:pt>
                <c:pt idx="365">
                  <c:v>5.09</c:v>
                </c:pt>
                <c:pt idx="366">
                  <c:v>3.01</c:v>
                </c:pt>
                <c:pt idx="367">
                  <c:v>3.74</c:v>
                </c:pt>
                <c:pt idx="368">
                  <c:v>3.0166666666666599</c:v>
                </c:pt>
                <c:pt idx="369">
                  <c:v>3.9299999999999899</c:v>
                </c:pt>
                <c:pt idx="370">
                  <c:v>2.41333333333333</c:v>
                </c:pt>
                <c:pt idx="371">
                  <c:v>2.7666666666666599</c:v>
                </c:pt>
                <c:pt idx="372">
                  <c:v>3.87333333333333</c:v>
                </c:pt>
                <c:pt idx="373">
                  <c:v>5.6633333333333304</c:v>
                </c:pt>
                <c:pt idx="374">
                  <c:v>4.4066666666666601</c:v>
                </c:pt>
                <c:pt idx="375">
                  <c:v>5.3133333333333299</c:v>
                </c:pt>
                <c:pt idx="376">
                  <c:v>10.563333333333301</c:v>
                </c:pt>
                <c:pt idx="377">
                  <c:v>9.6033333333333299</c:v>
                </c:pt>
                <c:pt idx="378">
                  <c:v>11.479999999999899</c:v>
                </c:pt>
                <c:pt idx="379">
                  <c:v>9.6666666666666607</c:v>
                </c:pt>
                <c:pt idx="380">
                  <c:v>7.0166666666666604</c:v>
                </c:pt>
                <c:pt idx="381">
                  <c:v>7.8033333333333301</c:v>
                </c:pt>
                <c:pt idx="382">
                  <c:v>10.393333333333301</c:v>
                </c:pt>
                <c:pt idx="383">
                  <c:v>10.9366666666666</c:v>
                </c:pt>
                <c:pt idx="384">
                  <c:v>8.5433333333333294</c:v>
                </c:pt>
                <c:pt idx="385">
                  <c:v>9.0666666666666593</c:v>
                </c:pt>
                <c:pt idx="386">
                  <c:v>12.9499999999999</c:v>
                </c:pt>
                <c:pt idx="387">
                  <c:v>14.53</c:v>
                </c:pt>
                <c:pt idx="388">
                  <c:v>15.983333333333301</c:v>
                </c:pt>
                <c:pt idx="389">
                  <c:v>17.336666666666599</c:v>
                </c:pt>
                <c:pt idx="390">
                  <c:v>18.033333333333299</c:v>
                </c:pt>
                <c:pt idx="391">
                  <c:v>14.55</c:v>
                </c:pt>
                <c:pt idx="392">
                  <c:v>12.0233333333333</c:v>
                </c:pt>
                <c:pt idx="393">
                  <c:v>10.81</c:v>
                </c:pt>
                <c:pt idx="394">
                  <c:v>12.5299999999999</c:v>
                </c:pt>
                <c:pt idx="395">
                  <c:v>18.206666666666599</c:v>
                </c:pt>
                <c:pt idx="396">
                  <c:v>23.093333333333302</c:v>
                </c:pt>
                <c:pt idx="397">
                  <c:v>25.206666666666599</c:v>
                </c:pt>
                <c:pt idx="398">
                  <c:v>30.123333333333299</c:v>
                </c:pt>
                <c:pt idx="399">
                  <c:v>32.796666666666603</c:v>
                </c:pt>
                <c:pt idx="400">
                  <c:v>25.843333333333302</c:v>
                </c:pt>
                <c:pt idx="401">
                  <c:v>27.386666666666599</c:v>
                </c:pt>
                <c:pt idx="402">
                  <c:v>32.753333333333302</c:v>
                </c:pt>
                <c:pt idx="403">
                  <c:v>30.6166666666666</c:v>
                </c:pt>
                <c:pt idx="404">
                  <c:v>29.146666666666601</c:v>
                </c:pt>
                <c:pt idx="405">
                  <c:v>29.3466666666666</c:v>
                </c:pt>
                <c:pt idx="406">
                  <c:v>28.97</c:v>
                </c:pt>
                <c:pt idx="407">
                  <c:v>29.5966666666666</c:v>
                </c:pt>
                <c:pt idx="408">
                  <c:v>24.2766666666666</c:v>
                </c:pt>
                <c:pt idx="409">
                  <c:v>25.726666666666599</c:v>
                </c:pt>
                <c:pt idx="410">
                  <c:v>21.046666666666599</c:v>
                </c:pt>
                <c:pt idx="411">
                  <c:v>22.819999999999901</c:v>
                </c:pt>
                <c:pt idx="412">
                  <c:v>26.9033333333333</c:v>
                </c:pt>
                <c:pt idx="413">
                  <c:v>20.2566666666666</c:v>
                </c:pt>
                <c:pt idx="414">
                  <c:v>19.056666666666601</c:v>
                </c:pt>
                <c:pt idx="415">
                  <c:v>16.79</c:v>
                </c:pt>
                <c:pt idx="416">
                  <c:v>16.146666666666601</c:v>
                </c:pt>
                <c:pt idx="417">
                  <c:v>20.053333333333299</c:v>
                </c:pt>
                <c:pt idx="418">
                  <c:v>17.95</c:v>
                </c:pt>
                <c:pt idx="419">
                  <c:v>18.063333333333301</c:v>
                </c:pt>
                <c:pt idx="420">
                  <c:v>15.486666666666601</c:v>
                </c:pt>
                <c:pt idx="421">
                  <c:v>16.239999999999998</c:v>
                </c:pt>
                <c:pt idx="422">
                  <c:v>13.2533333333333</c:v>
                </c:pt>
                <c:pt idx="423">
                  <c:v>12.78</c:v>
                </c:pt>
                <c:pt idx="424">
                  <c:v>9.2799999999999994</c:v>
                </c:pt>
                <c:pt idx="425">
                  <c:v>9.0633333333333308</c:v>
                </c:pt>
                <c:pt idx="426">
                  <c:v>8.5266666666666602</c:v>
                </c:pt>
                <c:pt idx="427">
                  <c:v>11.963333333333299</c:v>
                </c:pt>
                <c:pt idx="428">
                  <c:v>9.7166666666666597</c:v>
                </c:pt>
                <c:pt idx="429">
                  <c:v>9.6233333333333295</c:v>
                </c:pt>
                <c:pt idx="430">
                  <c:v>10.19</c:v>
                </c:pt>
                <c:pt idx="431">
                  <c:v>8.9</c:v>
                </c:pt>
                <c:pt idx="432">
                  <c:v>9.3466666666666605</c:v>
                </c:pt>
                <c:pt idx="433">
                  <c:v>6.42</c:v>
                </c:pt>
                <c:pt idx="434">
                  <c:v>6.8833333333333302</c:v>
                </c:pt>
                <c:pt idx="435">
                  <c:v>6.25</c:v>
                </c:pt>
                <c:pt idx="436">
                  <c:v>4.6033333333333299</c:v>
                </c:pt>
                <c:pt idx="437">
                  <c:v>4.2633333333333301</c:v>
                </c:pt>
                <c:pt idx="438">
                  <c:v>3.39</c:v>
                </c:pt>
                <c:pt idx="439">
                  <c:v>3.21999999999999</c:v>
                </c:pt>
                <c:pt idx="440">
                  <c:v>2.84666666666666</c:v>
                </c:pt>
                <c:pt idx="441">
                  <c:v>2.8833333333333302</c:v>
                </c:pt>
                <c:pt idx="442">
                  <c:v>1.95</c:v>
                </c:pt>
                <c:pt idx="443">
                  <c:v>2.03666666666666</c:v>
                </c:pt>
                <c:pt idx="444">
                  <c:v>2.59666666666666</c:v>
                </c:pt>
                <c:pt idx="445">
                  <c:v>2.7766666666666602</c:v>
                </c:pt>
                <c:pt idx="446">
                  <c:v>3.4166666666666599</c:v>
                </c:pt>
                <c:pt idx="447">
                  <c:v>3.8533333333333299</c:v>
                </c:pt>
                <c:pt idx="448">
                  <c:v>3.78666666666666</c:v>
                </c:pt>
                <c:pt idx="449">
                  <c:v>5.4733333333333301</c:v>
                </c:pt>
                <c:pt idx="450">
                  <c:v>3.93333333333333</c:v>
                </c:pt>
                <c:pt idx="451">
                  <c:v>4.3233333333333297</c:v>
                </c:pt>
                <c:pt idx="452">
                  <c:v>3.7699999999999898</c:v>
                </c:pt>
                <c:pt idx="453">
                  <c:v>3.09666666666666</c:v>
                </c:pt>
                <c:pt idx="454">
                  <c:v>3.71</c:v>
                </c:pt>
                <c:pt idx="455">
                  <c:v>3.7133333333333298</c:v>
                </c:pt>
                <c:pt idx="456">
                  <c:v>2.1333333333333302</c:v>
                </c:pt>
                <c:pt idx="457">
                  <c:v>2.11</c:v>
                </c:pt>
                <c:pt idx="458">
                  <c:v>2.2999999999999901</c:v>
                </c:pt>
                <c:pt idx="459">
                  <c:v>2.6466666666666598</c:v>
                </c:pt>
                <c:pt idx="460">
                  <c:v>3.8433333333333302</c:v>
                </c:pt>
                <c:pt idx="461">
                  <c:v>4.0666666666666602</c:v>
                </c:pt>
                <c:pt idx="462">
                  <c:v>4.1799999999999899</c:v>
                </c:pt>
                <c:pt idx="463">
                  <c:v>5.9266666666666596</c:v>
                </c:pt>
                <c:pt idx="464">
                  <c:v>5.4566666666666599</c:v>
                </c:pt>
                <c:pt idx="465">
                  <c:v>5.9233333333333302</c:v>
                </c:pt>
                <c:pt idx="466">
                  <c:v>6.9033333333333298</c:v>
                </c:pt>
                <c:pt idx="467">
                  <c:v>7.09</c:v>
                </c:pt>
                <c:pt idx="468">
                  <c:v>6.91</c:v>
                </c:pt>
                <c:pt idx="469">
                  <c:v>4.4233333333333302</c:v>
                </c:pt>
                <c:pt idx="470">
                  <c:v>3.2933333333333299</c:v>
                </c:pt>
                <c:pt idx="471">
                  <c:v>6.0866666666666598</c:v>
                </c:pt>
                <c:pt idx="472">
                  <c:v>8.2033333333333296</c:v>
                </c:pt>
                <c:pt idx="473">
                  <c:v>8.64</c:v>
                </c:pt>
                <c:pt idx="474">
                  <c:v>11.5866666666666</c:v>
                </c:pt>
                <c:pt idx="475">
                  <c:v>9.3433333333333302</c:v>
                </c:pt>
                <c:pt idx="476">
                  <c:v>10.09</c:v>
                </c:pt>
                <c:pt idx="477">
                  <c:v>9.2733333333333299</c:v>
                </c:pt>
                <c:pt idx="478">
                  <c:v>9.4733333333333292</c:v>
                </c:pt>
                <c:pt idx="479">
                  <c:v>8.8366666666666607</c:v>
                </c:pt>
                <c:pt idx="480">
                  <c:v>5.3033333333333301</c:v>
                </c:pt>
                <c:pt idx="481">
                  <c:v>7.6266666666666598</c:v>
                </c:pt>
                <c:pt idx="482">
                  <c:v>5.9833333333333298</c:v>
                </c:pt>
                <c:pt idx="483">
                  <c:v>6.5266666666666602</c:v>
                </c:pt>
                <c:pt idx="484">
                  <c:v>6.4799999999999898</c:v>
                </c:pt>
                <c:pt idx="485">
                  <c:v>6.53666666666666</c:v>
                </c:pt>
                <c:pt idx="486">
                  <c:v>5.7533333333333303</c:v>
                </c:pt>
                <c:pt idx="487">
                  <c:v>5.9899999999999904</c:v>
                </c:pt>
                <c:pt idx="488">
                  <c:v>7.1966666666666601</c:v>
                </c:pt>
                <c:pt idx="489">
                  <c:v>6.3866666666666596</c:v>
                </c:pt>
                <c:pt idx="490">
                  <c:v>7.2433333333333296</c:v>
                </c:pt>
                <c:pt idx="491">
                  <c:v>10.9399999999999</c:v>
                </c:pt>
                <c:pt idx="492">
                  <c:v>12.383333333333301</c:v>
                </c:pt>
                <c:pt idx="493">
                  <c:v>21.4</c:v>
                </c:pt>
                <c:pt idx="494">
                  <c:v>27.8533333333333</c:v>
                </c:pt>
                <c:pt idx="495">
                  <c:v>31.056666666666601</c:v>
                </c:pt>
                <c:pt idx="496">
                  <c:v>18.656666666666599</c:v>
                </c:pt>
                <c:pt idx="497">
                  <c:v>11.559999999999899</c:v>
                </c:pt>
                <c:pt idx="498">
                  <c:v>11.969999999999899</c:v>
                </c:pt>
                <c:pt idx="499">
                  <c:v>13.3566666666666</c:v>
                </c:pt>
                <c:pt idx="500">
                  <c:v>12.566666666666601</c:v>
                </c:pt>
                <c:pt idx="501">
                  <c:v>11.8266666666666</c:v>
                </c:pt>
                <c:pt idx="502">
                  <c:v>9.3433333333333302</c:v>
                </c:pt>
                <c:pt idx="503">
                  <c:v>7.3766666666666598</c:v>
                </c:pt>
                <c:pt idx="504">
                  <c:v>6.2133333333333303</c:v>
                </c:pt>
                <c:pt idx="505">
                  <c:v>6.4933333333333296</c:v>
                </c:pt>
                <c:pt idx="506">
                  <c:v>4.5533333333333301</c:v>
                </c:pt>
                <c:pt idx="507">
                  <c:v>3.89</c:v>
                </c:pt>
                <c:pt idx="508">
                  <c:v>5.1733333333333302</c:v>
                </c:pt>
                <c:pt idx="509">
                  <c:v>5.53666666666666</c:v>
                </c:pt>
                <c:pt idx="510">
                  <c:v>4.1100000000000003</c:v>
                </c:pt>
                <c:pt idx="511">
                  <c:v>4.0433333333333303</c:v>
                </c:pt>
                <c:pt idx="512">
                  <c:v>2.6133333333333302</c:v>
                </c:pt>
                <c:pt idx="513">
                  <c:v>3.3166666666666602</c:v>
                </c:pt>
                <c:pt idx="514">
                  <c:v>3.0833333333333299</c:v>
                </c:pt>
                <c:pt idx="515">
                  <c:v>4.1500000000000004</c:v>
                </c:pt>
                <c:pt idx="516">
                  <c:v>2.9933333333333301</c:v>
                </c:pt>
                <c:pt idx="517">
                  <c:v>3.54</c:v>
                </c:pt>
                <c:pt idx="518">
                  <c:v>3.1766666666666601</c:v>
                </c:pt>
                <c:pt idx="519">
                  <c:v>2.9466666666666601</c:v>
                </c:pt>
                <c:pt idx="520">
                  <c:v>3.2766666666666602</c:v>
                </c:pt>
                <c:pt idx="521">
                  <c:v>3.0166666666666599</c:v>
                </c:pt>
                <c:pt idx="522">
                  <c:v>3.3866666666666601</c:v>
                </c:pt>
                <c:pt idx="523">
                  <c:v>2.52</c:v>
                </c:pt>
                <c:pt idx="524">
                  <c:v>4.49</c:v>
                </c:pt>
                <c:pt idx="525">
                  <c:v>5.3133333333333299</c:v>
                </c:pt>
                <c:pt idx="526">
                  <c:v>6.35</c:v>
                </c:pt>
                <c:pt idx="527">
                  <c:v>8</c:v>
                </c:pt>
                <c:pt idx="528">
                  <c:v>10.126666666666599</c:v>
                </c:pt>
                <c:pt idx="529">
                  <c:v>8.75</c:v>
                </c:pt>
                <c:pt idx="530">
                  <c:v>7.7233333333333301</c:v>
                </c:pt>
                <c:pt idx="531">
                  <c:v>6.3133333333333299</c:v>
                </c:pt>
                <c:pt idx="532">
                  <c:v>6.7466666666666599</c:v>
                </c:pt>
                <c:pt idx="533">
                  <c:v>6.82</c:v>
                </c:pt>
                <c:pt idx="534">
                  <c:v>6.2633333333333301</c:v>
                </c:pt>
                <c:pt idx="535">
                  <c:v>7.0566666666666604</c:v>
                </c:pt>
                <c:pt idx="536">
                  <c:v>7.26</c:v>
                </c:pt>
                <c:pt idx="537">
                  <c:v>8.7233333333333292</c:v>
                </c:pt>
                <c:pt idx="538">
                  <c:v>7.9999999999999902</c:v>
                </c:pt>
                <c:pt idx="539">
                  <c:v>8.8033333333333292</c:v>
                </c:pt>
                <c:pt idx="540">
                  <c:v>8.1266666666666598</c:v>
                </c:pt>
                <c:pt idx="541">
                  <c:v>5.84</c:v>
                </c:pt>
                <c:pt idx="542">
                  <c:v>8.2399999999999896</c:v>
                </c:pt>
                <c:pt idx="543">
                  <c:v>8.0433333333333294</c:v>
                </c:pt>
                <c:pt idx="544">
                  <c:v>7.6799999999999899</c:v>
                </c:pt>
                <c:pt idx="545">
                  <c:v>6.7633333333333301</c:v>
                </c:pt>
                <c:pt idx="546">
                  <c:v>10.149999999999901</c:v>
                </c:pt>
                <c:pt idx="547">
                  <c:v>7.9266666666666596</c:v>
                </c:pt>
                <c:pt idx="548">
                  <c:v>6.5533333333333301</c:v>
                </c:pt>
                <c:pt idx="549">
                  <c:v>5.5433333333333303</c:v>
                </c:pt>
                <c:pt idx="550">
                  <c:v>6.03666666666666</c:v>
                </c:pt>
                <c:pt idx="551">
                  <c:v>4.9599999999999902</c:v>
                </c:pt>
                <c:pt idx="552">
                  <c:v>3.9066666666666601</c:v>
                </c:pt>
                <c:pt idx="553">
                  <c:v>5.0166666666666604</c:v>
                </c:pt>
                <c:pt idx="554">
                  <c:v>4.62</c:v>
                </c:pt>
                <c:pt idx="555">
                  <c:v>3.4366666666666599</c:v>
                </c:pt>
                <c:pt idx="556">
                  <c:v>4.4133333333333304</c:v>
                </c:pt>
                <c:pt idx="557">
                  <c:v>4.79</c:v>
                </c:pt>
                <c:pt idx="558">
                  <c:v>3.1333333333333302</c:v>
                </c:pt>
                <c:pt idx="559">
                  <c:v>4.2766666666666602</c:v>
                </c:pt>
                <c:pt idx="560">
                  <c:v>2.9933333333333301</c:v>
                </c:pt>
                <c:pt idx="561">
                  <c:v>3.1199999999999899</c:v>
                </c:pt>
                <c:pt idx="562">
                  <c:v>2.5733333333333301</c:v>
                </c:pt>
                <c:pt idx="563">
                  <c:v>2.48</c:v>
                </c:pt>
                <c:pt idx="564">
                  <c:v>2.4033333333333302</c:v>
                </c:pt>
                <c:pt idx="565">
                  <c:v>1.17333333333333</c:v>
                </c:pt>
                <c:pt idx="566">
                  <c:v>1.08</c:v>
                </c:pt>
                <c:pt idx="567">
                  <c:v>1.2933333333333299</c:v>
                </c:pt>
                <c:pt idx="568">
                  <c:v>1.2566666666666599</c:v>
                </c:pt>
                <c:pt idx="569">
                  <c:v>1.68</c:v>
                </c:pt>
                <c:pt idx="570">
                  <c:v>1.4566666666666599</c:v>
                </c:pt>
                <c:pt idx="571">
                  <c:v>1.27</c:v>
                </c:pt>
                <c:pt idx="572">
                  <c:v>1.6866666666666601</c:v>
                </c:pt>
                <c:pt idx="573">
                  <c:v>1.6033333333333299</c:v>
                </c:pt>
                <c:pt idx="574">
                  <c:v>1.92333333333333</c:v>
                </c:pt>
                <c:pt idx="575">
                  <c:v>1.7933333333333299</c:v>
                </c:pt>
                <c:pt idx="576">
                  <c:v>2.58</c:v>
                </c:pt>
                <c:pt idx="577">
                  <c:v>2.4033333333333302</c:v>
                </c:pt>
                <c:pt idx="578">
                  <c:v>2.3033333333333301</c:v>
                </c:pt>
                <c:pt idx="579">
                  <c:v>1.61333333333333</c:v>
                </c:pt>
                <c:pt idx="580">
                  <c:v>3.6066666666666598</c:v>
                </c:pt>
                <c:pt idx="581">
                  <c:v>2.1766666666666601</c:v>
                </c:pt>
                <c:pt idx="582">
                  <c:v>3.2433333333333301</c:v>
                </c:pt>
                <c:pt idx="583">
                  <c:v>2.04</c:v>
                </c:pt>
                <c:pt idx="584">
                  <c:v>3.6266666666666598</c:v>
                </c:pt>
                <c:pt idx="585">
                  <c:v>4.07666666666666</c:v>
                </c:pt>
                <c:pt idx="586">
                  <c:v>6.7666666666666604</c:v>
                </c:pt>
                <c:pt idx="587">
                  <c:v>8.3733333333333295</c:v>
                </c:pt>
                <c:pt idx="588">
                  <c:v>5.58</c:v>
                </c:pt>
                <c:pt idx="589">
                  <c:v>6.7333333333333298</c:v>
                </c:pt>
                <c:pt idx="590">
                  <c:v>10.226666666666601</c:v>
                </c:pt>
                <c:pt idx="591">
                  <c:v>21.41</c:v>
                </c:pt>
                <c:pt idx="592">
                  <c:v>27.283333333333299</c:v>
                </c:pt>
                <c:pt idx="593">
                  <c:v>20.7433333333333</c:v>
                </c:pt>
                <c:pt idx="594">
                  <c:v>18.5266666666666</c:v>
                </c:pt>
                <c:pt idx="595">
                  <c:v>19.323333333333299</c:v>
                </c:pt>
                <c:pt idx="596">
                  <c:v>25.003333333333298</c:v>
                </c:pt>
                <c:pt idx="597">
                  <c:v>23.29</c:v>
                </c:pt>
                <c:pt idx="598">
                  <c:v>26.5066666666666</c:v>
                </c:pt>
                <c:pt idx="599">
                  <c:v>25.723333333333301</c:v>
                </c:pt>
                <c:pt idx="600">
                  <c:v>24.533333333333299</c:v>
                </c:pt>
                <c:pt idx="601">
                  <c:v>23.703333333333301</c:v>
                </c:pt>
                <c:pt idx="602">
                  <c:v>24.913333333333298</c:v>
                </c:pt>
                <c:pt idx="603">
                  <c:v>25.573333333333299</c:v>
                </c:pt>
                <c:pt idx="604">
                  <c:v>28.696666666666601</c:v>
                </c:pt>
                <c:pt idx="605">
                  <c:v>22.113333333333301</c:v>
                </c:pt>
                <c:pt idx="606">
                  <c:v>39.9433333333333</c:v>
                </c:pt>
                <c:pt idx="607">
                  <c:v>41.006666666666597</c:v>
                </c:pt>
                <c:pt idx="608">
                  <c:v>32.793333333333301</c:v>
                </c:pt>
                <c:pt idx="609">
                  <c:v>34.479999999999997</c:v>
                </c:pt>
                <c:pt idx="610">
                  <c:v>40.953333333333298</c:v>
                </c:pt>
                <c:pt idx="611">
                  <c:v>22.363333333333301</c:v>
                </c:pt>
                <c:pt idx="612">
                  <c:v>14.79</c:v>
                </c:pt>
                <c:pt idx="613">
                  <c:v>14.52</c:v>
                </c:pt>
                <c:pt idx="614">
                  <c:v>14.5766666666666</c:v>
                </c:pt>
                <c:pt idx="615">
                  <c:v>17.2</c:v>
                </c:pt>
                <c:pt idx="616">
                  <c:v>17.196666666666601</c:v>
                </c:pt>
                <c:pt idx="617">
                  <c:v>11.793333333333299</c:v>
                </c:pt>
                <c:pt idx="618">
                  <c:v>9.6199999999999992</c:v>
                </c:pt>
                <c:pt idx="619">
                  <c:v>9.2466666666666608</c:v>
                </c:pt>
                <c:pt idx="620">
                  <c:v>11.13</c:v>
                </c:pt>
                <c:pt idx="621">
                  <c:v>11.733333333333301</c:v>
                </c:pt>
                <c:pt idx="622">
                  <c:v>10.0033333333333</c:v>
                </c:pt>
                <c:pt idx="623">
                  <c:v>12.9466666666666</c:v>
                </c:pt>
                <c:pt idx="624">
                  <c:v>9.3333333333333304</c:v>
                </c:pt>
                <c:pt idx="625">
                  <c:v>13.1166666666666</c:v>
                </c:pt>
                <c:pt idx="626">
                  <c:v>10.473333333333301</c:v>
                </c:pt>
                <c:pt idx="627">
                  <c:v>10.0866666666666</c:v>
                </c:pt>
                <c:pt idx="628">
                  <c:v>12.56</c:v>
                </c:pt>
                <c:pt idx="629">
                  <c:v>14.6666666666666</c:v>
                </c:pt>
                <c:pt idx="630">
                  <c:v>14.1899999999999</c:v>
                </c:pt>
                <c:pt idx="631">
                  <c:v>12.706666666666599</c:v>
                </c:pt>
                <c:pt idx="632">
                  <c:v>12.33</c:v>
                </c:pt>
                <c:pt idx="633">
                  <c:v>7.7233333333333301</c:v>
                </c:pt>
                <c:pt idx="634">
                  <c:v>8.1933333333333298</c:v>
                </c:pt>
                <c:pt idx="635">
                  <c:v>7.9633333333333303</c:v>
                </c:pt>
                <c:pt idx="636">
                  <c:v>8.0933333333333302</c:v>
                </c:pt>
                <c:pt idx="637">
                  <c:v>7.7699999999999898</c:v>
                </c:pt>
                <c:pt idx="638">
                  <c:v>7.8199999999999896</c:v>
                </c:pt>
                <c:pt idx="639">
                  <c:v>12.9599999999999</c:v>
                </c:pt>
                <c:pt idx="640">
                  <c:v>13.1166666666666</c:v>
                </c:pt>
                <c:pt idx="641">
                  <c:v>16.453333333333301</c:v>
                </c:pt>
                <c:pt idx="642">
                  <c:v>13.53</c:v>
                </c:pt>
                <c:pt idx="643">
                  <c:v>10.81</c:v>
                </c:pt>
                <c:pt idx="644">
                  <c:v>16.8666666666666</c:v>
                </c:pt>
                <c:pt idx="645">
                  <c:v>12.049999999999899</c:v>
                </c:pt>
                <c:pt idx="646">
                  <c:v>11.5833333333333</c:v>
                </c:pt>
                <c:pt idx="647">
                  <c:v>10.229999999999899</c:v>
                </c:pt>
                <c:pt idx="648">
                  <c:v>10.906666666666601</c:v>
                </c:pt>
                <c:pt idx="649">
                  <c:v>11.78</c:v>
                </c:pt>
                <c:pt idx="650">
                  <c:v>14.0133333333333</c:v>
                </c:pt>
                <c:pt idx="651">
                  <c:v>11.25</c:v>
                </c:pt>
                <c:pt idx="652">
                  <c:v>11.8633333333333</c:v>
                </c:pt>
                <c:pt idx="653">
                  <c:v>10.76</c:v>
                </c:pt>
                <c:pt idx="654">
                  <c:v>10.783333333333299</c:v>
                </c:pt>
                <c:pt idx="655">
                  <c:v>12.9333333333333</c:v>
                </c:pt>
                <c:pt idx="656">
                  <c:v>10.62</c:v>
                </c:pt>
                <c:pt idx="657">
                  <c:v>14.796666666666599</c:v>
                </c:pt>
                <c:pt idx="658">
                  <c:v>16.163333333333298</c:v>
                </c:pt>
                <c:pt idx="659">
                  <c:v>13.8366666666666</c:v>
                </c:pt>
                <c:pt idx="660">
                  <c:v>11.97</c:v>
                </c:pt>
                <c:pt idx="661">
                  <c:v>14.713333333333299</c:v>
                </c:pt>
                <c:pt idx="662">
                  <c:v>16.253333333333298</c:v>
                </c:pt>
                <c:pt idx="663">
                  <c:v>16.133333333333301</c:v>
                </c:pt>
                <c:pt idx="664">
                  <c:v>15.04</c:v>
                </c:pt>
                <c:pt idx="665">
                  <c:v>17.96</c:v>
                </c:pt>
                <c:pt idx="666">
                  <c:v>17.343333333333302</c:v>
                </c:pt>
                <c:pt idx="667">
                  <c:v>17.28</c:v>
                </c:pt>
                <c:pt idx="668">
                  <c:v>16.96</c:v>
                </c:pt>
                <c:pt idx="669">
                  <c:v>22.889999999999901</c:v>
                </c:pt>
                <c:pt idx="670">
                  <c:v>8.0666666666666593</c:v>
                </c:pt>
                <c:pt idx="671">
                  <c:v>7.4099999999999904</c:v>
                </c:pt>
                <c:pt idx="672">
                  <c:v>7.4466666666666601</c:v>
                </c:pt>
                <c:pt idx="673">
                  <c:v>8.1066666666666602</c:v>
                </c:pt>
                <c:pt idx="674">
                  <c:v>6.5666666666666602</c:v>
                </c:pt>
                <c:pt idx="675">
                  <c:v>4.72</c:v>
                </c:pt>
                <c:pt idx="676">
                  <c:v>4.22</c:v>
                </c:pt>
                <c:pt idx="677">
                  <c:v>6.0466666666666598</c:v>
                </c:pt>
                <c:pt idx="678">
                  <c:v>6.06</c:v>
                </c:pt>
                <c:pt idx="679">
                  <c:v>5.89333333333333</c:v>
                </c:pt>
                <c:pt idx="680">
                  <c:v>5.6733333333333302</c:v>
                </c:pt>
                <c:pt idx="681">
                  <c:v>6.0733333333333297</c:v>
                </c:pt>
                <c:pt idx="682">
                  <c:v>4.9966666666666599</c:v>
                </c:pt>
                <c:pt idx="683">
                  <c:v>3.8999999999999901</c:v>
                </c:pt>
                <c:pt idx="684">
                  <c:v>4.2266666666666604</c:v>
                </c:pt>
                <c:pt idx="685">
                  <c:v>6.0166666666666604</c:v>
                </c:pt>
                <c:pt idx="686">
                  <c:v>9.7200000000000006</c:v>
                </c:pt>
                <c:pt idx="687">
                  <c:v>8.0399999999999991</c:v>
                </c:pt>
                <c:pt idx="688">
                  <c:v>14.0066666666666</c:v>
                </c:pt>
                <c:pt idx="689">
                  <c:v>13.9966666666666</c:v>
                </c:pt>
                <c:pt idx="690">
                  <c:v>12.95</c:v>
                </c:pt>
                <c:pt idx="691">
                  <c:v>22.003333333333298</c:v>
                </c:pt>
                <c:pt idx="692">
                  <c:v>13.84</c:v>
                </c:pt>
                <c:pt idx="693">
                  <c:v>24.4</c:v>
                </c:pt>
                <c:pt idx="694">
                  <c:v>14.643333333333301</c:v>
                </c:pt>
                <c:pt idx="695">
                  <c:v>28.61</c:v>
                </c:pt>
                <c:pt idx="696">
                  <c:v>31.003333333333298</c:v>
                </c:pt>
                <c:pt idx="697">
                  <c:v>36.466666666666598</c:v>
                </c:pt>
                <c:pt idx="698">
                  <c:v>27.523333333333301</c:v>
                </c:pt>
                <c:pt idx="699">
                  <c:v>23.8266666666666</c:v>
                </c:pt>
                <c:pt idx="700">
                  <c:v>18.689999999999898</c:v>
                </c:pt>
                <c:pt idx="701">
                  <c:v>18.113333333333301</c:v>
                </c:pt>
                <c:pt idx="702">
                  <c:v>18.6666666666666</c:v>
                </c:pt>
                <c:pt idx="703">
                  <c:v>10.8466666666666</c:v>
                </c:pt>
                <c:pt idx="704">
                  <c:v>18.336666666666599</c:v>
                </c:pt>
                <c:pt idx="705">
                  <c:v>19.899999999999899</c:v>
                </c:pt>
                <c:pt idx="706">
                  <c:v>20.806666666666601</c:v>
                </c:pt>
                <c:pt idx="707">
                  <c:v>18.556666666666601</c:v>
                </c:pt>
                <c:pt idx="708">
                  <c:v>15.37</c:v>
                </c:pt>
                <c:pt idx="709">
                  <c:v>15.793333333333299</c:v>
                </c:pt>
                <c:pt idx="710">
                  <c:v>25.49</c:v>
                </c:pt>
                <c:pt idx="711">
                  <c:v>24.31</c:v>
                </c:pt>
                <c:pt idx="712">
                  <c:v>20.316666666666599</c:v>
                </c:pt>
                <c:pt idx="713">
                  <c:v>34.576666666666597</c:v>
                </c:pt>
                <c:pt idx="714">
                  <c:v>20.283333333333299</c:v>
                </c:pt>
                <c:pt idx="715">
                  <c:v>16.643333333333299</c:v>
                </c:pt>
                <c:pt idx="716">
                  <c:v>21.92</c:v>
                </c:pt>
                <c:pt idx="717">
                  <c:v>5.5266666666666602</c:v>
                </c:pt>
                <c:pt idx="718">
                  <c:v>2.45333333333333</c:v>
                </c:pt>
                <c:pt idx="719">
                  <c:v>2.3399999999999901</c:v>
                </c:pt>
                <c:pt idx="720">
                  <c:v>0.92333333333333301</c:v>
                </c:pt>
                <c:pt idx="721">
                  <c:v>1.79666666666666</c:v>
                </c:pt>
                <c:pt idx="722">
                  <c:v>1.7333333333333301</c:v>
                </c:pt>
                <c:pt idx="723">
                  <c:v>1.62</c:v>
                </c:pt>
                <c:pt idx="724">
                  <c:v>1.2933333333333299</c:v>
                </c:pt>
                <c:pt idx="725">
                  <c:v>1.2366666666666599</c:v>
                </c:pt>
                <c:pt idx="726">
                  <c:v>2.7899999999999898</c:v>
                </c:pt>
                <c:pt idx="727">
                  <c:v>2.0433333333333299</c:v>
                </c:pt>
                <c:pt idx="728">
                  <c:v>1.88333333333333</c:v>
                </c:pt>
                <c:pt idx="729">
                  <c:v>1.8866666666666601</c:v>
                </c:pt>
                <c:pt idx="730">
                  <c:v>2.44999999999999</c:v>
                </c:pt>
                <c:pt idx="731">
                  <c:v>2.9766666666666599</c:v>
                </c:pt>
                <c:pt idx="732">
                  <c:v>2.5066666666666602</c:v>
                </c:pt>
                <c:pt idx="733">
                  <c:v>3.4566666666666599</c:v>
                </c:pt>
                <c:pt idx="734">
                  <c:v>4.5266666666666602</c:v>
                </c:pt>
                <c:pt idx="735">
                  <c:v>4.3966666666666603</c:v>
                </c:pt>
                <c:pt idx="736">
                  <c:v>5.3633333333333297</c:v>
                </c:pt>
                <c:pt idx="737">
                  <c:v>5.1399999999999899</c:v>
                </c:pt>
                <c:pt idx="738">
                  <c:v>4.7</c:v>
                </c:pt>
                <c:pt idx="739">
                  <c:v>3.69</c:v>
                </c:pt>
                <c:pt idx="740">
                  <c:v>4.5933333333333302</c:v>
                </c:pt>
                <c:pt idx="741">
                  <c:v>3.6899999999999902</c:v>
                </c:pt>
                <c:pt idx="742">
                  <c:v>4.8566666666666602</c:v>
                </c:pt>
                <c:pt idx="743">
                  <c:v>6.2333333333333298</c:v>
                </c:pt>
                <c:pt idx="744">
                  <c:v>5.57666666666666</c:v>
                </c:pt>
                <c:pt idx="745">
                  <c:v>9.6233333333333295</c:v>
                </c:pt>
                <c:pt idx="746">
                  <c:v>11.08</c:v>
                </c:pt>
                <c:pt idx="747">
                  <c:v>12.37</c:v>
                </c:pt>
                <c:pt idx="748">
                  <c:v>11.79</c:v>
                </c:pt>
                <c:pt idx="749">
                  <c:v>9.16</c:v>
                </c:pt>
                <c:pt idx="750">
                  <c:v>8.1233333333333295</c:v>
                </c:pt>
                <c:pt idx="751">
                  <c:v>9.8966666666666594</c:v>
                </c:pt>
                <c:pt idx="752">
                  <c:v>9.9666666666666597</c:v>
                </c:pt>
                <c:pt idx="753">
                  <c:v>6.1566666666666601</c:v>
                </c:pt>
                <c:pt idx="754">
                  <c:v>6.0633333333333299</c:v>
                </c:pt>
                <c:pt idx="755">
                  <c:v>7.1799999999999899</c:v>
                </c:pt>
                <c:pt idx="756">
                  <c:v>4.7966666666666598</c:v>
                </c:pt>
                <c:pt idx="757">
                  <c:v>5.9466666666666601</c:v>
                </c:pt>
                <c:pt idx="758">
                  <c:v>3.5499999999999901</c:v>
                </c:pt>
                <c:pt idx="759">
                  <c:v>5.5433333333333303</c:v>
                </c:pt>
                <c:pt idx="760">
                  <c:v>4.6999999999999904</c:v>
                </c:pt>
                <c:pt idx="761">
                  <c:v>4.6299999999999901</c:v>
                </c:pt>
                <c:pt idx="762">
                  <c:v>5.0333333333333297</c:v>
                </c:pt>
                <c:pt idx="763">
                  <c:v>4.6366666666666596</c:v>
                </c:pt>
                <c:pt idx="764">
                  <c:v>7.54</c:v>
                </c:pt>
                <c:pt idx="765">
                  <c:v>8.6233333333333295</c:v>
                </c:pt>
                <c:pt idx="766">
                  <c:v>13.74</c:v>
                </c:pt>
                <c:pt idx="767">
                  <c:v>12.703333333333299</c:v>
                </c:pt>
                <c:pt idx="768">
                  <c:v>17.279999999999902</c:v>
                </c:pt>
                <c:pt idx="769">
                  <c:v>16.079999999999998</c:v>
                </c:pt>
                <c:pt idx="770">
                  <c:v>15.143333333333301</c:v>
                </c:pt>
                <c:pt idx="771">
                  <c:v>15.2633333333333</c:v>
                </c:pt>
                <c:pt idx="772">
                  <c:v>19.856666666666602</c:v>
                </c:pt>
                <c:pt idx="773">
                  <c:v>18.8266666666666</c:v>
                </c:pt>
                <c:pt idx="774">
                  <c:v>18.63</c:v>
                </c:pt>
                <c:pt idx="775">
                  <c:v>16.3333333333333</c:v>
                </c:pt>
                <c:pt idx="776">
                  <c:v>18.573333333333299</c:v>
                </c:pt>
                <c:pt idx="777">
                  <c:v>13.1066666666666</c:v>
                </c:pt>
                <c:pt idx="778">
                  <c:v>12.7766666666666</c:v>
                </c:pt>
                <c:pt idx="779">
                  <c:v>12.313333333333301</c:v>
                </c:pt>
                <c:pt idx="780">
                  <c:v>16.266666666666602</c:v>
                </c:pt>
                <c:pt idx="781">
                  <c:v>14.3599999999999</c:v>
                </c:pt>
                <c:pt idx="782">
                  <c:v>10.53</c:v>
                </c:pt>
                <c:pt idx="783">
                  <c:v>15.7466666666666</c:v>
                </c:pt>
                <c:pt idx="784">
                  <c:v>9.34</c:v>
                </c:pt>
                <c:pt idx="785">
                  <c:v>14.1866666666666</c:v>
                </c:pt>
                <c:pt idx="786">
                  <c:v>13.2766666666666</c:v>
                </c:pt>
                <c:pt idx="787">
                  <c:v>11.7466666666666</c:v>
                </c:pt>
                <c:pt idx="788">
                  <c:v>13.63</c:v>
                </c:pt>
                <c:pt idx="789">
                  <c:v>11.5733333333333</c:v>
                </c:pt>
                <c:pt idx="790">
                  <c:v>12.486666666666601</c:v>
                </c:pt>
                <c:pt idx="791">
                  <c:v>14.409999999999901</c:v>
                </c:pt>
                <c:pt idx="792">
                  <c:v>12.2666666666666</c:v>
                </c:pt>
                <c:pt idx="793">
                  <c:v>12.9966666666666</c:v>
                </c:pt>
                <c:pt idx="794">
                  <c:v>8.64</c:v>
                </c:pt>
                <c:pt idx="795">
                  <c:v>11.0366666666666</c:v>
                </c:pt>
                <c:pt idx="796">
                  <c:v>11.65</c:v>
                </c:pt>
                <c:pt idx="797">
                  <c:v>12.1966666666666</c:v>
                </c:pt>
                <c:pt idx="798">
                  <c:v>12.156666666666601</c:v>
                </c:pt>
                <c:pt idx="799">
                  <c:v>10.8433333333333</c:v>
                </c:pt>
                <c:pt idx="800">
                  <c:v>12.6133333333333</c:v>
                </c:pt>
                <c:pt idx="801">
                  <c:v>16.133333333333301</c:v>
                </c:pt>
                <c:pt idx="802">
                  <c:v>13.066666666666601</c:v>
                </c:pt>
                <c:pt idx="803">
                  <c:v>13.296666666666599</c:v>
                </c:pt>
                <c:pt idx="804">
                  <c:v>13.6666666666666</c:v>
                </c:pt>
                <c:pt idx="805">
                  <c:v>10.8566666666666</c:v>
                </c:pt>
                <c:pt idx="806">
                  <c:v>4.9099999999999904</c:v>
                </c:pt>
                <c:pt idx="807">
                  <c:v>5.1933333333333298</c:v>
                </c:pt>
                <c:pt idx="808">
                  <c:v>6.0533333333333301</c:v>
                </c:pt>
                <c:pt idx="809">
                  <c:v>4.3466666666666596</c:v>
                </c:pt>
                <c:pt idx="810">
                  <c:v>4.3766666666666598</c:v>
                </c:pt>
                <c:pt idx="811">
                  <c:v>3.7366666666666601</c:v>
                </c:pt>
                <c:pt idx="812">
                  <c:v>3.6566666666666601</c:v>
                </c:pt>
                <c:pt idx="813">
                  <c:v>3.68</c:v>
                </c:pt>
                <c:pt idx="814">
                  <c:v>3.2333333333333298</c:v>
                </c:pt>
                <c:pt idx="815">
                  <c:v>3.1133333333333302</c:v>
                </c:pt>
                <c:pt idx="816">
                  <c:v>2.57666666666666</c:v>
                </c:pt>
                <c:pt idx="817">
                  <c:v>2.7999999999999901</c:v>
                </c:pt>
                <c:pt idx="818">
                  <c:v>3.2633333333333301</c:v>
                </c:pt>
                <c:pt idx="819">
                  <c:v>2.8833333333333302</c:v>
                </c:pt>
                <c:pt idx="820">
                  <c:v>3.04</c:v>
                </c:pt>
                <c:pt idx="821">
                  <c:v>2.8833333333333302</c:v>
                </c:pt>
                <c:pt idx="822">
                  <c:v>2.9633333333333298</c:v>
                </c:pt>
                <c:pt idx="823">
                  <c:v>2.6766666666666601</c:v>
                </c:pt>
                <c:pt idx="824">
                  <c:v>2.6499999999999901</c:v>
                </c:pt>
                <c:pt idx="825">
                  <c:v>2.5466666666666602</c:v>
                </c:pt>
                <c:pt idx="826">
                  <c:v>2.1566666666666601</c:v>
                </c:pt>
                <c:pt idx="827">
                  <c:v>1.90333333333333</c:v>
                </c:pt>
                <c:pt idx="828">
                  <c:v>4.57</c:v>
                </c:pt>
                <c:pt idx="829">
                  <c:v>2.2066666666666599</c:v>
                </c:pt>
                <c:pt idx="830">
                  <c:v>2.1199999999999899</c:v>
                </c:pt>
                <c:pt idx="831">
                  <c:v>3.01</c:v>
                </c:pt>
                <c:pt idx="832">
                  <c:v>2.84666666666666</c:v>
                </c:pt>
                <c:pt idx="833">
                  <c:v>3.0433333333333299</c:v>
                </c:pt>
                <c:pt idx="834">
                  <c:v>2.4766666666666599</c:v>
                </c:pt>
                <c:pt idx="835">
                  <c:v>3.4</c:v>
                </c:pt>
                <c:pt idx="836">
                  <c:v>4.1333333333333302</c:v>
                </c:pt>
                <c:pt idx="837">
                  <c:v>4.57666666666666</c:v>
                </c:pt>
                <c:pt idx="838">
                  <c:v>5.13</c:v>
                </c:pt>
                <c:pt idx="839">
                  <c:v>4.5166666666666604</c:v>
                </c:pt>
                <c:pt idx="840">
                  <c:v>4.3199999999999896</c:v>
                </c:pt>
                <c:pt idx="841">
                  <c:v>3.76</c:v>
                </c:pt>
                <c:pt idx="842">
                  <c:v>3.9466666666666601</c:v>
                </c:pt>
                <c:pt idx="843">
                  <c:v>2.2733333333333299</c:v>
                </c:pt>
                <c:pt idx="844">
                  <c:v>3.5066666666666602</c:v>
                </c:pt>
                <c:pt idx="845">
                  <c:v>3.1866666666666599</c:v>
                </c:pt>
                <c:pt idx="846">
                  <c:v>4.53666666666666</c:v>
                </c:pt>
                <c:pt idx="847">
                  <c:v>3.9066666666666601</c:v>
                </c:pt>
                <c:pt idx="848">
                  <c:v>3.6533333333333302</c:v>
                </c:pt>
                <c:pt idx="849">
                  <c:v>3.85</c:v>
                </c:pt>
                <c:pt idx="850">
                  <c:v>2.44</c:v>
                </c:pt>
                <c:pt idx="851">
                  <c:v>3.16333333333333</c:v>
                </c:pt>
                <c:pt idx="852">
                  <c:v>3.6899999999999902</c:v>
                </c:pt>
                <c:pt idx="853">
                  <c:v>1.88</c:v>
                </c:pt>
                <c:pt idx="854">
                  <c:v>3.16333333333333</c:v>
                </c:pt>
                <c:pt idx="855">
                  <c:v>3.7499999999999898</c:v>
                </c:pt>
                <c:pt idx="856">
                  <c:v>2.8766666666666598</c:v>
                </c:pt>
                <c:pt idx="857">
                  <c:v>5.0699999999999896</c:v>
                </c:pt>
                <c:pt idx="858">
                  <c:v>4.7066666666666599</c:v>
                </c:pt>
                <c:pt idx="859">
                  <c:v>4.8966666666666603</c:v>
                </c:pt>
                <c:pt idx="860">
                  <c:v>5.7666666666666604</c:v>
                </c:pt>
                <c:pt idx="861">
                  <c:v>7.7666666666666604</c:v>
                </c:pt>
                <c:pt idx="862">
                  <c:v>9.36</c:v>
                </c:pt>
                <c:pt idx="863">
                  <c:v>7.5833333333333304</c:v>
                </c:pt>
                <c:pt idx="864">
                  <c:v>4.61666666666666</c:v>
                </c:pt>
                <c:pt idx="865">
                  <c:v>4.5233333333333299</c:v>
                </c:pt>
                <c:pt idx="866">
                  <c:v>7.9633333333333303</c:v>
                </c:pt>
                <c:pt idx="867">
                  <c:v>5.0866666666666598</c:v>
                </c:pt>
                <c:pt idx="868">
                  <c:v>7.18333333333333</c:v>
                </c:pt>
                <c:pt idx="869">
                  <c:v>6.8466666666666596</c:v>
                </c:pt>
                <c:pt idx="870">
                  <c:v>5.3433333333333302</c:v>
                </c:pt>
                <c:pt idx="871">
                  <c:v>4.7033333333333296</c:v>
                </c:pt>
                <c:pt idx="872">
                  <c:v>4.7966666666666598</c:v>
                </c:pt>
                <c:pt idx="873">
                  <c:v>5.05</c:v>
                </c:pt>
                <c:pt idx="874">
                  <c:v>4.5966666666666596</c:v>
                </c:pt>
                <c:pt idx="875">
                  <c:v>3.54</c:v>
                </c:pt>
                <c:pt idx="876">
                  <c:v>5.9933333333333296</c:v>
                </c:pt>
                <c:pt idx="877">
                  <c:v>9.3533333333333299</c:v>
                </c:pt>
                <c:pt idx="878">
                  <c:v>7.7566666666666597</c:v>
                </c:pt>
                <c:pt idx="879">
                  <c:v>8.53666666666666</c:v>
                </c:pt>
                <c:pt idx="880">
                  <c:v>6.4966666666666599</c:v>
                </c:pt>
                <c:pt idx="881">
                  <c:v>4.95</c:v>
                </c:pt>
                <c:pt idx="882">
                  <c:v>6.0166666666666604</c:v>
                </c:pt>
                <c:pt idx="883">
                  <c:v>5.36666666666666</c:v>
                </c:pt>
                <c:pt idx="884">
                  <c:v>3.61666666666666</c:v>
                </c:pt>
                <c:pt idx="885">
                  <c:v>3.7566666666666602</c:v>
                </c:pt>
                <c:pt idx="886">
                  <c:v>3.82</c:v>
                </c:pt>
                <c:pt idx="887">
                  <c:v>4.1466666666666603</c:v>
                </c:pt>
                <c:pt idx="888">
                  <c:v>4.6633333333333304</c:v>
                </c:pt>
                <c:pt idx="889">
                  <c:v>7.6333333333333302</c:v>
                </c:pt>
                <c:pt idx="890">
                  <c:v>5.9533333333333296</c:v>
                </c:pt>
                <c:pt idx="891">
                  <c:v>7.43</c:v>
                </c:pt>
                <c:pt idx="892">
                  <c:v>10.623333333333299</c:v>
                </c:pt>
                <c:pt idx="893">
                  <c:v>9.35</c:v>
                </c:pt>
                <c:pt idx="894">
                  <c:v>8.4633333333333294</c:v>
                </c:pt>
                <c:pt idx="895">
                  <c:v>5.4066666666666601</c:v>
                </c:pt>
                <c:pt idx="896">
                  <c:v>7.5733333333333297</c:v>
                </c:pt>
                <c:pt idx="897">
                  <c:v>9.6</c:v>
                </c:pt>
                <c:pt idx="898">
                  <c:v>12.0399999999999</c:v>
                </c:pt>
                <c:pt idx="899">
                  <c:v>10.72</c:v>
                </c:pt>
                <c:pt idx="900">
                  <c:v>6.5699999999999896</c:v>
                </c:pt>
                <c:pt idx="901">
                  <c:v>4.4966666666666599</c:v>
                </c:pt>
                <c:pt idx="902">
                  <c:v>2.57666666666666</c:v>
                </c:pt>
                <c:pt idx="903">
                  <c:v>4.55</c:v>
                </c:pt>
                <c:pt idx="904">
                  <c:v>9.1866666666666603</c:v>
                </c:pt>
                <c:pt idx="905">
                  <c:v>8.4700000000000006</c:v>
                </c:pt>
                <c:pt idx="906">
                  <c:v>7.94</c:v>
                </c:pt>
                <c:pt idx="907">
                  <c:v>8.4233333333333302</c:v>
                </c:pt>
                <c:pt idx="908">
                  <c:v>8.2899999999999991</c:v>
                </c:pt>
                <c:pt idx="909">
                  <c:v>7.9766666666666604</c:v>
                </c:pt>
                <c:pt idx="910">
                  <c:v>6.1633333333333304</c:v>
                </c:pt>
                <c:pt idx="911">
                  <c:v>5.4266666666666596</c:v>
                </c:pt>
                <c:pt idx="912">
                  <c:v>4.7966666666666598</c:v>
                </c:pt>
                <c:pt idx="913">
                  <c:v>4.4566666666666599</c:v>
                </c:pt>
                <c:pt idx="914">
                  <c:v>4.38</c:v>
                </c:pt>
                <c:pt idx="915">
                  <c:v>4.8733333333333304</c:v>
                </c:pt>
                <c:pt idx="916">
                  <c:v>4.6933333333333298</c:v>
                </c:pt>
                <c:pt idx="917">
                  <c:v>3.56</c:v>
                </c:pt>
                <c:pt idx="918">
                  <c:v>4.9066666666666601</c:v>
                </c:pt>
                <c:pt idx="919">
                  <c:v>5.0566666666666604</c:v>
                </c:pt>
                <c:pt idx="920">
                  <c:v>4.3166666666666602</c:v>
                </c:pt>
                <c:pt idx="921">
                  <c:v>4.1500000000000004</c:v>
                </c:pt>
                <c:pt idx="922">
                  <c:v>4.26</c:v>
                </c:pt>
                <c:pt idx="923">
                  <c:v>4.7099999999999902</c:v>
                </c:pt>
                <c:pt idx="924">
                  <c:v>3.9666666666666601</c:v>
                </c:pt>
                <c:pt idx="925">
                  <c:v>5.4033333333333298</c:v>
                </c:pt>
                <c:pt idx="926">
                  <c:v>6.5033333333333303</c:v>
                </c:pt>
                <c:pt idx="927">
                  <c:v>5.9533333333333296</c:v>
                </c:pt>
                <c:pt idx="928">
                  <c:v>5.0233333333333299</c:v>
                </c:pt>
                <c:pt idx="929">
                  <c:v>8.8800000000000008</c:v>
                </c:pt>
                <c:pt idx="930">
                  <c:v>4.1799999999999899</c:v>
                </c:pt>
                <c:pt idx="931">
                  <c:v>4.9933333333333296</c:v>
                </c:pt>
                <c:pt idx="932">
                  <c:v>6.3633333333333297</c:v>
                </c:pt>
                <c:pt idx="933">
                  <c:v>8.3266666666666609</c:v>
                </c:pt>
                <c:pt idx="934">
                  <c:v>6.51</c:v>
                </c:pt>
                <c:pt idx="935">
                  <c:v>4.36666666666666</c:v>
                </c:pt>
                <c:pt idx="936">
                  <c:v>6.65</c:v>
                </c:pt>
                <c:pt idx="937">
                  <c:v>6.77</c:v>
                </c:pt>
                <c:pt idx="938">
                  <c:v>5.36666666666666</c:v>
                </c:pt>
                <c:pt idx="939">
                  <c:v>3.80666666666666</c:v>
                </c:pt>
                <c:pt idx="940">
                  <c:v>5.2233333333333301</c:v>
                </c:pt>
                <c:pt idx="941">
                  <c:v>6.4499999999999904</c:v>
                </c:pt>
                <c:pt idx="942">
                  <c:v>5.61</c:v>
                </c:pt>
                <c:pt idx="943">
                  <c:v>6.31</c:v>
                </c:pt>
                <c:pt idx="944">
                  <c:v>6.1333333333333302</c:v>
                </c:pt>
                <c:pt idx="945">
                  <c:v>5.2633333333333301</c:v>
                </c:pt>
                <c:pt idx="946">
                  <c:v>6.7166666666666597</c:v>
                </c:pt>
                <c:pt idx="947">
                  <c:v>4.9533333333333296</c:v>
                </c:pt>
                <c:pt idx="948">
                  <c:v>5.23</c:v>
                </c:pt>
                <c:pt idx="949">
                  <c:v>5.9566666666666599</c:v>
                </c:pt>
                <c:pt idx="950">
                  <c:v>7.23</c:v>
                </c:pt>
                <c:pt idx="951">
                  <c:v>7.9266666666666596</c:v>
                </c:pt>
                <c:pt idx="952">
                  <c:v>9.18333333333333</c:v>
                </c:pt>
                <c:pt idx="953">
                  <c:v>10.28</c:v>
                </c:pt>
                <c:pt idx="954">
                  <c:v>9.19</c:v>
                </c:pt>
                <c:pt idx="955">
                  <c:v>11.73</c:v>
                </c:pt>
                <c:pt idx="956">
                  <c:v>5.9899999999999904</c:v>
                </c:pt>
                <c:pt idx="957">
                  <c:v>4.9633333333333303</c:v>
                </c:pt>
                <c:pt idx="958">
                  <c:v>4.2233333333333301</c:v>
                </c:pt>
                <c:pt idx="959">
                  <c:v>3.9366666666666599</c:v>
                </c:pt>
                <c:pt idx="960">
                  <c:v>3.9666666666666601</c:v>
                </c:pt>
                <c:pt idx="961">
                  <c:v>2.62333333333333</c:v>
                </c:pt>
                <c:pt idx="962">
                  <c:v>1.57666666666666</c:v>
                </c:pt>
                <c:pt idx="963">
                  <c:v>1.9733333333333301</c:v>
                </c:pt>
                <c:pt idx="964">
                  <c:v>1.04666666666666</c:v>
                </c:pt>
                <c:pt idx="965">
                  <c:v>0.68666666666666598</c:v>
                </c:pt>
                <c:pt idx="966">
                  <c:v>1.0233333333333301</c:v>
                </c:pt>
                <c:pt idx="967">
                  <c:v>0.96666666666666601</c:v>
                </c:pt>
                <c:pt idx="968">
                  <c:v>1.04666666666666</c:v>
                </c:pt>
                <c:pt idx="969">
                  <c:v>1.03999999999999</c:v>
                </c:pt>
                <c:pt idx="970">
                  <c:v>0.98</c:v>
                </c:pt>
                <c:pt idx="971">
                  <c:v>1.48</c:v>
                </c:pt>
                <c:pt idx="972">
                  <c:v>3.4766666666666599</c:v>
                </c:pt>
                <c:pt idx="973">
                  <c:v>25.4499999999999</c:v>
                </c:pt>
                <c:pt idx="974">
                  <c:v>23.19</c:v>
                </c:pt>
                <c:pt idx="975">
                  <c:v>16.9499999999999</c:v>
                </c:pt>
                <c:pt idx="976">
                  <c:v>12.49</c:v>
                </c:pt>
                <c:pt idx="977">
                  <c:v>7.8599999999999897</c:v>
                </c:pt>
                <c:pt idx="978">
                  <c:v>4.4066666666666601</c:v>
                </c:pt>
                <c:pt idx="979">
                  <c:v>4.1899999999999897</c:v>
                </c:pt>
                <c:pt idx="980">
                  <c:v>2.7133333333333298</c:v>
                </c:pt>
                <c:pt idx="981">
                  <c:v>2.6666666666666599</c:v>
                </c:pt>
                <c:pt idx="982">
                  <c:v>2.4966666666666599</c:v>
                </c:pt>
                <c:pt idx="983">
                  <c:v>3.09666666666666</c:v>
                </c:pt>
                <c:pt idx="984">
                  <c:v>5.39</c:v>
                </c:pt>
                <c:pt idx="985">
                  <c:v>5.0533333333333301</c:v>
                </c:pt>
                <c:pt idx="986">
                  <c:v>3.9733333333333301</c:v>
                </c:pt>
                <c:pt idx="987">
                  <c:v>4.6533333333333298</c:v>
                </c:pt>
                <c:pt idx="988">
                  <c:v>4.82666666666666</c:v>
                </c:pt>
                <c:pt idx="989">
                  <c:v>5.1666666666666599</c:v>
                </c:pt>
                <c:pt idx="990">
                  <c:v>2.8599999999999901</c:v>
                </c:pt>
                <c:pt idx="991">
                  <c:v>2.5466666666666602</c:v>
                </c:pt>
                <c:pt idx="992">
                  <c:v>3.0033333333333299</c:v>
                </c:pt>
                <c:pt idx="993">
                  <c:v>2.61666666666666</c:v>
                </c:pt>
                <c:pt idx="994">
                  <c:v>1.98</c:v>
                </c:pt>
                <c:pt idx="995">
                  <c:v>2.34666666666666</c:v>
                </c:pt>
                <c:pt idx="996">
                  <c:v>2.7633333333333301</c:v>
                </c:pt>
                <c:pt idx="997">
                  <c:v>3.2266666666666599</c:v>
                </c:pt>
                <c:pt idx="998">
                  <c:v>2.4466666666666601</c:v>
                </c:pt>
                <c:pt idx="999">
                  <c:v>1.65333333333333</c:v>
                </c:pt>
                <c:pt idx="1000">
                  <c:v>2.2599999999999998</c:v>
                </c:pt>
                <c:pt idx="1001">
                  <c:v>7.33</c:v>
                </c:pt>
                <c:pt idx="1002">
                  <c:v>6.1566666666666601</c:v>
                </c:pt>
                <c:pt idx="1003">
                  <c:v>6.7266666666666604</c:v>
                </c:pt>
                <c:pt idx="1004">
                  <c:v>5.8166666666666602</c:v>
                </c:pt>
                <c:pt idx="1005">
                  <c:v>2.38</c:v>
                </c:pt>
                <c:pt idx="1006">
                  <c:v>1.63333333333333</c:v>
                </c:pt>
                <c:pt idx="1007">
                  <c:v>1.23999999999999</c:v>
                </c:pt>
                <c:pt idx="1008">
                  <c:v>1.7933333333333299</c:v>
                </c:pt>
                <c:pt idx="1009">
                  <c:v>2.5866666666666598</c:v>
                </c:pt>
                <c:pt idx="1010">
                  <c:v>3.4766666666666599</c:v>
                </c:pt>
                <c:pt idx="1011">
                  <c:v>1.4966666666666599</c:v>
                </c:pt>
                <c:pt idx="1012">
                  <c:v>1.4199999999999899</c:v>
                </c:pt>
                <c:pt idx="1013">
                  <c:v>2.2599999999999998</c:v>
                </c:pt>
                <c:pt idx="1014">
                  <c:v>1.55666666666666</c:v>
                </c:pt>
                <c:pt idx="1015">
                  <c:v>1.74999999999999</c:v>
                </c:pt>
                <c:pt idx="1016">
                  <c:v>2.2633333333333301</c:v>
                </c:pt>
                <c:pt idx="1017">
                  <c:v>2.4199999999999902</c:v>
                </c:pt>
                <c:pt idx="1018">
                  <c:v>2.6066666666666598</c:v>
                </c:pt>
                <c:pt idx="1019">
                  <c:v>1.6366666666666601</c:v>
                </c:pt>
                <c:pt idx="1020">
                  <c:v>1.93333333333333</c:v>
                </c:pt>
                <c:pt idx="1021">
                  <c:v>2.4166666666666599</c:v>
                </c:pt>
                <c:pt idx="1022">
                  <c:v>2.2999999999999901</c:v>
                </c:pt>
                <c:pt idx="1023">
                  <c:v>3.8533333333333299</c:v>
                </c:pt>
                <c:pt idx="1024">
                  <c:v>4.4433333333333298</c:v>
                </c:pt>
                <c:pt idx="1025">
                  <c:v>4.9233333333333302</c:v>
                </c:pt>
                <c:pt idx="1026">
                  <c:v>5.77</c:v>
                </c:pt>
                <c:pt idx="1027">
                  <c:v>3.78</c:v>
                </c:pt>
                <c:pt idx="1028">
                  <c:v>4.3966666666666603</c:v>
                </c:pt>
                <c:pt idx="1029">
                  <c:v>5.4466666666666601</c:v>
                </c:pt>
                <c:pt idx="1030">
                  <c:v>4.9066666666666601</c:v>
                </c:pt>
                <c:pt idx="1031">
                  <c:v>4.7233333333333301</c:v>
                </c:pt>
                <c:pt idx="1032">
                  <c:v>4.9266666666666596</c:v>
                </c:pt>
                <c:pt idx="1033">
                  <c:v>6.86666666666666</c:v>
                </c:pt>
                <c:pt idx="1034">
                  <c:v>4.3466666666666596</c:v>
                </c:pt>
                <c:pt idx="1035">
                  <c:v>6.45</c:v>
                </c:pt>
                <c:pt idx="1036">
                  <c:v>6.18</c:v>
                </c:pt>
                <c:pt idx="1037">
                  <c:v>7.0933333333333302</c:v>
                </c:pt>
                <c:pt idx="1038">
                  <c:v>5.29</c:v>
                </c:pt>
                <c:pt idx="1039">
                  <c:v>4.97</c:v>
                </c:pt>
                <c:pt idx="1040">
                  <c:v>6.7966666666666598</c:v>
                </c:pt>
                <c:pt idx="1041">
                  <c:v>7.6766666666666596</c:v>
                </c:pt>
                <c:pt idx="1042">
                  <c:v>11.0133333333333</c:v>
                </c:pt>
                <c:pt idx="1043">
                  <c:v>10.98</c:v>
                </c:pt>
                <c:pt idx="1044">
                  <c:v>10.74</c:v>
                </c:pt>
                <c:pt idx="1045">
                  <c:v>6.06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68-417C-8C2C-24DB8B7EE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503951"/>
        <c:axId val="1923504431"/>
      </c:scatterChart>
      <c:valAx>
        <c:axId val="192350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3504431"/>
        <c:crosses val="autoZero"/>
        <c:crossBetween val="midCat"/>
      </c:valAx>
      <c:valAx>
        <c:axId val="192350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350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PM1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Correction!$A$1:$A$1046</c:f>
              <c:strCache>
                <c:ptCount val="1046"/>
                <c:pt idx="0">
                  <c:v>Corrigé</c:v>
                </c:pt>
                <c:pt idx="1">
                  <c:v>26/01/2026 16:00</c:v>
                </c:pt>
                <c:pt idx="2">
                  <c:v>26/01/2026 16:15</c:v>
                </c:pt>
                <c:pt idx="3">
                  <c:v>26/01/2026 16:30</c:v>
                </c:pt>
                <c:pt idx="4">
                  <c:v>26/01/2026 16:45</c:v>
                </c:pt>
                <c:pt idx="5">
                  <c:v>26/01/2026 17:00</c:v>
                </c:pt>
                <c:pt idx="6">
                  <c:v>26/01/2026 17:15</c:v>
                </c:pt>
                <c:pt idx="7">
                  <c:v>26/01/2026 17:30</c:v>
                </c:pt>
                <c:pt idx="8">
                  <c:v>26/01/2026 17:45</c:v>
                </c:pt>
                <c:pt idx="9">
                  <c:v>26/01/2026 18:00</c:v>
                </c:pt>
                <c:pt idx="10">
                  <c:v>26/01/2026 18:15</c:v>
                </c:pt>
                <c:pt idx="11">
                  <c:v>26/01/2026 18:30</c:v>
                </c:pt>
                <c:pt idx="12">
                  <c:v>26/01/2026 18:45</c:v>
                </c:pt>
                <c:pt idx="13">
                  <c:v>26/01/2026 19:00</c:v>
                </c:pt>
                <c:pt idx="14">
                  <c:v>26/01/2026 19:15</c:v>
                </c:pt>
                <c:pt idx="15">
                  <c:v>26/01/2026 19:30</c:v>
                </c:pt>
                <c:pt idx="16">
                  <c:v>26/01/2026 19:45</c:v>
                </c:pt>
                <c:pt idx="17">
                  <c:v>26/01/2026 20:00</c:v>
                </c:pt>
                <c:pt idx="18">
                  <c:v>26/01/2026 20:15</c:v>
                </c:pt>
                <c:pt idx="19">
                  <c:v>26/01/2026 20:30</c:v>
                </c:pt>
                <c:pt idx="20">
                  <c:v>26/01/2026 20:45</c:v>
                </c:pt>
                <c:pt idx="21">
                  <c:v>26/01/2026 21:00</c:v>
                </c:pt>
                <c:pt idx="22">
                  <c:v>26/01/2026 21:15</c:v>
                </c:pt>
                <c:pt idx="23">
                  <c:v>26/01/2026 21:30</c:v>
                </c:pt>
                <c:pt idx="24">
                  <c:v>26/01/2026 21:45</c:v>
                </c:pt>
                <c:pt idx="25">
                  <c:v>26/01/2026 22:00</c:v>
                </c:pt>
                <c:pt idx="26">
                  <c:v>26/01/2026 22:15</c:v>
                </c:pt>
                <c:pt idx="27">
                  <c:v>26/01/2026 22:30</c:v>
                </c:pt>
                <c:pt idx="28">
                  <c:v>26/01/2026 22:45</c:v>
                </c:pt>
                <c:pt idx="29">
                  <c:v>26/01/2026 23:00</c:v>
                </c:pt>
                <c:pt idx="30">
                  <c:v>26/01/2026 23:15</c:v>
                </c:pt>
                <c:pt idx="31">
                  <c:v>26/01/2026 23:30</c:v>
                </c:pt>
                <c:pt idx="32">
                  <c:v>26/01/2026 23:45</c:v>
                </c:pt>
                <c:pt idx="33">
                  <c:v>26/01/2026 24:00</c:v>
                </c:pt>
                <c:pt idx="34">
                  <c:v>27/01/2026 00:15</c:v>
                </c:pt>
                <c:pt idx="35">
                  <c:v>27/01/2026 00:30</c:v>
                </c:pt>
                <c:pt idx="36">
                  <c:v>27/01/2026 00:45</c:v>
                </c:pt>
                <c:pt idx="37">
                  <c:v>27/01/2026 01:00</c:v>
                </c:pt>
                <c:pt idx="38">
                  <c:v>27/01/2026 01:15</c:v>
                </c:pt>
                <c:pt idx="39">
                  <c:v>27/01/2026 01:30</c:v>
                </c:pt>
                <c:pt idx="40">
                  <c:v>27/01/2026 01:45</c:v>
                </c:pt>
                <c:pt idx="41">
                  <c:v>27/01/2026 02:00</c:v>
                </c:pt>
                <c:pt idx="42">
                  <c:v>27/01/2026 02:15</c:v>
                </c:pt>
                <c:pt idx="43">
                  <c:v>27/01/2026 02:30</c:v>
                </c:pt>
                <c:pt idx="44">
                  <c:v>27/01/2026 02:45</c:v>
                </c:pt>
                <c:pt idx="45">
                  <c:v>27/01/2026 03:00</c:v>
                </c:pt>
                <c:pt idx="46">
                  <c:v>27/01/2026 03:15</c:v>
                </c:pt>
                <c:pt idx="47">
                  <c:v>27/01/2026 03:30</c:v>
                </c:pt>
                <c:pt idx="48">
                  <c:v>27/01/2026 03:45</c:v>
                </c:pt>
                <c:pt idx="49">
                  <c:v>27/01/2026 04:00</c:v>
                </c:pt>
                <c:pt idx="50">
                  <c:v>27/01/2026 04:15</c:v>
                </c:pt>
                <c:pt idx="51">
                  <c:v>27/01/2026 04:30</c:v>
                </c:pt>
                <c:pt idx="52">
                  <c:v>27/01/2026 04:45</c:v>
                </c:pt>
                <c:pt idx="53">
                  <c:v>27/01/2026 05:00</c:v>
                </c:pt>
                <c:pt idx="54">
                  <c:v>27/01/2026 05:15</c:v>
                </c:pt>
                <c:pt idx="55">
                  <c:v>27/01/2026 05:30</c:v>
                </c:pt>
                <c:pt idx="56">
                  <c:v>27/01/2026 05:45</c:v>
                </c:pt>
                <c:pt idx="57">
                  <c:v>27/01/2026 06:00</c:v>
                </c:pt>
                <c:pt idx="58">
                  <c:v>27/01/2026 06:15</c:v>
                </c:pt>
                <c:pt idx="59">
                  <c:v>27/01/2026 06:30</c:v>
                </c:pt>
                <c:pt idx="60">
                  <c:v>27/01/2026 06:45</c:v>
                </c:pt>
                <c:pt idx="61">
                  <c:v>27/01/2026 07:00</c:v>
                </c:pt>
                <c:pt idx="62">
                  <c:v>27/01/2026 07:15</c:v>
                </c:pt>
                <c:pt idx="63">
                  <c:v>27/01/2026 07:30</c:v>
                </c:pt>
                <c:pt idx="64">
                  <c:v>27/01/2026 07:45</c:v>
                </c:pt>
                <c:pt idx="65">
                  <c:v>27/01/2026 08:00</c:v>
                </c:pt>
                <c:pt idx="66">
                  <c:v>27/01/2026 08:15</c:v>
                </c:pt>
                <c:pt idx="67">
                  <c:v>27/01/2026 08:30</c:v>
                </c:pt>
                <c:pt idx="68">
                  <c:v>27/01/2026 08:45</c:v>
                </c:pt>
                <c:pt idx="69">
                  <c:v>27/01/2026 09:00</c:v>
                </c:pt>
                <c:pt idx="70">
                  <c:v>27/01/2026 09:15</c:v>
                </c:pt>
                <c:pt idx="71">
                  <c:v>27/01/2026 09:30</c:v>
                </c:pt>
                <c:pt idx="72">
                  <c:v>27/01/2026 09:45</c:v>
                </c:pt>
                <c:pt idx="73">
                  <c:v>27/01/2026 10:00</c:v>
                </c:pt>
                <c:pt idx="74">
                  <c:v>27/01/2026 10:15</c:v>
                </c:pt>
                <c:pt idx="75">
                  <c:v>27/01/2026 10:30</c:v>
                </c:pt>
                <c:pt idx="76">
                  <c:v>27/01/2026 10:45</c:v>
                </c:pt>
                <c:pt idx="77">
                  <c:v>27/01/2026 11:00</c:v>
                </c:pt>
                <c:pt idx="78">
                  <c:v>27/01/2026 11:15</c:v>
                </c:pt>
                <c:pt idx="79">
                  <c:v>27/01/2026 11:30</c:v>
                </c:pt>
                <c:pt idx="80">
                  <c:v>27/01/2026 11:45</c:v>
                </c:pt>
                <c:pt idx="81">
                  <c:v>27/01/2026 12:00</c:v>
                </c:pt>
                <c:pt idx="82">
                  <c:v>27/01/2026 12:15</c:v>
                </c:pt>
                <c:pt idx="83">
                  <c:v>27/01/2026 12:30</c:v>
                </c:pt>
                <c:pt idx="84">
                  <c:v>27/01/2026 12:45</c:v>
                </c:pt>
                <c:pt idx="85">
                  <c:v>27/01/2026 13:00</c:v>
                </c:pt>
                <c:pt idx="86">
                  <c:v>27/01/2026 13:15</c:v>
                </c:pt>
                <c:pt idx="87">
                  <c:v>27/01/2026 13:30</c:v>
                </c:pt>
                <c:pt idx="88">
                  <c:v>27/01/2026 13:45</c:v>
                </c:pt>
                <c:pt idx="89">
                  <c:v>27/01/2026 14:00</c:v>
                </c:pt>
                <c:pt idx="90">
                  <c:v>27/01/2026 14:15</c:v>
                </c:pt>
                <c:pt idx="91">
                  <c:v>27/01/2026 14:30</c:v>
                </c:pt>
                <c:pt idx="92">
                  <c:v>27/01/2026 14:45</c:v>
                </c:pt>
                <c:pt idx="93">
                  <c:v>27/01/2026 15:00</c:v>
                </c:pt>
                <c:pt idx="94">
                  <c:v>27/01/2026 15:15</c:v>
                </c:pt>
                <c:pt idx="95">
                  <c:v>27/01/2026 15:30</c:v>
                </c:pt>
                <c:pt idx="96">
                  <c:v>27/01/2026 15:45</c:v>
                </c:pt>
                <c:pt idx="97">
                  <c:v>27/01/2026 16:00</c:v>
                </c:pt>
                <c:pt idx="98">
                  <c:v>27/01/2026 16:15</c:v>
                </c:pt>
                <c:pt idx="99">
                  <c:v>27/01/2026 16:30</c:v>
                </c:pt>
                <c:pt idx="100">
                  <c:v>27/01/2026 16:45</c:v>
                </c:pt>
                <c:pt idx="101">
                  <c:v>27/01/2026 17:00</c:v>
                </c:pt>
                <c:pt idx="102">
                  <c:v>27/01/2026 17:15</c:v>
                </c:pt>
                <c:pt idx="103">
                  <c:v>27/01/2026 17:30</c:v>
                </c:pt>
                <c:pt idx="104">
                  <c:v>27/01/2026 17:45</c:v>
                </c:pt>
                <c:pt idx="105">
                  <c:v>27/01/2026 18:00</c:v>
                </c:pt>
                <c:pt idx="106">
                  <c:v>27/01/2026 18:15</c:v>
                </c:pt>
                <c:pt idx="107">
                  <c:v>27/01/2026 18:30</c:v>
                </c:pt>
                <c:pt idx="108">
                  <c:v>27/01/2026 18:45</c:v>
                </c:pt>
                <c:pt idx="109">
                  <c:v>27/01/2026 19:00</c:v>
                </c:pt>
                <c:pt idx="110">
                  <c:v>27/01/2026 19:15</c:v>
                </c:pt>
                <c:pt idx="111">
                  <c:v>27/01/2026 19:30</c:v>
                </c:pt>
                <c:pt idx="112">
                  <c:v>27/01/2026 19:45</c:v>
                </c:pt>
                <c:pt idx="113">
                  <c:v>27/01/2026 20:00</c:v>
                </c:pt>
                <c:pt idx="114">
                  <c:v>27/01/2026 20:15</c:v>
                </c:pt>
                <c:pt idx="115">
                  <c:v>27/01/2026 20:30</c:v>
                </c:pt>
                <c:pt idx="116">
                  <c:v>27/01/2026 20:45</c:v>
                </c:pt>
                <c:pt idx="117">
                  <c:v>27/01/2026 21:00</c:v>
                </c:pt>
                <c:pt idx="118">
                  <c:v>27/01/2026 21:15</c:v>
                </c:pt>
                <c:pt idx="119">
                  <c:v>27/01/2026 21:30</c:v>
                </c:pt>
                <c:pt idx="120">
                  <c:v>27/01/2026 21:45</c:v>
                </c:pt>
                <c:pt idx="121">
                  <c:v>27/01/2026 22:00</c:v>
                </c:pt>
                <c:pt idx="122">
                  <c:v>27/01/2026 22:15</c:v>
                </c:pt>
                <c:pt idx="123">
                  <c:v>27/01/2026 22:30</c:v>
                </c:pt>
                <c:pt idx="124">
                  <c:v>27/01/2026 22:45</c:v>
                </c:pt>
                <c:pt idx="125">
                  <c:v>27/01/2026 23:00</c:v>
                </c:pt>
                <c:pt idx="126">
                  <c:v>27/01/2026 23:15</c:v>
                </c:pt>
                <c:pt idx="127">
                  <c:v>27/01/2026 23:30</c:v>
                </c:pt>
                <c:pt idx="128">
                  <c:v>27/01/2026 23:45</c:v>
                </c:pt>
                <c:pt idx="129">
                  <c:v>27/01/2026 24:00</c:v>
                </c:pt>
                <c:pt idx="130">
                  <c:v>28/01/2026 00:15</c:v>
                </c:pt>
                <c:pt idx="131">
                  <c:v>28/01/2026 00:30</c:v>
                </c:pt>
                <c:pt idx="132">
                  <c:v>28/01/2026 00:45</c:v>
                </c:pt>
                <c:pt idx="133">
                  <c:v>28/01/2026 01:00</c:v>
                </c:pt>
                <c:pt idx="134">
                  <c:v>28/01/2026 01:15</c:v>
                </c:pt>
                <c:pt idx="135">
                  <c:v>28/01/2026 01:30</c:v>
                </c:pt>
                <c:pt idx="136">
                  <c:v>28/01/2026 01:45</c:v>
                </c:pt>
                <c:pt idx="137">
                  <c:v>28/01/2026 02:00</c:v>
                </c:pt>
                <c:pt idx="138">
                  <c:v>28/01/2026 02:15</c:v>
                </c:pt>
                <c:pt idx="139">
                  <c:v>28/01/2026 02:30</c:v>
                </c:pt>
                <c:pt idx="140">
                  <c:v>28/01/2026 02:45</c:v>
                </c:pt>
                <c:pt idx="141">
                  <c:v>28/01/2026 03:00</c:v>
                </c:pt>
                <c:pt idx="142">
                  <c:v>28/01/2026 03:15</c:v>
                </c:pt>
                <c:pt idx="143">
                  <c:v>28/01/2026 03:30</c:v>
                </c:pt>
                <c:pt idx="144">
                  <c:v>28/01/2026 03:45</c:v>
                </c:pt>
                <c:pt idx="145">
                  <c:v>28/01/2026 04:00</c:v>
                </c:pt>
                <c:pt idx="146">
                  <c:v>28/01/2026 04:15</c:v>
                </c:pt>
                <c:pt idx="147">
                  <c:v>28/01/2026 04:30</c:v>
                </c:pt>
                <c:pt idx="148">
                  <c:v>28/01/2026 04:45</c:v>
                </c:pt>
                <c:pt idx="149">
                  <c:v>28/01/2026 05:00</c:v>
                </c:pt>
                <c:pt idx="150">
                  <c:v>28/01/2026 05:15</c:v>
                </c:pt>
                <c:pt idx="151">
                  <c:v>28/01/2026 05:30</c:v>
                </c:pt>
                <c:pt idx="152">
                  <c:v>28/01/2026 05:45</c:v>
                </c:pt>
                <c:pt idx="153">
                  <c:v>28/01/2026 06:00</c:v>
                </c:pt>
                <c:pt idx="154">
                  <c:v>28/01/2026 06:15</c:v>
                </c:pt>
                <c:pt idx="155">
                  <c:v>28/01/2026 06:30</c:v>
                </c:pt>
                <c:pt idx="156">
                  <c:v>28/01/2026 06:45</c:v>
                </c:pt>
                <c:pt idx="157">
                  <c:v>28/01/2026 07:00</c:v>
                </c:pt>
                <c:pt idx="158">
                  <c:v>28/01/2026 07:15</c:v>
                </c:pt>
                <c:pt idx="159">
                  <c:v>28/01/2026 07:30</c:v>
                </c:pt>
                <c:pt idx="160">
                  <c:v>28/01/2026 07:45</c:v>
                </c:pt>
                <c:pt idx="161">
                  <c:v>28/01/2026 08:00</c:v>
                </c:pt>
                <c:pt idx="162">
                  <c:v>28/01/2026 08:15</c:v>
                </c:pt>
                <c:pt idx="163">
                  <c:v>28/01/2026 08:30</c:v>
                </c:pt>
                <c:pt idx="164">
                  <c:v>28/01/2026 08:45</c:v>
                </c:pt>
                <c:pt idx="165">
                  <c:v>28/01/2026 09:00</c:v>
                </c:pt>
                <c:pt idx="166">
                  <c:v>28/01/2026 09:15</c:v>
                </c:pt>
                <c:pt idx="167">
                  <c:v>28/01/2026 09:30</c:v>
                </c:pt>
                <c:pt idx="168">
                  <c:v>28/01/2026 09:45</c:v>
                </c:pt>
                <c:pt idx="169">
                  <c:v>28/01/2026 10:00</c:v>
                </c:pt>
                <c:pt idx="170">
                  <c:v>28/01/2026 10:15</c:v>
                </c:pt>
                <c:pt idx="171">
                  <c:v>28/01/2026 10:30</c:v>
                </c:pt>
                <c:pt idx="172">
                  <c:v>28/01/2026 10:45</c:v>
                </c:pt>
                <c:pt idx="173">
                  <c:v>28/01/2026 11:00</c:v>
                </c:pt>
                <c:pt idx="174">
                  <c:v>28/01/2026 11:15</c:v>
                </c:pt>
                <c:pt idx="175">
                  <c:v>28/01/2026 11:30</c:v>
                </c:pt>
                <c:pt idx="176">
                  <c:v>28/01/2026 11:45</c:v>
                </c:pt>
                <c:pt idx="177">
                  <c:v>28/01/2026 12:00</c:v>
                </c:pt>
                <c:pt idx="178">
                  <c:v>28/01/2026 12:15</c:v>
                </c:pt>
                <c:pt idx="179">
                  <c:v>28/01/2026 12:30</c:v>
                </c:pt>
                <c:pt idx="180">
                  <c:v>28/01/2026 12:45</c:v>
                </c:pt>
                <c:pt idx="181">
                  <c:v>28/01/2026 13:00</c:v>
                </c:pt>
                <c:pt idx="182">
                  <c:v>28/01/2026 13:15</c:v>
                </c:pt>
                <c:pt idx="183">
                  <c:v>28/01/2026 13:30</c:v>
                </c:pt>
                <c:pt idx="184">
                  <c:v>28/01/2026 13:45</c:v>
                </c:pt>
                <c:pt idx="185">
                  <c:v>28/01/2026 14:00</c:v>
                </c:pt>
                <c:pt idx="186">
                  <c:v>28/01/2026 14:15</c:v>
                </c:pt>
                <c:pt idx="187">
                  <c:v>28/01/2026 14:30</c:v>
                </c:pt>
                <c:pt idx="188">
                  <c:v>28/01/2026 14:45</c:v>
                </c:pt>
                <c:pt idx="189">
                  <c:v>28/01/2026 15:00</c:v>
                </c:pt>
                <c:pt idx="190">
                  <c:v>28/01/2026 15:15</c:v>
                </c:pt>
                <c:pt idx="191">
                  <c:v>28/01/2026 15:30</c:v>
                </c:pt>
                <c:pt idx="192">
                  <c:v>28/01/2026 15:45</c:v>
                </c:pt>
                <c:pt idx="193">
                  <c:v>28/01/2026 16:00</c:v>
                </c:pt>
                <c:pt idx="194">
                  <c:v>28/01/2026 16:15</c:v>
                </c:pt>
                <c:pt idx="195">
                  <c:v>28/01/2026 16:30</c:v>
                </c:pt>
                <c:pt idx="196">
                  <c:v>28/01/2026 16:45</c:v>
                </c:pt>
                <c:pt idx="197">
                  <c:v>28/01/2026 17:00</c:v>
                </c:pt>
                <c:pt idx="198">
                  <c:v>28/01/2026 17:15</c:v>
                </c:pt>
                <c:pt idx="199">
                  <c:v>28/01/2026 17:30</c:v>
                </c:pt>
                <c:pt idx="200">
                  <c:v>28/01/2026 17:45</c:v>
                </c:pt>
                <c:pt idx="201">
                  <c:v>28/01/2026 18:00</c:v>
                </c:pt>
                <c:pt idx="202">
                  <c:v>28/01/2026 18:15</c:v>
                </c:pt>
                <c:pt idx="203">
                  <c:v>28/01/2026 18:30</c:v>
                </c:pt>
                <c:pt idx="204">
                  <c:v>28/01/2026 18:45</c:v>
                </c:pt>
                <c:pt idx="205">
                  <c:v>28/01/2026 19:00</c:v>
                </c:pt>
                <c:pt idx="206">
                  <c:v>28/01/2026 19:15</c:v>
                </c:pt>
                <c:pt idx="207">
                  <c:v>28/01/2026 19:30</c:v>
                </c:pt>
                <c:pt idx="208">
                  <c:v>28/01/2026 19:45</c:v>
                </c:pt>
                <c:pt idx="209">
                  <c:v>28/01/2026 20:00</c:v>
                </c:pt>
                <c:pt idx="210">
                  <c:v>28/01/2026 20:15</c:v>
                </c:pt>
                <c:pt idx="211">
                  <c:v>28/01/2026 20:30</c:v>
                </c:pt>
                <c:pt idx="212">
                  <c:v>28/01/2026 20:45</c:v>
                </c:pt>
                <c:pt idx="213">
                  <c:v>28/01/2026 21:00</c:v>
                </c:pt>
                <c:pt idx="214">
                  <c:v>28/01/2026 21:15</c:v>
                </c:pt>
                <c:pt idx="215">
                  <c:v>28/01/2026 21:30</c:v>
                </c:pt>
                <c:pt idx="216">
                  <c:v>28/01/2026 21:45</c:v>
                </c:pt>
                <c:pt idx="217">
                  <c:v>28/01/2026 22:00</c:v>
                </c:pt>
                <c:pt idx="218">
                  <c:v>28/01/2026 22:15</c:v>
                </c:pt>
                <c:pt idx="219">
                  <c:v>28/01/2026 22:30</c:v>
                </c:pt>
                <c:pt idx="220">
                  <c:v>28/01/2026 22:45</c:v>
                </c:pt>
                <c:pt idx="221">
                  <c:v>28/01/2026 23:00</c:v>
                </c:pt>
                <c:pt idx="222">
                  <c:v>28/01/2026 23:15</c:v>
                </c:pt>
                <c:pt idx="223">
                  <c:v>28/01/2026 23:30</c:v>
                </c:pt>
                <c:pt idx="224">
                  <c:v>28/01/2026 23:45</c:v>
                </c:pt>
                <c:pt idx="225">
                  <c:v>28/01/2026 24:00</c:v>
                </c:pt>
                <c:pt idx="226">
                  <c:v>29/01/2026 00:15</c:v>
                </c:pt>
                <c:pt idx="227">
                  <c:v>29/01/2026 00:30</c:v>
                </c:pt>
                <c:pt idx="228">
                  <c:v>29/01/2026 00:45</c:v>
                </c:pt>
                <c:pt idx="229">
                  <c:v>29/01/2026 01:00</c:v>
                </c:pt>
                <c:pt idx="230">
                  <c:v>29/01/2026 01:15</c:v>
                </c:pt>
                <c:pt idx="231">
                  <c:v>29/01/2026 01:30</c:v>
                </c:pt>
                <c:pt idx="232">
                  <c:v>29/01/2026 01:45</c:v>
                </c:pt>
                <c:pt idx="233">
                  <c:v>29/01/2026 02:00</c:v>
                </c:pt>
                <c:pt idx="234">
                  <c:v>29/01/2026 02:15</c:v>
                </c:pt>
                <c:pt idx="235">
                  <c:v>29/01/2026 02:30</c:v>
                </c:pt>
                <c:pt idx="236">
                  <c:v>29/01/2026 02:45</c:v>
                </c:pt>
                <c:pt idx="237">
                  <c:v>29/01/2026 03:00</c:v>
                </c:pt>
                <c:pt idx="238">
                  <c:v>29/01/2026 03:15</c:v>
                </c:pt>
                <c:pt idx="239">
                  <c:v>29/01/2026 03:30</c:v>
                </c:pt>
                <c:pt idx="240">
                  <c:v>29/01/2026 03:45</c:v>
                </c:pt>
                <c:pt idx="241">
                  <c:v>29/01/2026 04:00</c:v>
                </c:pt>
                <c:pt idx="242">
                  <c:v>29/01/2026 04:15</c:v>
                </c:pt>
                <c:pt idx="243">
                  <c:v>29/01/2026 04:30</c:v>
                </c:pt>
                <c:pt idx="244">
                  <c:v>29/01/2026 04:45</c:v>
                </c:pt>
                <c:pt idx="245">
                  <c:v>29/01/2026 05:00</c:v>
                </c:pt>
                <c:pt idx="246">
                  <c:v>29/01/2026 05:15</c:v>
                </c:pt>
                <c:pt idx="247">
                  <c:v>29/01/2026 05:30</c:v>
                </c:pt>
                <c:pt idx="248">
                  <c:v>29/01/2026 05:45</c:v>
                </c:pt>
                <c:pt idx="249">
                  <c:v>29/01/2026 06:00</c:v>
                </c:pt>
                <c:pt idx="250">
                  <c:v>29/01/2026 06:15</c:v>
                </c:pt>
                <c:pt idx="251">
                  <c:v>29/01/2026 06:30</c:v>
                </c:pt>
                <c:pt idx="252">
                  <c:v>29/01/2026 06:45</c:v>
                </c:pt>
                <c:pt idx="253">
                  <c:v>29/01/2026 07:00</c:v>
                </c:pt>
                <c:pt idx="254">
                  <c:v>29/01/2026 07:15</c:v>
                </c:pt>
                <c:pt idx="255">
                  <c:v>29/01/2026 07:30</c:v>
                </c:pt>
                <c:pt idx="256">
                  <c:v>29/01/2026 07:45</c:v>
                </c:pt>
                <c:pt idx="257">
                  <c:v>29/01/2026 08:00</c:v>
                </c:pt>
                <c:pt idx="258">
                  <c:v>29/01/2026 08:15</c:v>
                </c:pt>
                <c:pt idx="259">
                  <c:v>29/01/2026 08:30</c:v>
                </c:pt>
                <c:pt idx="260">
                  <c:v>29/01/2026 08:45</c:v>
                </c:pt>
                <c:pt idx="261">
                  <c:v>29/01/2026 09:00</c:v>
                </c:pt>
                <c:pt idx="262">
                  <c:v>29/01/2026 09:15</c:v>
                </c:pt>
                <c:pt idx="263">
                  <c:v>29/01/2026 09:30</c:v>
                </c:pt>
                <c:pt idx="264">
                  <c:v>29/01/2026 09:45</c:v>
                </c:pt>
                <c:pt idx="265">
                  <c:v>29/01/2026 10:00</c:v>
                </c:pt>
                <c:pt idx="266">
                  <c:v>29/01/2026 10:15</c:v>
                </c:pt>
                <c:pt idx="267">
                  <c:v>29/01/2026 10:30</c:v>
                </c:pt>
                <c:pt idx="268">
                  <c:v>29/01/2026 10:45</c:v>
                </c:pt>
                <c:pt idx="269">
                  <c:v>29/01/2026 11:00</c:v>
                </c:pt>
                <c:pt idx="270">
                  <c:v>29/01/2026 11:15</c:v>
                </c:pt>
                <c:pt idx="271">
                  <c:v>29/01/2026 11:30</c:v>
                </c:pt>
                <c:pt idx="272">
                  <c:v>29/01/2026 11:45</c:v>
                </c:pt>
                <c:pt idx="273">
                  <c:v>29/01/2026 12:00</c:v>
                </c:pt>
                <c:pt idx="274">
                  <c:v>29/01/2026 12:15</c:v>
                </c:pt>
                <c:pt idx="275">
                  <c:v>29/01/2026 12:30</c:v>
                </c:pt>
                <c:pt idx="276">
                  <c:v>29/01/2026 12:45</c:v>
                </c:pt>
                <c:pt idx="277">
                  <c:v>29/01/2026 13:00</c:v>
                </c:pt>
                <c:pt idx="278">
                  <c:v>29/01/2026 13:15</c:v>
                </c:pt>
                <c:pt idx="279">
                  <c:v>29/01/2026 13:30</c:v>
                </c:pt>
                <c:pt idx="280">
                  <c:v>29/01/2026 13:45</c:v>
                </c:pt>
                <c:pt idx="281">
                  <c:v>29/01/2026 14:00</c:v>
                </c:pt>
                <c:pt idx="282">
                  <c:v>29/01/2026 14:15</c:v>
                </c:pt>
                <c:pt idx="283">
                  <c:v>29/01/2026 14:30</c:v>
                </c:pt>
                <c:pt idx="284">
                  <c:v>29/01/2026 14:45</c:v>
                </c:pt>
                <c:pt idx="285">
                  <c:v>29/01/2026 15:00</c:v>
                </c:pt>
                <c:pt idx="286">
                  <c:v>29/01/2026 15:15</c:v>
                </c:pt>
                <c:pt idx="287">
                  <c:v>29/01/2026 15:30</c:v>
                </c:pt>
                <c:pt idx="288">
                  <c:v>29/01/2026 15:45</c:v>
                </c:pt>
                <c:pt idx="289">
                  <c:v>29/01/2026 16:00</c:v>
                </c:pt>
                <c:pt idx="290">
                  <c:v>29/01/2026 16:15</c:v>
                </c:pt>
                <c:pt idx="291">
                  <c:v>29/01/2026 16:30</c:v>
                </c:pt>
                <c:pt idx="292">
                  <c:v>29/01/2026 16:45</c:v>
                </c:pt>
                <c:pt idx="293">
                  <c:v>29/01/2026 17:00</c:v>
                </c:pt>
                <c:pt idx="294">
                  <c:v>29/01/2026 17:15</c:v>
                </c:pt>
                <c:pt idx="295">
                  <c:v>29/01/2026 17:30</c:v>
                </c:pt>
                <c:pt idx="296">
                  <c:v>29/01/2026 17:45</c:v>
                </c:pt>
                <c:pt idx="297">
                  <c:v>29/01/2026 18:00</c:v>
                </c:pt>
                <c:pt idx="298">
                  <c:v>29/01/2026 18:15</c:v>
                </c:pt>
                <c:pt idx="299">
                  <c:v>29/01/2026 18:30</c:v>
                </c:pt>
                <c:pt idx="300">
                  <c:v>29/01/2026 18:45</c:v>
                </c:pt>
                <c:pt idx="301">
                  <c:v>29/01/2026 19:00</c:v>
                </c:pt>
                <c:pt idx="302">
                  <c:v>29/01/2026 19:15</c:v>
                </c:pt>
                <c:pt idx="303">
                  <c:v>29/01/2026 19:30</c:v>
                </c:pt>
                <c:pt idx="304">
                  <c:v>29/01/2026 19:45</c:v>
                </c:pt>
                <c:pt idx="305">
                  <c:v>29/01/2026 20:00</c:v>
                </c:pt>
                <c:pt idx="306">
                  <c:v>29/01/2026 20:15</c:v>
                </c:pt>
                <c:pt idx="307">
                  <c:v>29/01/2026 20:30</c:v>
                </c:pt>
                <c:pt idx="308">
                  <c:v>29/01/2026 20:45</c:v>
                </c:pt>
                <c:pt idx="309">
                  <c:v>29/01/2026 21:00</c:v>
                </c:pt>
                <c:pt idx="310">
                  <c:v>29/01/2026 21:15</c:v>
                </c:pt>
                <c:pt idx="311">
                  <c:v>29/01/2026 21:30</c:v>
                </c:pt>
                <c:pt idx="312">
                  <c:v>29/01/2026 21:45</c:v>
                </c:pt>
                <c:pt idx="313">
                  <c:v>29/01/2026 22:00</c:v>
                </c:pt>
                <c:pt idx="314">
                  <c:v>29/01/2026 22:15</c:v>
                </c:pt>
                <c:pt idx="315">
                  <c:v>29/01/2026 22:30</c:v>
                </c:pt>
                <c:pt idx="316">
                  <c:v>29/01/2026 22:45</c:v>
                </c:pt>
                <c:pt idx="317">
                  <c:v>29/01/2026 23:00</c:v>
                </c:pt>
                <c:pt idx="318">
                  <c:v>29/01/2026 23:15</c:v>
                </c:pt>
                <c:pt idx="319">
                  <c:v>29/01/2026 23:30</c:v>
                </c:pt>
                <c:pt idx="320">
                  <c:v>29/01/2026 23:45</c:v>
                </c:pt>
                <c:pt idx="321">
                  <c:v>29/01/2026 24:00</c:v>
                </c:pt>
                <c:pt idx="322">
                  <c:v>30/01/2026 00:15</c:v>
                </c:pt>
                <c:pt idx="323">
                  <c:v>30/01/2026 00:30</c:v>
                </c:pt>
                <c:pt idx="324">
                  <c:v>30/01/2026 00:45</c:v>
                </c:pt>
                <c:pt idx="325">
                  <c:v>30/01/2026 01:00</c:v>
                </c:pt>
                <c:pt idx="326">
                  <c:v>30/01/2026 01:15</c:v>
                </c:pt>
                <c:pt idx="327">
                  <c:v>30/01/2026 01:30</c:v>
                </c:pt>
                <c:pt idx="328">
                  <c:v>30/01/2026 01:45</c:v>
                </c:pt>
                <c:pt idx="329">
                  <c:v>30/01/2026 02:00</c:v>
                </c:pt>
                <c:pt idx="330">
                  <c:v>30/01/2026 02:15</c:v>
                </c:pt>
                <c:pt idx="331">
                  <c:v>30/01/2026 02:30</c:v>
                </c:pt>
                <c:pt idx="332">
                  <c:v>30/01/2026 02:45</c:v>
                </c:pt>
                <c:pt idx="333">
                  <c:v>30/01/2026 03:00</c:v>
                </c:pt>
                <c:pt idx="334">
                  <c:v>30/01/2026 03:15</c:v>
                </c:pt>
                <c:pt idx="335">
                  <c:v>30/01/2026 03:30</c:v>
                </c:pt>
                <c:pt idx="336">
                  <c:v>30/01/2026 03:45</c:v>
                </c:pt>
                <c:pt idx="337">
                  <c:v>30/01/2026 04:00</c:v>
                </c:pt>
                <c:pt idx="338">
                  <c:v>30/01/2026 04:15</c:v>
                </c:pt>
                <c:pt idx="339">
                  <c:v>30/01/2026 04:30</c:v>
                </c:pt>
                <c:pt idx="340">
                  <c:v>30/01/2026 04:45</c:v>
                </c:pt>
                <c:pt idx="341">
                  <c:v>30/01/2026 05:00</c:v>
                </c:pt>
                <c:pt idx="342">
                  <c:v>30/01/2026 05:15</c:v>
                </c:pt>
                <c:pt idx="343">
                  <c:v>30/01/2026 05:30</c:v>
                </c:pt>
                <c:pt idx="344">
                  <c:v>30/01/2026 05:45</c:v>
                </c:pt>
                <c:pt idx="345">
                  <c:v>30/01/2026 06:00</c:v>
                </c:pt>
                <c:pt idx="346">
                  <c:v>30/01/2026 06:15</c:v>
                </c:pt>
                <c:pt idx="347">
                  <c:v>30/01/2026 06:30</c:v>
                </c:pt>
                <c:pt idx="348">
                  <c:v>30/01/2026 06:45</c:v>
                </c:pt>
                <c:pt idx="349">
                  <c:v>30/01/2026 07:00</c:v>
                </c:pt>
                <c:pt idx="350">
                  <c:v>30/01/2026 07:15</c:v>
                </c:pt>
                <c:pt idx="351">
                  <c:v>30/01/2026 07:30</c:v>
                </c:pt>
                <c:pt idx="352">
                  <c:v>30/01/2026 07:45</c:v>
                </c:pt>
                <c:pt idx="353">
                  <c:v>30/01/2026 08:00</c:v>
                </c:pt>
                <c:pt idx="354">
                  <c:v>30/01/2026 08:15</c:v>
                </c:pt>
                <c:pt idx="355">
                  <c:v>30/01/2026 08:30</c:v>
                </c:pt>
                <c:pt idx="356">
                  <c:v>30/01/2026 08:45</c:v>
                </c:pt>
                <c:pt idx="357">
                  <c:v>30/01/2026 09:00</c:v>
                </c:pt>
                <c:pt idx="358">
                  <c:v>30/01/2026 09:15</c:v>
                </c:pt>
                <c:pt idx="359">
                  <c:v>30/01/2026 09:30</c:v>
                </c:pt>
                <c:pt idx="360">
                  <c:v>30/01/2026 09:45</c:v>
                </c:pt>
                <c:pt idx="361">
                  <c:v>30/01/2026 10:00</c:v>
                </c:pt>
                <c:pt idx="362">
                  <c:v>30/01/2026 10:15</c:v>
                </c:pt>
                <c:pt idx="363">
                  <c:v>30/01/2026 10:30</c:v>
                </c:pt>
                <c:pt idx="364">
                  <c:v>30/01/2026 10:45</c:v>
                </c:pt>
                <c:pt idx="365">
                  <c:v>30/01/2026 11:00</c:v>
                </c:pt>
                <c:pt idx="366">
                  <c:v>30/01/2026 11:15</c:v>
                </c:pt>
                <c:pt idx="367">
                  <c:v>30/01/2026 11:30</c:v>
                </c:pt>
                <c:pt idx="368">
                  <c:v>30/01/2026 11:45</c:v>
                </c:pt>
                <c:pt idx="369">
                  <c:v>30/01/2026 12:00</c:v>
                </c:pt>
                <c:pt idx="370">
                  <c:v>30/01/2026 12:15</c:v>
                </c:pt>
                <c:pt idx="371">
                  <c:v>30/01/2026 12:30</c:v>
                </c:pt>
                <c:pt idx="372">
                  <c:v>30/01/2026 12:45</c:v>
                </c:pt>
                <c:pt idx="373">
                  <c:v>30/01/2026 13:00</c:v>
                </c:pt>
                <c:pt idx="374">
                  <c:v>30/01/2026 13:15</c:v>
                </c:pt>
                <c:pt idx="375">
                  <c:v>30/01/2026 13:30</c:v>
                </c:pt>
                <c:pt idx="376">
                  <c:v>30/01/2026 13:45</c:v>
                </c:pt>
                <c:pt idx="377">
                  <c:v>30/01/2026 14:00</c:v>
                </c:pt>
                <c:pt idx="378">
                  <c:v>30/01/2026 14:15</c:v>
                </c:pt>
                <c:pt idx="379">
                  <c:v>30/01/2026 14:30</c:v>
                </c:pt>
                <c:pt idx="380">
                  <c:v>30/01/2026 14:45</c:v>
                </c:pt>
                <c:pt idx="381">
                  <c:v>30/01/2026 15:00</c:v>
                </c:pt>
                <c:pt idx="382">
                  <c:v>30/01/2026 15:15</c:v>
                </c:pt>
                <c:pt idx="383">
                  <c:v>30/01/2026 15:30</c:v>
                </c:pt>
                <c:pt idx="384">
                  <c:v>30/01/2026 15:45</c:v>
                </c:pt>
                <c:pt idx="385">
                  <c:v>30/01/2026 16:00</c:v>
                </c:pt>
                <c:pt idx="386">
                  <c:v>30/01/2026 16:15</c:v>
                </c:pt>
                <c:pt idx="387">
                  <c:v>30/01/2026 16:30</c:v>
                </c:pt>
                <c:pt idx="388">
                  <c:v>30/01/2026 16:45</c:v>
                </c:pt>
                <c:pt idx="389">
                  <c:v>30/01/2026 17:00</c:v>
                </c:pt>
                <c:pt idx="390">
                  <c:v>30/01/2026 17:15</c:v>
                </c:pt>
                <c:pt idx="391">
                  <c:v>30/01/2026 17:30</c:v>
                </c:pt>
                <c:pt idx="392">
                  <c:v>30/01/2026 17:45</c:v>
                </c:pt>
                <c:pt idx="393">
                  <c:v>30/01/2026 18:00</c:v>
                </c:pt>
                <c:pt idx="394">
                  <c:v>30/01/2026 18:15</c:v>
                </c:pt>
                <c:pt idx="395">
                  <c:v>30/01/2026 18:30</c:v>
                </c:pt>
                <c:pt idx="396">
                  <c:v>30/01/2026 18:45</c:v>
                </c:pt>
                <c:pt idx="397">
                  <c:v>30/01/2026 19:00</c:v>
                </c:pt>
                <c:pt idx="398">
                  <c:v>30/01/2026 19:15</c:v>
                </c:pt>
                <c:pt idx="399">
                  <c:v>30/01/2026 19:30</c:v>
                </c:pt>
                <c:pt idx="400">
                  <c:v>30/01/2026 19:45</c:v>
                </c:pt>
                <c:pt idx="401">
                  <c:v>30/01/2026 20:00</c:v>
                </c:pt>
                <c:pt idx="402">
                  <c:v>30/01/2026 20:15</c:v>
                </c:pt>
                <c:pt idx="403">
                  <c:v>30/01/2026 20:30</c:v>
                </c:pt>
                <c:pt idx="404">
                  <c:v>30/01/2026 20:45</c:v>
                </c:pt>
                <c:pt idx="405">
                  <c:v>30/01/2026 21:00</c:v>
                </c:pt>
                <c:pt idx="406">
                  <c:v>30/01/2026 21:15</c:v>
                </c:pt>
                <c:pt idx="407">
                  <c:v>30/01/2026 21:30</c:v>
                </c:pt>
                <c:pt idx="408">
                  <c:v>30/01/2026 21:45</c:v>
                </c:pt>
                <c:pt idx="409">
                  <c:v>30/01/2026 22:00</c:v>
                </c:pt>
                <c:pt idx="410">
                  <c:v>30/01/2026 22:15</c:v>
                </c:pt>
                <c:pt idx="411">
                  <c:v>30/01/2026 22:30</c:v>
                </c:pt>
                <c:pt idx="412">
                  <c:v>30/01/2026 22:45</c:v>
                </c:pt>
                <c:pt idx="413">
                  <c:v>30/01/2026 23:00</c:v>
                </c:pt>
                <c:pt idx="414">
                  <c:v>30/01/2026 23:15</c:v>
                </c:pt>
                <c:pt idx="415">
                  <c:v>30/01/2026 23:30</c:v>
                </c:pt>
                <c:pt idx="416">
                  <c:v>30/01/2026 23:45</c:v>
                </c:pt>
                <c:pt idx="417">
                  <c:v>30/01/2026 24:00</c:v>
                </c:pt>
                <c:pt idx="418">
                  <c:v>31/01/2026 00:15</c:v>
                </c:pt>
                <c:pt idx="419">
                  <c:v>31/01/2026 00:30</c:v>
                </c:pt>
                <c:pt idx="420">
                  <c:v>31/01/2026 00:45</c:v>
                </c:pt>
                <c:pt idx="421">
                  <c:v>31/01/2026 01:00</c:v>
                </c:pt>
                <c:pt idx="422">
                  <c:v>31/01/2026 01:15</c:v>
                </c:pt>
                <c:pt idx="423">
                  <c:v>31/01/2026 01:30</c:v>
                </c:pt>
                <c:pt idx="424">
                  <c:v>31/01/2026 01:45</c:v>
                </c:pt>
                <c:pt idx="425">
                  <c:v>31/01/2026 02:00</c:v>
                </c:pt>
                <c:pt idx="426">
                  <c:v>31/01/2026 02:15</c:v>
                </c:pt>
                <c:pt idx="427">
                  <c:v>31/01/2026 02:30</c:v>
                </c:pt>
                <c:pt idx="428">
                  <c:v>31/01/2026 02:45</c:v>
                </c:pt>
                <c:pt idx="429">
                  <c:v>31/01/2026 03:00</c:v>
                </c:pt>
                <c:pt idx="430">
                  <c:v>31/01/2026 03:15</c:v>
                </c:pt>
                <c:pt idx="431">
                  <c:v>31/01/2026 03:30</c:v>
                </c:pt>
                <c:pt idx="432">
                  <c:v>31/01/2026 03:45</c:v>
                </c:pt>
                <c:pt idx="433">
                  <c:v>31/01/2026 04:00</c:v>
                </c:pt>
                <c:pt idx="434">
                  <c:v>31/01/2026 04:15</c:v>
                </c:pt>
                <c:pt idx="435">
                  <c:v>31/01/2026 04:30</c:v>
                </c:pt>
                <c:pt idx="436">
                  <c:v>31/01/2026 04:45</c:v>
                </c:pt>
                <c:pt idx="437">
                  <c:v>31/01/2026 05:00</c:v>
                </c:pt>
                <c:pt idx="438">
                  <c:v>31/01/2026 05:15</c:v>
                </c:pt>
                <c:pt idx="439">
                  <c:v>31/01/2026 05:30</c:v>
                </c:pt>
                <c:pt idx="440">
                  <c:v>31/01/2026 05:45</c:v>
                </c:pt>
                <c:pt idx="441">
                  <c:v>31/01/2026 06:00</c:v>
                </c:pt>
                <c:pt idx="442">
                  <c:v>31/01/2026 06:15</c:v>
                </c:pt>
                <c:pt idx="443">
                  <c:v>31/01/2026 06:30</c:v>
                </c:pt>
                <c:pt idx="444">
                  <c:v>31/01/2026 06:45</c:v>
                </c:pt>
                <c:pt idx="445">
                  <c:v>31/01/2026 07:00</c:v>
                </c:pt>
                <c:pt idx="446">
                  <c:v>31/01/2026 07:15</c:v>
                </c:pt>
                <c:pt idx="447">
                  <c:v>31/01/2026 07:30</c:v>
                </c:pt>
                <c:pt idx="448">
                  <c:v>31/01/2026 07:45</c:v>
                </c:pt>
                <c:pt idx="449">
                  <c:v>31/01/2026 08:00</c:v>
                </c:pt>
                <c:pt idx="450">
                  <c:v>31/01/2026 08:15</c:v>
                </c:pt>
                <c:pt idx="451">
                  <c:v>31/01/2026 08:30</c:v>
                </c:pt>
                <c:pt idx="452">
                  <c:v>31/01/2026 08:45</c:v>
                </c:pt>
                <c:pt idx="453">
                  <c:v>31/01/2026 09:00</c:v>
                </c:pt>
                <c:pt idx="454">
                  <c:v>31/01/2026 09:15</c:v>
                </c:pt>
                <c:pt idx="455">
                  <c:v>31/01/2026 09:30</c:v>
                </c:pt>
                <c:pt idx="456">
                  <c:v>31/01/2026 09:45</c:v>
                </c:pt>
                <c:pt idx="457">
                  <c:v>31/01/2026 10:00</c:v>
                </c:pt>
                <c:pt idx="458">
                  <c:v>31/01/2026 10:15</c:v>
                </c:pt>
                <c:pt idx="459">
                  <c:v>31/01/2026 10:30</c:v>
                </c:pt>
                <c:pt idx="460">
                  <c:v>31/01/2026 10:45</c:v>
                </c:pt>
                <c:pt idx="461">
                  <c:v>31/01/2026 11:00</c:v>
                </c:pt>
                <c:pt idx="462">
                  <c:v>31/01/2026 11:15</c:v>
                </c:pt>
                <c:pt idx="463">
                  <c:v>31/01/2026 11:30</c:v>
                </c:pt>
                <c:pt idx="464">
                  <c:v>31/01/2026 11:45</c:v>
                </c:pt>
                <c:pt idx="465">
                  <c:v>31/01/2026 12:00</c:v>
                </c:pt>
                <c:pt idx="466">
                  <c:v>31/01/2026 12:15</c:v>
                </c:pt>
                <c:pt idx="467">
                  <c:v>31/01/2026 12:30</c:v>
                </c:pt>
                <c:pt idx="468">
                  <c:v>31/01/2026 12:45</c:v>
                </c:pt>
                <c:pt idx="469">
                  <c:v>31/01/2026 13:00</c:v>
                </c:pt>
                <c:pt idx="470">
                  <c:v>31/01/2026 13:15</c:v>
                </c:pt>
                <c:pt idx="471">
                  <c:v>31/01/2026 13:30</c:v>
                </c:pt>
                <c:pt idx="472">
                  <c:v>31/01/2026 13:45</c:v>
                </c:pt>
                <c:pt idx="473">
                  <c:v>31/01/2026 14:00</c:v>
                </c:pt>
                <c:pt idx="474">
                  <c:v>31/01/2026 14:15</c:v>
                </c:pt>
                <c:pt idx="475">
                  <c:v>31/01/2026 14:30</c:v>
                </c:pt>
                <c:pt idx="476">
                  <c:v>31/01/2026 14:45</c:v>
                </c:pt>
                <c:pt idx="477">
                  <c:v>31/01/2026 15:00</c:v>
                </c:pt>
                <c:pt idx="478">
                  <c:v>31/01/2026 15:15</c:v>
                </c:pt>
                <c:pt idx="479">
                  <c:v>31/01/2026 15:30</c:v>
                </c:pt>
                <c:pt idx="480">
                  <c:v>31/01/2026 15:45</c:v>
                </c:pt>
                <c:pt idx="481">
                  <c:v>31/01/2026 16:00</c:v>
                </c:pt>
                <c:pt idx="482">
                  <c:v>31/01/2026 16:15</c:v>
                </c:pt>
                <c:pt idx="483">
                  <c:v>31/01/2026 16:30</c:v>
                </c:pt>
                <c:pt idx="484">
                  <c:v>31/01/2026 16:45</c:v>
                </c:pt>
                <c:pt idx="485">
                  <c:v>31/01/2026 17:00</c:v>
                </c:pt>
                <c:pt idx="486">
                  <c:v>31/01/2026 17:15</c:v>
                </c:pt>
                <c:pt idx="487">
                  <c:v>31/01/2026 17:30</c:v>
                </c:pt>
                <c:pt idx="488">
                  <c:v>31/01/2026 17:45</c:v>
                </c:pt>
                <c:pt idx="489">
                  <c:v>31/01/2026 18:00</c:v>
                </c:pt>
                <c:pt idx="490">
                  <c:v>31/01/2026 18:15</c:v>
                </c:pt>
                <c:pt idx="491">
                  <c:v>31/01/2026 18:30</c:v>
                </c:pt>
                <c:pt idx="492">
                  <c:v>31/01/2026 18:45</c:v>
                </c:pt>
                <c:pt idx="493">
                  <c:v>31/01/2026 19:00</c:v>
                </c:pt>
                <c:pt idx="494">
                  <c:v>31/01/2026 19:15</c:v>
                </c:pt>
                <c:pt idx="495">
                  <c:v>31/01/2026 19:30</c:v>
                </c:pt>
                <c:pt idx="496">
                  <c:v>31/01/2026 19:45</c:v>
                </c:pt>
                <c:pt idx="497">
                  <c:v>31/01/2026 20:00</c:v>
                </c:pt>
                <c:pt idx="498">
                  <c:v>31/01/2026 20:15</c:v>
                </c:pt>
                <c:pt idx="499">
                  <c:v>31/01/2026 20:30</c:v>
                </c:pt>
                <c:pt idx="500">
                  <c:v>31/01/2026 20:45</c:v>
                </c:pt>
                <c:pt idx="501">
                  <c:v>31/01/2026 21:00</c:v>
                </c:pt>
                <c:pt idx="502">
                  <c:v>31/01/2026 21:15</c:v>
                </c:pt>
                <c:pt idx="503">
                  <c:v>31/01/2026 21:30</c:v>
                </c:pt>
                <c:pt idx="504">
                  <c:v>31/01/2026 21:45</c:v>
                </c:pt>
                <c:pt idx="505">
                  <c:v>31/01/2026 22:00</c:v>
                </c:pt>
                <c:pt idx="506">
                  <c:v>31/01/2026 22:15</c:v>
                </c:pt>
                <c:pt idx="507">
                  <c:v>31/01/2026 22:30</c:v>
                </c:pt>
                <c:pt idx="508">
                  <c:v>31/01/2026 22:45</c:v>
                </c:pt>
                <c:pt idx="509">
                  <c:v>31/01/2026 23:00</c:v>
                </c:pt>
                <c:pt idx="510">
                  <c:v>31/01/2026 23:15</c:v>
                </c:pt>
                <c:pt idx="511">
                  <c:v>31/01/2026 23:30</c:v>
                </c:pt>
                <c:pt idx="512">
                  <c:v>31/01/2026 23:45</c:v>
                </c:pt>
                <c:pt idx="513">
                  <c:v>31/01/2026 24:00</c:v>
                </c:pt>
                <c:pt idx="514">
                  <c:v>01/02/2026 00:15</c:v>
                </c:pt>
                <c:pt idx="515">
                  <c:v>01/02/2026 00:30</c:v>
                </c:pt>
                <c:pt idx="516">
                  <c:v>01/02/2026 00:45</c:v>
                </c:pt>
                <c:pt idx="517">
                  <c:v>01/02/2026 01:00</c:v>
                </c:pt>
                <c:pt idx="518">
                  <c:v>01/02/2026 01:15</c:v>
                </c:pt>
                <c:pt idx="519">
                  <c:v>01/02/2026 01:30</c:v>
                </c:pt>
                <c:pt idx="520">
                  <c:v>01/02/2026 01:45</c:v>
                </c:pt>
                <c:pt idx="521">
                  <c:v>01/02/2026 02:00</c:v>
                </c:pt>
                <c:pt idx="522">
                  <c:v>01/02/2026 02:15</c:v>
                </c:pt>
                <c:pt idx="523">
                  <c:v>01/02/2026 02:30</c:v>
                </c:pt>
                <c:pt idx="524">
                  <c:v>01/02/2026 02:45</c:v>
                </c:pt>
                <c:pt idx="525">
                  <c:v>01/02/2026 03:00</c:v>
                </c:pt>
                <c:pt idx="526">
                  <c:v>01/02/2026 03:15</c:v>
                </c:pt>
                <c:pt idx="527">
                  <c:v>01/02/2026 03:30</c:v>
                </c:pt>
                <c:pt idx="528">
                  <c:v>01/02/2026 03:45</c:v>
                </c:pt>
                <c:pt idx="529">
                  <c:v>01/02/2026 04:00</c:v>
                </c:pt>
                <c:pt idx="530">
                  <c:v>01/02/2026 04:15</c:v>
                </c:pt>
                <c:pt idx="531">
                  <c:v>01/02/2026 04:30</c:v>
                </c:pt>
                <c:pt idx="532">
                  <c:v>01/02/2026 04:45</c:v>
                </c:pt>
                <c:pt idx="533">
                  <c:v>01/02/2026 05:00</c:v>
                </c:pt>
                <c:pt idx="534">
                  <c:v>01/02/2026 05:15</c:v>
                </c:pt>
                <c:pt idx="535">
                  <c:v>01/02/2026 05:30</c:v>
                </c:pt>
                <c:pt idx="536">
                  <c:v>01/02/2026 05:45</c:v>
                </c:pt>
                <c:pt idx="537">
                  <c:v>01/02/2026 06:00</c:v>
                </c:pt>
                <c:pt idx="538">
                  <c:v>01/02/2026 06:15</c:v>
                </c:pt>
                <c:pt idx="539">
                  <c:v>01/02/2026 06:30</c:v>
                </c:pt>
                <c:pt idx="540">
                  <c:v>01/02/2026 06:45</c:v>
                </c:pt>
                <c:pt idx="541">
                  <c:v>01/02/2026 07:00</c:v>
                </c:pt>
                <c:pt idx="542">
                  <c:v>01/02/2026 07:15</c:v>
                </c:pt>
                <c:pt idx="543">
                  <c:v>01/02/2026 07:30</c:v>
                </c:pt>
                <c:pt idx="544">
                  <c:v>01/02/2026 07:45</c:v>
                </c:pt>
                <c:pt idx="545">
                  <c:v>01/02/2026 08:00</c:v>
                </c:pt>
                <c:pt idx="546">
                  <c:v>01/02/2026 08:15</c:v>
                </c:pt>
                <c:pt idx="547">
                  <c:v>01/02/2026 08:30</c:v>
                </c:pt>
                <c:pt idx="548">
                  <c:v>01/02/2026 08:45</c:v>
                </c:pt>
                <c:pt idx="549">
                  <c:v>01/02/2026 09:00</c:v>
                </c:pt>
                <c:pt idx="550">
                  <c:v>01/02/2026 09:15</c:v>
                </c:pt>
                <c:pt idx="551">
                  <c:v>01/02/2026 09:30</c:v>
                </c:pt>
                <c:pt idx="552">
                  <c:v>01/02/2026 09:45</c:v>
                </c:pt>
                <c:pt idx="553">
                  <c:v>01/02/2026 10:00</c:v>
                </c:pt>
                <c:pt idx="554">
                  <c:v>01/02/2026 10:15</c:v>
                </c:pt>
                <c:pt idx="555">
                  <c:v>01/02/2026 10:30</c:v>
                </c:pt>
                <c:pt idx="556">
                  <c:v>01/02/2026 10:45</c:v>
                </c:pt>
                <c:pt idx="557">
                  <c:v>01/02/2026 11:00</c:v>
                </c:pt>
                <c:pt idx="558">
                  <c:v>01/02/2026 11:15</c:v>
                </c:pt>
                <c:pt idx="559">
                  <c:v>01/02/2026 11:30</c:v>
                </c:pt>
                <c:pt idx="560">
                  <c:v>01/02/2026 11:45</c:v>
                </c:pt>
                <c:pt idx="561">
                  <c:v>01/02/2026 12:00</c:v>
                </c:pt>
                <c:pt idx="562">
                  <c:v>01/02/2026 12:15</c:v>
                </c:pt>
                <c:pt idx="563">
                  <c:v>01/02/2026 12:30</c:v>
                </c:pt>
                <c:pt idx="564">
                  <c:v>01/02/2026 12:45</c:v>
                </c:pt>
                <c:pt idx="565">
                  <c:v>01/02/2026 13:00</c:v>
                </c:pt>
                <c:pt idx="566">
                  <c:v>01/02/2026 13:15</c:v>
                </c:pt>
                <c:pt idx="567">
                  <c:v>01/02/2026 13:30</c:v>
                </c:pt>
                <c:pt idx="568">
                  <c:v>01/02/2026 13:45</c:v>
                </c:pt>
                <c:pt idx="569">
                  <c:v>01/02/2026 14:00</c:v>
                </c:pt>
                <c:pt idx="570">
                  <c:v>01/02/2026 14:15</c:v>
                </c:pt>
                <c:pt idx="571">
                  <c:v>01/02/2026 14:30</c:v>
                </c:pt>
                <c:pt idx="572">
                  <c:v>01/02/2026 14:45</c:v>
                </c:pt>
                <c:pt idx="573">
                  <c:v>01/02/2026 15:00</c:v>
                </c:pt>
                <c:pt idx="574">
                  <c:v>01/02/2026 15:15</c:v>
                </c:pt>
                <c:pt idx="575">
                  <c:v>01/02/2026 15:30</c:v>
                </c:pt>
                <c:pt idx="576">
                  <c:v>01/02/2026 15:45</c:v>
                </c:pt>
                <c:pt idx="577">
                  <c:v>01/02/2026 16:00</c:v>
                </c:pt>
                <c:pt idx="578">
                  <c:v>01/02/2026 16:15</c:v>
                </c:pt>
                <c:pt idx="579">
                  <c:v>01/02/2026 16:30</c:v>
                </c:pt>
                <c:pt idx="580">
                  <c:v>01/02/2026 16:45</c:v>
                </c:pt>
                <c:pt idx="581">
                  <c:v>01/02/2026 17:00</c:v>
                </c:pt>
                <c:pt idx="582">
                  <c:v>01/02/2026 17:15</c:v>
                </c:pt>
                <c:pt idx="583">
                  <c:v>01/02/2026 17:30</c:v>
                </c:pt>
                <c:pt idx="584">
                  <c:v>01/02/2026 17:45</c:v>
                </c:pt>
                <c:pt idx="585">
                  <c:v>01/02/2026 18:00</c:v>
                </c:pt>
                <c:pt idx="586">
                  <c:v>01/02/2026 18:15</c:v>
                </c:pt>
                <c:pt idx="587">
                  <c:v>01/02/2026 18:30</c:v>
                </c:pt>
                <c:pt idx="588">
                  <c:v>01/02/2026 18:45</c:v>
                </c:pt>
                <c:pt idx="589">
                  <c:v>01/02/2026 19:00</c:v>
                </c:pt>
                <c:pt idx="590">
                  <c:v>01/02/2026 19:15</c:v>
                </c:pt>
                <c:pt idx="591">
                  <c:v>01/02/2026 19:30</c:v>
                </c:pt>
                <c:pt idx="592">
                  <c:v>01/02/2026 19:45</c:v>
                </c:pt>
                <c:pt idx="593">
                  <c:v>01/02/2026 20:00</c:v>
                </c:pt>
                <c:pt idx="594">
                  <c:v>01/02/2026 20:15</c:v>
                </c:pt>
                <c:pt idx="595">
                  <c:v>01/02/2026 20:30</c:v>
                </c:pt>
                <c:pt idx="596">
                  <c:v>01/02/2026 20:45</c:v>
                </c:pt>
                <c:pt idx="597">
                  <c:v>01/02/2026 21:00</c:v>
                </c:pt>
                <c:pt idx="598">
                  <c:v>01/02/2026 21:15</c:v>
                </c:pt>
                <c:pt idx="599">
                  <c:v>01/02/2026 21:30</c:v>
                </c:pt>
                <c:pt idx="600">
                  <c:v>01/02/2026 21:45</c:v>
                </c:pt>
                <c:pt idx="601">
                  <c:v>01/02/2026 22:00</c:v>
                </c:pt>
                <c:pt idx="602">
                  <c:v>01/02/2026 22:15</c:v>
                </c:pt>
                <c:pt idx="603">
                  <c:v>01/02/2026 22:30</c:v>
                </c:pt>
                <c:pt idx="604">
                  <c:v>01/02/2026 22:45</c:v>
                </c:pt>
                <c:pt idx="605">
                  <c:v>01/02/2026 23:00</c:v>
                </c:pt>
                <c:pt idx="606">
                  <c:v>01/02/2026 23:15</c:v>
                </c:pt>
                <c:pt idx="607">
                  <c:v>01/02/2026 23:30</c:v>
                </c:pt>
                <c:pt idx="608">
                  <c:v>01/02/2026 23:45</c:v>
                </c:pt>
                <c:pt idx="609">
                  <c:v>01/02/2026 24:00</c:v>
                </c:pt>
                <c:pt idx="610">
                  <c:v>02/02/2026 00:15</c:v>
                </c:pt>
                <c:pt idx="611">
                  <c:v>02/02/2026 00:30</c:v>
                </c:pt>
                <c:pt idx="612">
                  <c:v>02/02/2026 00:45</c:v>
                </c:pt>
                <c:pt idx="613">
                  <c:v>02/02/2026 01:00</c:v>
                </c:pt>
                <c:pt idx="614">
                  <c:v>02/02/2026 01:15</c:v>
                </c:pt>
                <c:pt idx="615">
                  <c:v>02/02/2026 01:30</c:v>
                </c:pt>
                <c:pt idx="616">
                  <c:v>02/02/2026 01:45</c:v>
                </c:pt>
                <c:pt idx="617">
                  <c:v>02/02/2026 02:00</c:v>
                </c:pt>
                <c:pt idx="618">
                  <c:v>02/02/2026 02:15</c:v>
                </c:pt>
                <c:pt idx="619">
                  <c:v>02/02/2026 02:30</c:v>
                </c:pt>
                <c:pt idx="620">
                  <c:v>02/02/2026 02:45</c:v>
                </c:pt>
                <c:pt idx="621">
                  <c:v>02/02/2026 03:00</c:v>
                </c:pt>
                <c:pt idx="622">
                  <c:v>02/02/2026 03:15</c:v>
                </c:pt>
                <c:pt idx="623">
                  <c:v>02/02/2026 03:30</c:v>
                </c:pt>
                <c:pt idx="624">
                  <c:v>02/02/2026 03:45</c:v>
                </c:pt>
                <c:pt idx="625">
                  <c:v>02/02/2026 04:00</c:v>
                </c:pt>
                <c:pt idx="626">
                  <c:v>02/02/2026 04:15</c:v>
                </c:pt>
                <c:pt idx="627">
                  <c:v>02/02/2026 04:30</c:v>
                </c:pt>
                <c:pt idx="628">
                  <c:v>02/02/2026 04:45</c:v>
                </c:pt>
                <c:pt idx="629">
                  <c:v>02/02/2026 05:00</c:v>
                </c:pt>
                <c:pt idx="630">
                  <c:v>02/02/2026 05:15</c:v>
                </c:pt>
                <c:pt idx="631">
                  <c:v>02/02/2026 05:30</c:v>
                </c:pt>
                <c:pt idx="632">
                  <c:v>02/02/2026 05:45</c:v>
                </c:pt>
                <c:pt idx="633">
                  <c:v>02/02/2026 06:00</c:v>
                </c:pt>
                <c:pt idx="634">
                  <c:v>02/02/2026 06:15</c:v>
                </c:pt>
                <c:pt idx="635">
                  <c:v>02/02/2026 06:30</c:v>
                </c:pt>
                <c:pt idx="636">
                  <c:v>02/02/2026 06:45</c:v>
                </c:pt>
                <c:pt idx="637">
                  <c:v>02/02/2026 07:00</c:v>
                </c:pt>
                <c:pt idx="638">
                  <c:v>02/02/2026 07:15</c:v>
                </c:pt>
                <c:pt idx="639">
                  <c:v>02/02/2026 07:30</c:v>
                </c:pt>
                <c:pt idx="640">
                  <c:v>02/02/2026 07:45</c:v>
                </c:pt>
                <c:pt idx="641">
                  <c:v>02/02/2026 08:00</c:v>
                </c:pt>
                <c:pt idx="642">
                  <c:v>02/02/2026 08:15</c:v>
                </c:pt>
                <c:pt idx="643">
                  <c:v>02/02/2026 08:30</c:v>
                </c:pt>
                <c:pt idx="644">
                  <c:v>02/02/2026 08:45</c:v>
                </c:pt>
                <c:pt idx="645">
                  <c:v>02/02/2026 09:00</c:v>
                </c:pt>
                <c:pt idx="646">
                  <c:v>02/02/2026 09:15</c:v>
                </c:pt>
                <c:pt idx="647">
                  <c:v>02/02/2026 09:30</c:v>
                </c:pt>
                <c:pt idx="648">
                  <c:v>02/02/2026 09:45</c:v>
                </c:pt>
                <c:pt idx="649">
                  <c:v>02/02/2026 10:00</c:v>
                </c:pt>
                <c:pt idx="650">
                  <c:v>02/02/2026 10:15</c:v>
                </c:pt>
                <c:pt idx="651">
                  <c:v>02/02/2026 10:30</c:v>
                </c:pt>
                <c:pt idx="652">
                  <c:v>02/02/2026 10:45</c:v>
                </c:pt>
                <c:pt idx="653">
                  <c:v>02/02/2026 11:00</c:v>
                </c:pt>
                <c:pt idx="654">
                  <c:v>02/02/2026 11:15</c:v>
                </c:pt>
                <c:pt idx="655">
                  <c:v>02/02/2026 11:30</c:v>
                </c:pt>
                <c:pt idx="656">
                  <c:v>02/02/2026 11:45</c:v>
                </c:pt>
                <c:pt idx="657">
                  <c:v>02/02/2026 12:00</c:v>
                </c:pt>
                <c:pt idx="658">
                  <c:v>02/02/2026 12:15</c:v>
                </c:pt>
                <c:pt idx="659">
                  <c:v>02/02/2026 12:30</c:v>
                </c:pt>
                <c:pt idx="660">
                  <c:v>02/02/2026 12:45</c:v>
                </c:pt>
                <c:pt idx="661">
                  <c:v>02/02/2026 13:00</c:v>
                </c:pt>
                <c:pt idx="662">
                  <c:v>02/02/2026 13:15</c:v>
                </c:pt>
                <c:pt idx="663">
                  <c:v>02/02/2026 13:30</c:v>
                </c:pt>
                <c:pt idx="664">
                  <c:v>02/02/2026 13:45</c:v>
                </c:pt>
                <c:pt idx="665">
                  <c:v>02/02/2026 14:00</c:v>
                </c:pt>
                <c:pt idx="666">
                  <c:v>02/02/2026 14:15</c:v>
                </c:pt>
                <c:pt idx="667">
                  <c:v>02/02/2026 14:30</c:v>
                </c:pt>
                <c:pt idx="668">
                  <c:v>02/02/2026 14:45</c:v>
                </c:pt>
                <c:pt idx="669">
                  <c:v>02/02/2026 15:00</c:v>
                </c:pt>
                <c:pt idx="670">
                  <c:v>02/02/2026 15:15</c:v>
                </c:pt>
                <c:pt idx="671">
                  <c:v>02/02/2026 15:30</c:v>
                </c:pt>
                <c:pt idx="672">
                  <c:v>02/02/2026 15:45</c:v>
                </c:pt>
                <c:pt idx="673">
                  <c:v>02/02/2026 16:00</c:v>
                </c:pt>
                <c:pt idx="674">
                  <c:v>02/02/2026 16:15</c:v>
                </c:pt>
                <c:pt idx="675">
                  <c:v>02/02/2026 16:30</c:v>
                </c:pt>
                <c:pt idx="676">
                  <c:v>02/02/2026 16:45</c:v>
                </c:pt>
                <c:pt idx="677">
                  <c:v>02/02/2026 17:00</c:v>
                </c:pt>
                <c:pt idx="678">
                  <c:v>02/02/2026 17:15</c:v>
                </c:pt>
                <c:pt idx="679">
                  <c:v>02/02/2026 17:30</c:v>
                </c:pt>
                <c:pt idx="680">
                  <c:v>02/02/2026 17:45</c:v>
                </c:pt>
                <c:pt idx="681">
                  <c:v>02/02/2026 18:00</c:v>
                </c:pt>
                <c:pt idx="682">
                  <c:v>02/02/2026 18:15</c:v>
                </c:pt>
                <c:pt idx="683">
                  <c:v>02/02/2026 18:30</c:v>
                </c:pt>
                <c:pt idx="684">
                  <c:v>02/02/2026 18:45</c:v>
                </c:pt>
                <c:pt idx="685">
                  <c:v>02/02/2026 19:00</c:v>
                </c:pt>
                <c:pt idx="686">
                  <c:v>02/02/2026 19:15</c:v>
                </c:pt>
                <c:pt idx="687">
                  <c:v>02/02/2026 19:30</c:v>
                </c:pt>
                <c:pt idx="688">
                  <c:v>02/02/2026 19:45</c:v>
                </c:pt>
                <c:pt idx="689">
                  <c:v>02/02/2026 20:00</c:v>
                </c:pt>
                <c:pt idx="690">
                  <c:v>02/02/2026 20:15</c:v>
                </c:pt>
                <c:pt idx="691">
                  <c:v>02/02/2026 20:30</c:v>
                </c:pt>
                <c:pt idx="692">
                  <c:v>02/02/2026 20:45</c:v>
                </c:pt>
                <c:pt idx="693">
                  <c:v>02/02/2026 21:00</c:v>
                </c:pt>
                <c:pt idx="694">
                  <c:v>02/02/2026 21:15</c:v>
                </c:pt>
                <c:pt idx="695">
                  <c:v>02/02/2026 21:30</c:v>
                </c:pt>
                <c:pt idx="696">
                  <c:v>02/02/2026 21:45</c:v>
                </c:pt>
                <c:pt idx="697">
                  <c:v>02/02/2026 22:00</c:v>
                </c:pt>
                <c:pt idx="698">
                  <c:v>02/02/2026 22:15</c:v>
                </c:pt>
                <c:pt idx="699">
                  <c:v>02/02/2026 22:30</c:v>
                </c:pt>
                <c:pt idx="700">
                  <c:v>02/02/2026 22:45</c:v>
                </c:pt>
                <c:pt idx="701">
                  <c:v>02/02/2026 23:00</c:v>
                </c:pt>
                <c:pt idx="702">
                  <c:v>02/02/2026 23:15</c:v>
                </c:pt>
                <c:pt idx="703">
                  <c:v>02/02/2026 23:30</c:v>
                </c:pt>
                <c:pt idx="704">
                  <c:v>02/02/2026 23:45</c:v>
                </c:pt>
                <c:pt idx="705">
                  <c:v>02/02/2026 24:00</c:v>
                </c:pt>
                <c:pt idx="706">
                  <c:v>03/02/2026 00:15</c:v>
                </c:pt>
                <c:pt idx="707">
                  <c:v>03/02/2026 00:30</c:v>
                </c:pt>
                <c:pt idx="708">
                  <c:v>03/02/2026 00:45</c:v>
                </c:pt>
                <c:pt idx="709">
                  <c:v>03/02/2026 01:00</c:v>
                </c:pt>
                <c:pt idx="710">
                  <c:v>03/02/2026 01:15</c:v>
                </c:pt>
                <c:pt idx="711">
                  <c:v>03/02/2026 01:30</c:v>
                </c:pt>
                <c:pt idx="712">
                  <c:v>03/02/2026 01:45</c:v>
                </c:pt>
                <c:pt idx="713">
                  <c:v>03/02/2026 02:00</c:v>
                </c:pt>
                <c:pt idx="714">
                  <c:v>03/02/2026 02:15</c:v>
                </c:pt>
                <c:pt idx="715">
                  <c:v>03/02/2026 02:30</c:v>
                </c:pt>
                <c:pt idx="716">
                  <c:v>03/02/2026 02:45</c:v>
                </c:pt>
                <c:pt idx="717">
                  <c:v>03/02/2026 03:00</c:v>
                </c:pt>
                <c:pt idx="718">
                  <c:v>03/02/2026 03:15</c:v>
                </c:pt>
                <c:pt idx="719">
                  <c:v>03/02/2026 03:30</c:v>
                </c:pt>
                <c:pt idx="720">
                  <c:v>03/02/2026 03:45</c:v>
                </c:pt>
                <c:pt idx="721">
                  <c:v>03/02/2026 04:00</c:v>
                </c:pt>
                <c:pt idx="722">
                  <c:v>03/02/2026 04:15</c:v>
                </c:pt>
                <c:pt idx="723">
                  <c:v>03/02/2026 04:30</c:v>
                </c:pt>
                <c:pt idx="724">
                  <c:v>03/02/2026 04:45</c:v>
                </c:pt>
                <c:pt idx="725">
                  <c:v>03/02/2026 05:00</c:v>
                </c:pt>
                <c:pt idx="726">
                  <c:v>03/02/2026 05:15</c:v>
                </c:pt>
                <c:pt idx="727">
                  <c:v>03/02/2026 05:30</c:v>
                </c:pt>
                <c:pt idx="728">
                  <c:v>03/02/2026 05:45</c:v>
                </c:pt>
                <c:pt idx="729">
                  <c:v>03/02/2026 06:00</c:v>
                </c:pt>
                <c:pt idx="730">
                  <c:v>03/02/2026 06:15</c:v>
                </c:pt>
                <c:pt idx="731">
                  <c:v>03/02/2026 06:30</c:v>
                </c:pt>
                <c:pt idx="732">
                  <c:v>03/02/2026 06:45</c:v>
                </c:pt>
                <c:pt idx="733">
                  <c:v>03/02/2026 07:00</c:v>
                </c:pt>
                <c:pt idx="734">
                  <c:v>03/02/2026 07:15</c:v>
                </c:pt>
                <c:pt idx="735">
                  <c:v>03/02/2026 07:30</c:v>
                </c:pt>
                <c:pt idx="736">
                  <c:v>03/02/2026 07:45</c:v>
                </c:pt>
                <c:pt idx="737">
                  <c:v>03/02/2026 08:00</c:v>
                </c:pt>
                <c:pt idx="738">
                  <c:v>03/02/2026 08:15</c:v>
                </c:pt>
                <c:pt idx="739">
                  <c:v>03/02/2026 08:30</c:v>
                </c:pt>
                <c:pt idx="740">
                  <c:v>03/02/2026 08:45</c:v>
                </c:pt>
                <c:pt idx="741">
                  <c:v>03/02/2026 09:00</c:v>
                </c:pt>
                <c:pt idx="742">
                  <c:v>03/02/2026 09:15</c:v>
                </c:pt>
                <c:pt idx="743">
                  <c:v>03/02/2026 09:30</c:v>
                </c:pt>
                <c:pt idx="744">
                  <c:v>03/02/2026 09:45</c:v>
                </c:pt>
                <c:pt idx="745">
                  <c:v>03/02/2026 10:00</c:v>
                </c:pt>
                <c:pt idx="746">
                  <c:v>03/02/2026 10:15</c:v>
                </c:pt>
                <c:pt idx="747">
                  <c:v>03/02/2026 10:30</c:v>
                </c:pt>
                <c:pt idx="748">
                  <c:v>03/02/2026 10:45</c:v>
                </c:pt>
                <c:pt idx="749">
                  <c:v>03/02/2026 11:00</c:v>
                </c:pt>
                <c:pt idx="750">
                  <c:v>03/02/2026 11:15</c:v>
                </c:pt>
                <c:pt idx="751">
                  <c:v>03/02/2026 11:30</c:v>
                </c:pt>
                <c:pt idx="752">
                  <c:v>03/02/2026 11:45</c:v>
                </c:pt>
                <c:pt idx="753">
                  <c:v>03/02/2026 12:00</c:v>
                </c:pt>
                <c:pt idx="754">
                  <c:v>03/02/2026 12:15</c:v>
                </c:pt>
                <c:pt idx="755">
                  <c:v>03/02/2026 12:30</c:v>
                </c:pt>
                <c:pt idx="756">
                  <c:v>03/02/2026 12:45</c:v>
                </c:pt>
                <c:pt idx="757">
                  <c:v>03/02/2026 13:00</c:v>
                </c:pt>
                <c:pt idx="758">
                  <c:v>03/02/2026 13:15</c:v>
                </c:pt>
                <c:pt idx="759">
                  <c:v>03/02/2026 13:30</c:v>
                </c:pt>
                <c:pt idx="760">
                  <c:v>03/02/2026 13:45</c:v>
                </c:pt>
                <c:pt idx="761">
                  <c:v>03/02/2026 14:00</c:v>
                </c:pt>
                <c:pt idx="762">
                  <c:v>03/02/2026 14:15</c:v>
                </c:pt>
                <c:pt idx="763">
                  <c:v>03/02/2026 14:30</c:v>
                </c:pt>
                <c:pt idx="764">
                  <c:v>03/02/2026 14:45</c:v>
                </c:pt>
                <c:pt idx="765">
                  <c:v>03/02/2026 15:00</c:v>
                </c:pt>
                <c:pt idx="766">
                  <c:v>03/02/2026 15:15</c:v>
                </c:pt>
                <c:pt idx="767">
                  <c:v>03/02/2026 15:30</c:v>
                </c:pt>
                <c:pt idx="768">
                  <c:v>03/02/2026 15:45</c:v>
                </c:pt>
                <c:pt idx="769">
                  <c:v>03/02/2026 16:00</c:v>
                </c:pt>
                <c:pt idx="770">
                  <c:v>03/02/2026 16:15</c:v>
                </c:pt>
                <c:pt idx="771">
                  <c:v>03/02/2026 16:30</c:v>
                </c:pt>
                <c:pt idx="772">
                  <c:v>03/02/2026 16:45</c:v>
                </c:pt>
                <c:pt idx="773">
                  <c:v>03/02/2026 17:00</c:v>
                </c:pt>
                <c:pt idx="774">
                  <c:v>03/02/2026 17:15</c:v>
                </c:pt>
                <c:pt idx="775">
                  <c:v>03/02/2026 17:30</c:v>
                </c:pt>
                <c:pt idx="776">
                  <c:v>03/02/2026 17:45</c:v>
                </c:pt>
                <c:pt idx="777">
                  <c:v>03/02/2026 18:00</c:v>
                </c:pt>
                <c:pt idx="778">
                  <c:v>03/02/2026 18:15</c:v>
                </c:pt>
                <c:pt idx="779">
                  <c:v>03/02/2026 18:30</c:v>
                </c:pt>
                <c:pt idx="780">
                  <c:v>03/02/2026 18:45</c:v>
                </c:pt>
                <c:pt idx="781">
                  <c:v>03/02/2026 19:00</c:v>
                </c:pt>
                <c:pt idx="782">
                  <c:v>03/02/2026 19:15</c:v>
                </c:pt>
                <c:pt idx="783">
                  <c:v>03/02/2026 19:30</c:v>
                </c:pt>
                <c:pt idx="784">
                  <c:v>03/02/2026 19:45</c:v>
                </c:pt>
                <c:pt idx="785">
                  <c:v>03/02/2026 20:00</c:v>
                </c:pt>
                <c:pt idx="786">
                  <c:v>03/02/2026 20:15</c:v>
                </c:pt>
                <c:pt idx="787">
                  <c:v>03/02/2026 20:30</c:v>
                </c:pt>
                <c:pt idx="788">
                  <c:v>03/02/2026 20:45</c:v>
                </c:pt>
                <c:pt idx="789">
                  <c:v>03/02/2026 21:00</c:v>
                </c:pt>
                <c:pt idx="790">
                  <c:v>03/02/2026 21:15</c:v>
                </c:pt>
                <c:pt idx="791">
                  <c:v>03/02/2026 21:30</c:v>
                </c:pt>
                <c:pt idx="792">
                  <c:v>03/02/2026 21:45</c:v>
                </c:pt>
                <c:pt idx="793">
                  <c:v>03/02/2026 22:00</c:v>
                </c:pt>
                <c:pt idx="794">
                  <c:v>03/02/2026 22:15</c:v>
                </c:pt>
                <c:pt idx="795">
                  <c:v>03/02/2026 22:30</c:v>
                </c:pt>
                <c:pt idx="796">
                  <c:v>03/02/2026 22:45</c:v>
                </c:pt>
                <c:pt idx="797">
                  <c:v>03/02/2026 23:00</c:v>
                </c:pt>
                <c:pt idx="798">
                  <c:v>03/02/2026 23:15</c:v>
                </c:pt>
                <c:pt idx="799">
                  <c:v>03/02/2026 23:30</c:v>
                </c:pt>
                <c:pt idx="800">
                  <c:v>03/02/2026 23:45</c:v>
                </c:pt>
                <c:pt idx="801">
                  <c:v>03/02/2026 24:00</c:v>
                </c:pt>
                <c:pt idx="802">
                  <c:v>04/02/2026 00:15</c:v>
                </c:pt>
                <c:pt idx="803">
                  <c:v>04/02/2026 00:30</c:v>
                </c:pt>
                <c:pt idx="804">
                  <c:v>04/02/2026 00:45</c:v>
                </c:pt>
                <c:pt idx="805">
                  <c:v>04/02/2026 01:00</c:v>
                </c:pt>
                <c:pt idx="806">
                  <c:v>04/02/2026 01:15</c:v>
                </c:pt>
                <c:pt idx="807">
                  <c:v>04/02/2026 01:30</c:v>
                </c:pt>
                <c:pt idx="808">
                  <c:v>04/02/2026 01:45</c:v>
                </c:pt>
                <c:pt idx="809">
                  <c:v>04/02/2026 02:00</c:v>
                </c:pt>
                <c:pt idx="810">
                  <c:v>04/02/2026 02:15</c:v>
                </c:pt>
                <c:pt idx="811">
                  <c:v>04/02/2026 02:30</c:v>
                </c:pt>
                <c:pt idx="812">
                  <c:v>04/02/2026 02:45</c:v>
                </c:pt>
                <c:pt idx="813">
                  <c:v>04/02/2026 03:00</c:v>
                </c:pt>
                <c:pt idx="814">
                  <c:v>04/02/2026 03:15</c:v>
                </c:pt>
                <c:pt idx="815">
                  <c:v>04/02/2026 03:30</c:v>
                </c:pt>
                <c:pt idx="816">
                  <c:v>04/02/2026 03:45</c:v>
                </c:pt>
                <c:pt idx="817">
                  <c:v>04/02/2026 04:00</c:v>
                </c:pt>
                <c:pt idx="818">
                  <c:v>04/02/2026 04:15</c:v>
                </c:pt>
                <c:pt idx="819">
                  <c:v>04/02/2026 04:30</c:v>
                </c:pt>
                <c:pt idx="820">
                  <c:v>04/02/2026 04:45</c:v>
                </c:pt>
                <c:pt idx="821">
                  <c:v>04/02/2026 05:00</c:v>
                </c:pt>
                <c:pt idx="822">
                  <c:v>04/02/2026 05:15</c:v>
                </c:pt>
                <c:pt idx="823">
                  <c:v>04/02/2026 05:30</c:v>
                </c:pt>
                <c:pt idx="824">
                  <c:v>04/02/2026 05:45</c:v>
                </c:pt>
                <c:pt idx="825">
                  <c:v>04/02/2026 06:00</c:v>
                </c:pt>
                <c:pt idx="826">
                  <c:v>04/02/2026 06:15</c:v>
                </c:pt>
                <c:pt idx="827">
                  <c:v>04/02/2026 06:30</c:v>
                </c:pt>
                <c:pt idx="828">
                  <c:v>04/02/2026 06:45</c:v>
                </c:pt>
                <c:pt idx="829">
                  <c:v>04/02/2026 07:00</c:v>
                </c:pt>
                <c:pt idx="830">
                  <c:v>04/02/2026 07:15</c:v>
                </c:pt>
                <c:pt idx="831">
                  <c:v>04/02/2026 07:30</c:v>
                </c:pt>
                <c:pt idx="832">
                  <c:v>04/02/2026 07:45</c:v>
                </c:pt>
                <c:pt idx="833">
                  <c:v>04/02/2026 08:00</c:v>
                </c:pt>
                <c:pt idx="834">
                  <c:v>04/02/2026 08:15</c:v>
                </c:pt>
                <c:pt idx="835">
                  <c:v>04/02/2026 08:30</c:v>
                </c:pt>
                <c:pt idx="836">
                  <c:v>04/02/2026 08:45</c:v>
                </c:pt>
                <c:pt idx="837">
                  <c:v>04/02/2026 09:00</c:v>
                </c:pt>
                <c:pt idx="838">
                  <c:v>04/02/2026 09:15</c:v>
                </c:pt>
                <c:pt idx="839">
                  <c:v>04/02/2026 09:30</c:v>
                </c:pt>
                <c:pt idx="840">
                  <c:v>04/02/2026 09:45</c:v>
                </c:pt>
                <c:pt idx="841">
                  <c:v>04/02/2026 10:00</c:v>
                </c:pt>
                <c:pt idx="842">
                  <c:v>04/02/2026 10:15</c:v>
                </c:pt>
                <c:pt idx="843">
                  <c:v>04/02/2026 10:30</c:v>
                </c:pt>
                <c:pt idx="844">
                  <c:v>04/02/2026 10:45</c:v>
                </c:pt>
                <c:pt idx="845">
                  <c:v>04/02/2026 11:00</c:v>
                </c:pt>
                <c:pt idx="846">
                  <c:v>04/02/2026 11:15</c:v>
                </c:pt>
                <c:pt idx="847">
                  <c:v>04/02/2026 11:30</c:v>
                </c:pt>
                <c:pt idx="848">
                  <c:v>04/02/2026 11:45</c:v>
                </c:pt>
                <c:pt idx="849">
                  <c:v>04/02/2026 12:00</c:v>
                </c:pt>
                <c:pt idx="850">
                  <c:v>04/02/2026 12:15</c:v>
                </c:pt>
                <c:pt idx="851">
                  <c:v>04/02/2026 12:30</c:v>
                </c:pt>
                <c:pt idx="852">
                  <c:v>04/02/2026 12:45</c:v>
                </c:pt>
                <c:pt idx="853">
                  <c:v>04/02/2026 13:00</c:v>
                </c:pt>
                <c:pt idx="854">
                  <c:v>04/02/2026 13:15</c:v>
                </c:pt>
                <c:pt idx="855">
                  <c:v>04/02/2026 13:30</c:v>
                </c:pt>
                <c:pt idx="856">
                  <c:v>04/02/2026 13:45</c:v>
                </c:pt>
                <c:pt idx="857">
                  <c:v>04/02/2026 14:00</c:v>
                </c:pt>
                <c:pt idx="858">
                  <c:v>04/02/2026 14:15</c:v>
                </c:pt>
                <c:pt idx="859">
                  <c:v>04/02/2026 14:30</c:v>
                </c:pt>
                <c:pt idx="860">
                  <c:v>04/02/2026 14:45</c:v>
                </c:pt>
                <c:pt idx="861">
                  <c:v>04/02/2026 15:00</c:v>
                </c:pt>
                <c:pt idx="862">
                  <c:v>04/02/2026 15:15</c:v>
                </c:pt>
                <c:pt idx="863">
                  <c:v>04/02/2026 15:30</c:v>
                </c:pt>
                <c:pt idx="864">
                  <c:v>04/02/2026 15:45</c:v>
                </c:pt>
                <c:pt idx="865">
                  <c:v>04/02/2026 16:00</c:v>
                </c:pt>
                <c:pt idx="866">
                  <c:v>04/02/2026 16:15</c:v>
                </c:pt>
                <c:pt idx="867">
                  <c:v>04/02/2026 16:30</c:v>
                </c:pt>
                <c:pt idx="868">
                  <c:v>04/02/2026 16:45</c:v>
                </c:pt>
                <c:pt idx="869">
                  <c:v>04/02/2026 17:00</c:v>
                </c:pt>
                <c:pt idx="870">
                  <c:v>04/02/2026 17:15</c:v>
                </c:pt>
                <c:pt idx="871">
                  <c:v>04/02/2026 17:30</c:v>
                </c:pt>
                <c:pt idx="872">
                  <c:v>04/02/2026 17:45</c:v>
                </c:pt>
                <c:pt idx="873">
                  <c:v>04/02/2026 18:00</c:v>
                </c:pt>
                <c:pt idx="874">
                  <c:v>04/02/2026 18:15</c:v>
                </c:pt>
                <c:pt idx="875">
                  <c:v>04/02/2026 18:30</c:v>
                </c:pt>
                <c:pt idx="876">
                  <c:v>04/02/2026 18:45</c:v>
                </c:pt>
                <c:pt idx="877">
                  <c:v>04/02/2026 19:00</c:v>
                </c:pt>
                <c:pt idx="878">
                  <c:v>04/02/2026 19:15</c:v>
                </c:pt>
                <c:pt idx="879">
                  <c:v>04/02/2026 19:30</c:v>
                </c:pt>
                <c:pt idx="880">
                  <c:v>04/02/2026 19:45</c:v>
                </c:pt>
                <c:pt idx="881">
                  <c:v>04/02/2026 20:00</c:v>
                </c:pt>
                <c:pt idx="882">
                  <c:v>04/02/2026 20:15</c:v>
                </c:pt>
                <c:pt idx="883">
                  <c:v>04/02/2026 20:30</c:v>
                </c:pt>
                <c:pt idx="884">
                  <c:v>04/02/2026 20:45</c:v>
                </c:pt>
                <c:pt idx="885">
                  <c:v>04/02/2026 21:00</c:v>
                </c:pt>
                <c:pt idx="886">
                  <c:v>04/02/2026 21:15</c:v>
                </c:pt>
                <c:pt idx="887">
                  <c:v>04/02/2026 21:30</c:v>
                </c:pt>
                <c:pt idx="888">
                  <c:v>04/02/2026 21:45</c:v>
                </c:pt>
                <c:pt idx="889">
                  <c:v>04/02/2026 22:00</c:v>
                </c:pt>
                <c:pt idx="890">
                  <c:v>04/02/2026 22:15</c:v>
                </c:pt>
                <c:pt idx="891">
                  <c:v>04/02/2026 22:30</c:v>
                </c:pt>
                <c:pt idx="892">
                  <c:v>04/02/2026 22:45</c:v>
                </c:pt>
                <c:pt idx="893">
                  <c:v>04/02/2026 23:00</c:v>
                </c:pt>
                <c:pt idx="894">
                  <c:v>04/02/2026 23:15</c:v>
                </c:pt>
                <c:pt idx="895">
                  <c:v>04/02/2026 23:30</c:v>
                </c:pt>
                <c:pt idx="896">
                  <c:v>04/02/2026 23:45</c:v>
                </c:pt>
                <c:pt idx="897">
                  <c:v>04/02/2026 24:00</c:v>
                </c:pt>
                <c:pt idx="898">
                  <c:v>05/02/2026 00:15</c:v>
                </c:pt>
                <c:pt idx="899">
                  <c:v>05/02/2026 00:30</c:v>
                </c:pt>
                <c:pt idx="900">
                  <c:v>05/02/2026 00:45</c:v>
                </c:pt>
                <c:pt idx="901">
                  <c:v>05/02/2026 01:00</c:v>
                </c:pt>
                <c:pt idx="902">
                  <c:v>05/02/2026 01:15</c:v>
                </c:pt>
                <c:pt idx="903">
                  <c:v>05/02/2026 01:30</c:v>
                </c:pt>
                <c:pt idx="904">
                  <c:v>05/02/2026 01:45</c:v>
                </c:pt>
                <c:pt idx="905">
                  <c:v>05/02/2026 02:00</c:v>
                </c:pt>
                <c:pt idx="906">
                  <c:v>05/02/2026 02:15</c:v>
                </c:pt>
                <c:pt idx="907">
                  <c:v>05/02/2026 02:30</c:v>
                </c:pt>
                <c:pt idx="908">
                  <c:v>05/02/2026 02:45</c:v>
                </c:pt>
                <c:pt idx="909">
                  <c:v>05/02/2026 03:00</c:v>
                </c:pt>
                <c:pt idx="910">
                  <c:v>05/02/2026 03:15</c:v>
                </c:pt>
                <c:pt idx="911">
                  <c:v>05/02/2026 03:30</c:v>
                </c:pt>
                <c:pt idx="912">
                  <c:v>05/02/2026 03:45</c:v>
                </c:pt>
                <c:pt idx="913">
                  <c:v>05/02/2026 04:00</c:v>
                </c:pt>
                <c:pt idx="914">
                  <c:v>05/02/2026 04:15</c:v>
                </c:pt>
                <c:pt idx="915">
                  <c:v>05/02/2026 04:30</c:v>
                </c:pt>
                <c:pt idx="916">
                  <c:v>05/02/2026 04:45</c:v>
                </c:pt>
                <c:pt idx="917">
                  <c:v>05/02/2026 05:00</c:v>
                </c:pt>
                <c:pt idx="918">
                  <c:v>05/02/2026 05:15</c:v>
                </c:pt>
                <c:pt idx="919">
                  <c:v>05/02/2026 05:30</c:v>
                </c:pt>
                <c:pt idx="920">
                  <c:v>05/02/2026 05:45</c:v>
                </c:pt>
                <c:pt idx="921">
                  <c:v>05/02/2026 06:00</c:v>
                </c:pt>
                <c:pt idx="922">
                  <c:v>05/02/2026 06:15</c:v>
                </c:pt>
                <c:pt idx="923">
                  <c:v>05/02/2026 06:30</c:v>
                </c:pt>
                <c:pt idx="924">
                  <c:v>05/02/2026 06:45</c:v>
                </c:pt>
                <c:pt idx="925">
                  <c:v>05/02/2026 07:00</c:v>
                </c:pt>
                <c:pt idx="926">
                  <c:v>05/02/2026 07:15</c:v>
                </c:pt>
                <c:pt idx="927">
                  <c:v>05/02/2026 07:30</c:v>
                </c:pt>
                <c:pt idx="928">
                  <c:v>05/02/2026 07:45</c:v>
                </c:pt>
                <c:pt idx="929">
                  <c:v>05/02/2026 08:00</c:v>
                </c:pt>
                <c:pt idx="930">
                  <c:v>05/02/2026 08:15</c:v>
                </c:pt>
                <c:pt idx="931">
                  <c:v>05/02/2026 08:30</c:v>
                </c:pt>
                <c:pt idx="932">
                  <c:v>05/02/2026 08:45</c:v>
                </c:pt>
                <c:pt idx="933">
                  <c:v>05/02/2026 09:00</c:v>
                </c:pt>
                <c:pt idx="934">
                  <c:v>05/02/2026 09:15</c:v>
                </c:pt>
                <c:pt idx="935">
                  <c:v>05/02/2026 09:30</c:v>
                </c:pt>
                <c:pt idx="936">
                  <c:v>05/02/2026 09:45</c:v>
                </c:pt>
                <c:pt idx="937">
                  <c:v>05/02/2026 10:00</c:v>
                </c:pt>
                <c:pt idx="938">
                  <c:v>05/02/2026 10:15</c:v>
                </c:pt>
                <c:pt idx="939">
                  <c:v>05/02/2026 10:30</c:v>
                </c:pt>
                <c:pt idx="940">
                  <c:v>05/02/2026 10:45</c:v>
                </c:pt>
                <c:pt idx="941">
                  <c:v>05/02/2026 11:00</c:v>
                </c:pt>
                <c:pt idx="942">
                  <c:v>05/02/2026 11:15</c:v>
                </c:pt>
                <c:pt idx="943">
                  <c:v>05/02/2026 11:30</c:v>
                </c:pt>
                <c:pt idx="944">
                  <c:v>05/02/2026 11:45</c:v>
                </c:pt>
                <c:pt idx="945">
                  <c:v>05/02/2026 12:00</c:v>
                </c:pt>
                <c:pt idx="946">
                  <c:v>05/02/2026 12:15</c:v>
                </c:pt>
                <c:pt idx="947">
                  <c:v>05/02/2026 12:30</c:v>
                </c:pt>
                <c:pt idx="948">
                  <c:v>05/02/2026 12:45</c:v>
                </c:pt>
                <c:pt idx="949">
                  <c:v>05/02/2026 13:00</c:v>
                </c:pt>
                <c:pt idx="950">
                  <c:v>05/02/2026 13:15</c:v>
                </c:pt>
                <c:pt idx="951">
                  <c:v>05/02/2026 13:30</c:v>
                </c:pt>
                <c:pt idx="952">
                  <c:v>05/02/2026 13:45</c:v>
                </c:pt>
                <c:pt idx="953">
                  <c:v>05/02/2026 14:00</c:v>
                </c:pt>
                <c:pt idx="954">
                  <c:v>05/02/2026 14:15</c:v>
                </c:pt>
                <c:pt idx="955">
                  <c:v>05/02/2026 14:30</c:v>
                </c:pt>
                <c:pt idx="956">
                  <c:v>05/02/2026 14:45</c:v>
                </c:pt>
                <c:pt idx="957">
                  <c:v>05/02/2026 15:00</c:v>
                </c:pt>
                <c:pt idx="958">
                  <c:v>05/02/2026 15:15</c:v>
                </c:pt>
                <c:pt idx="959">
                  <c:v>05/02/2026 15:30</c:v>
                </c:pt>
                <c:pt idx="960">
                  <c:v>05/02/2026 15:45</c:v>
                </c:pt>
                <c:pt idx="961">
                  <c:v>05/02/2026 16:00</c:v>
                </c:pt>
                <c:pt idx="962">
                  <c:v>05/02/2026 16:15</c:v>
                </c:pt>
                <c:pt idx="963">
                  <c:v>05/02/2026 16:30</c:v>
                </c:pt>
                <c:pt idx="964">
                  <c:v>05/02/2026 16:45</c:v>
                </c:pt>
                <c:pt idx="965">
                  <c:v>05/02/2026 17:00</c:v>
                </c:pt>
                <c:pt idx="966">
                  <c:v>05/02/2026 17:15</c:v>
                </c:pt>
                <c:pt idx="967">
                  <c:v>05/02/2026 17:30</c:v>
                </c:pt>
                <c:pt idx="968">
                  <c:v>05/02/2026 17:45</c:v>
                </c:pt>
                <c:pt idx="969">
                  <c:v>05/02/2026 18:00</c:v>
                </c:pt>
                <c:pt idx="970">
                  <c:v>05/02/2026 18:15</c:v>
                </c:pt>
                <c:pt idx="971">
                  <c:v>05/02/2026 18:30</c:v>
                </c:pt>
                <c:pt idx="972">
                  <c:v>05/02/2026 18:45</c:v>
                </c:pt>
                <c:pt idx="973">
                  <c:v>05/02/2026 19:00</c:v>
                </c:pt>
                <c:pt idx="974">
                  <c:v>05/02/2026 19:15</c:v>
                </c:pt>
                <c:pt idx="975">
                  <c:v>05/02/2026 19:30</c:v>
                </c:pt>
                <c:pt idx="976">
                  <c:v>05/02/2026 19:45</c:v>
                </c:pt>
                <c:pt idx="977">
                  <c:v>05/02/2026 20:00</c:v>
                </c:pt>
                <c:pt idx="978">
                  <c:v>05/02/2026 20:15</c:v>
                </c:pt>
                <c:pt idx="979">
                  <c:v>05/02/2026 20:30</c:v>
                </c:pt>
                <c:pt idx="980">
                  <c:v>05/02/2026 20:45</c:v>
                </c:pt>
                <c:pt idx="981">
                  <c:v>05/02/2026 21:00</c:v>
                </c:pt>
                <c:pt idx="982">
                  <c:v>05/02/2026 21:15</c:v>
                </c:pt>
                <c:pt idx="983">
                  <c:v>05/02/2026 21:30</c:v>
                </c:pt>
                <c:pt idx="984">
                  <c:v>05/02/2026 21:45</c:v>
                </c:pt>
                <c:pt idx="985">
                  <c:v>05/02/2026 22:00</c:v>
                </c:pt>
                <c:pt idx="986">
                  <c:v>05/02/2026 22:15</c:v>
                </c:pt>
                <c:pt idx="987">
                  <c:v>05/02/2026 22:30</c:v>
                </c:pt>
                <c:pt idx="988">
                  <c:v>05/02/2026 22:45</c:v>
                </c:pt>
                <c:pt idx="989">
                  <c:v>05/02/2026 23:00</c:v>
                </c:pt>
                <c:pt idx="990">
                  <c:v>05/02/2026 23:15</c:v>
                </c:pt>
                <c:pt idx="991">
                  <c:v>05/02/2026 23:30</c:v>
                </c:pt>
                <c:pt idx="992">
                  <c:v>05/02/2026 23:45</c:v>
                </c:pt>
                <c:pt idx="993">
                  <c:v>05/02/2026 24:00</c:v>
                </c:pt>
                <c:pt idx="994">
                  <c:v>06/02/2026 00:15</c:v>
                </c:pt>
                <c:pt idx="995">
                  <c:v>06/02/2026 00:30</c:v>
                </c:pt>
                <c:pt idx="996">
                  <c:v>06/02/2026 00:45</c:v>
                </c:pt>
                <c:pt idx="997">
                  <c:v>06/02/2026 01:00</c:v>
                </c:pt>
                <c:pt idx="998">
                  <c:v>06/02/2026 01:15</c:v>
                </c:pt>
                <c:pt idx="999">
                  <c:v>06/02/2026 01:30</c:v>
                </c:pt>
                <c:pt idx="1000">
                  <c:v>06/02/2026 01:45</c:v>
                </c:pt>
                <c:pt idx="1001">
                  <c:v>06/02/2026 02:00</c:v>
                </c:pt>
                <c:pt idx="1002">
                  <c:v>06/02/2026 02:15</c:v>
                </c:pt>
                <c:pt idx="1003">
                  <c:v>06/02/2026 02:30</c:v>
                </c:pt>
                <c:pt idx="1004">
                  <c:v>06/02/2026 02:45</c:v>
                </c:pt>
                <c:pt idx="1005">
                  <c:v>06/02/2026 03:00</c:v>
                </c:pt>
                <c:pt idx="1006">
                  <c:v>06/02/2026 03:15</c:v>
                </c:pt>
                <c:pt idx="1007">
                  <c:v>06/02/2026 03:30</c:v>
                </c:pt>
                <c:pt idx="1008">
                  <c:v>06/02/2026 03:45</c:v>
                </c:pt>
                <c:pt idx="1009">
                  <c:v>06/02/2026 04:00</c:v>
                </c:pt>
                <c:pt idx="1010">
                  <c:v>06/02/2026 04:15</c:v>
                </c:pt>
                <c:pt idx="1011">
                  <c:v>06/02/2026 04:30</c:v>
                </c:pt>
                <c:pt idx="1012">
                  <c:v>06/02/2026 04:45</c:v>
                </c:pt>
                <c:pt idx="1013">
                  <c:v>06/02/2026 05:00</c:v>
                </c:pt>
                <c:pt idx="1014">
                  <c:v>06/02/2026 05:15</c:v>
                </c:pt>
                <c:pt idx="1015">
                  <c:v>06/02/2026 05:30</c:v>
                </c:pt>
                <c:pt idx="1016">
                  <c:v>06/02/2026 05:45</c:v>
                </c:pt>
                <c:pt idx="1017">
                  <c:v>06/02/2026 06:00</c:v>
                </c:pt>
                <c:pt idx="1018">
                  <c:v>06/02/2026 06:15</c:v>
                </c:pt>
                <c:pt idx="1019">
                  <c:v>06/02/2026 06:30</c:v>
                </c:pt>
                <c:pt idx="1020">
                  <c:v>06/02/2026 06:45</c:v>
                </c:pt>
                <c:pt idx="1021">
                  <c:v>06/02/2026 07:00</c:v>
                </c:pt>
                <c:pt idx="1022">
                  <c:v>06/02/2026 07:15</c:v>
                </c:pt>
                <c:pt idx="1023">
                  <c:v>06/02/2026 07:30</c:v>
                </c:pt>
                <c:pt idx="1024">
                  <c:v>06/02/2026 07:45</c:v>
                </c:pt>
                <c:pt idx="1025">
                  <c:v>06/02/2026 08:00</c:v>
                </c:pt>
                <c:pt idx="1026">
                  <c:v>06/02/2026 08:15</c:v>
                </c:pt>
                <c:pt idx="1027">
                  <c:v>06/02/2026 08:30</c:v>
                </c:pt>
                <c:pt idx="1028">
                  <c:v>06/02/2026 08:45</c:v>
                </c:pt>
                <c:pt idx="1029">
                  <c:v>06/02/2026 09:00</c:v>
                </c:pt>
                <c:pt idx="1030">
                  <c:v>06/02/2026 09:15</c:v>
                </c:pt>
                <c:pt idx="1031">
                  <c:v>06/02/2026 09:30</c:v>
                </c:pt>
                <c:pt idx="1032">
                  <c:v>06/02/2026 09:45</c:v>
                </c:pt>
                <c:pt idx="1033">
                  <c:v>06/02/2026 10:00</c:v>
                </c:pt>
                <c:pt idx="1034">
                  <c:v>06/02/2026 10:15</c:v>
                </c:pt>
                <c:pt idx="1035">
                  <c:v>06/02/2026 10:30</c:v>
                </c:pt>
                <c:pt idx="1036">
                  <c:v>06/02/2026 10:45</c:v>
                </c:pt>
                <c:pt idx="1037">
                  <c:v>06/02/2026 11:00</c:v>
                </c:pt>
                <c:pt idx="1038">
                  <c:v>06/02/2026 11:15</c:v>
                </c:pt>
                <c:pt idx="1039">
                  <c:v>06/02/2026 11:30</c:v>
                </c:pt>
                <c:pt idx="1040">
                  <c:v>06/02/2026 11:45</c:v>
                </c:pt>
                <c:pt idx="1041">
                  <c:v>06/02/2026 12:00</c:v>
                </c:pt>
                <c:pt idx="1042">
                  <c:v>06/02/2026 12:15</c:v>
                </c:pt>
                <c:pt idx="1043">
                  <c:v>06/02/2026 12:30</c:v>
                </c:pt>
                <c:pt idx="1044">
                  <c:v>06/02/2026 12:45</c:v>
                </c:pt>
                <c:pt idx="1045">
                  <c:v>06/02/2026 13:00</c:v>
                </c:pt>
              </c:strCache>
            </c:strRef>
          </c:xVal>
          <c:yVal>
            <c:numRef>
              <c:f>Correction!$B$1:$B$1046</c:f>
              <c:numCache>
                <c:formatCode>General</c:formatCode>
                <c:ptCount val="1046"/>
                <c:pt idx="0" formatCode="0.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5A-46EB-97A0-CBC0F9DD808E}"/>
            </c:ext>
          </c:extLst>
        </c:ser>
        <c:ser>
          <c:idx val="1"/>
          <c:order val="1"/>
          <c:tx>
            <c:v>PM2.5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Correction!$A$1:$A$1046</c:f>
              <c:strCache>
                <c:ptCount val="1046"/>
                <c:pt idx="0">
                  <c:v>Corrigé</c:v>
                </c:pt>
                <c:pt idx="1">
                  <c:v>26/01/2026 16:00</c:v>
                </c:pt>
                <c:pt idx="2">
                  <c:v>26/01/2026 16:15</c:v>
                </c:pt>
                <c:pt idx="3">
                  <c:v>26/01/2026 16:30</c:v>
                </c:pt>
                <c:pt idx="4">
                  <c:v>26/01/2026 16:45</c:v>
                </c:pt>
                <c:pt idx="5">
                  <c:v>26/01/2026 17:00</c:v>
                </c:pt>
                <c:pt idx="6">
                  <c:v>26/01/2026 17:15</c:v>
                </c:pt>
                <c:pt idx="7">
                  <c:v>26/01/2026 17:30</c:v>
                </c:pt>
                <c:pt idx="8">
                  <c:v>26/01/2026 17:45</c:v>
                </c:pt>
                <c:pt idx="9">
                  <c:v>26/01/2026 18:00</c:v>
                </c:pt>
                <c:pt idx="10">
                  <c:v>26/01/2026 18:15</c:v>
                </c:pt>
                <c:pt idx="11">
                  <c:v>26/01/2026 18:30</c:v>
                </c:pt>
                <c:pt idx="12">
                  <c:v>26/01/2026 18:45</c:v>
                </c:pt>
                <c:pt idx="13">
                  <c:v>26/01/2026 19:00</c:v>
                </c:pt>
                <c:pt idx="14">
                  <c:v>26/01/2026 19:15</c:v>
                </c:pt>
                <c:pt idx="15">
                  <c:v>26/01/2026 19:30</c:v>
                </c:pt>
                <c:pt idx="16">
                  <c:v>26/01/2026 19:45</c:v>
                </c:pt>
                <c:pt idx="17">
                  <c:v>26/01/2026 20:00</c:v>
                </c:pt>
                <c:pt idx="18">
                  <c:v>26/01/2026 20:15</c:v>
                </c:pt>
                <c:pt idx="19">
                  <c:v>26/01/2026 20:30</c:v>
                </c:pt>
                <c:pt idx="20">
                  <c:v>26/01/2026 20:45</c:v>
                </c:pt>
                <c:pt idx="21">
                  <c:v>26/01/2026 21:00</c:v>
                </c:pt>
                <c:pt idx="22">
                  <c:v>26/01/2026 21:15</c:v>
                </c:pt>
                <c:pt idx="23">
                  <c:v>26/01/2026 21:30</c:v>
                </c:pt>
                <c:pt idx="24">
                  <c:v>26/01/2026 21:45</c:v>
                </c:pt>
                <c:pt idx="25">
                  <c:v>26/01/2026 22:00</c:v>
                </c:pt>
                <c:pt idx="26">
                  <c:v>26/01/2026 22:15</c:v>
                </c:pt>
                <c:pt idx="27">
                  <c:v>26/01/2026 22:30</c:v>
                </c:pt>
                <c:pt idx="28">
                  <c:v>26/01/2026 22:45</c:v>
                </c:pt>
                <c:pt idx="29">
                  <c:v>26/01/2026 23:00</c:v>
                </c:pt>
                <c:pt idx="30">
                  <c:v>26/01/2026 23:15</c:v>
                </c:pt>
                <c:pt idx="31">
                  <c:v>26/01/2026 23:30</c:v>
                </c:pt>
                <c:pt idx="32">
                  <c:v>26/01/2026 23:45</c:v>
                </c:pt>
                <c:pt idx="33">
                  <c:v>26/01/2026 24:00</c:v>
                </c:pt>
                <c:pt idx="34">
                  <c:v>27/01/2026 00:15</c:v>
                </c:pt>
                <c:pt idx="35">
                  <c:v>27/01/2026 00:30</c:v>
                </c:pt>
                <c:pt idx="36">
                  <c:v>27/01/2026 00:45</c:v>
                </c:pt>
                <c:pt idx="37">
                  <c:v>27/01/2026 01:00</c:v>
                </c:pt>
                <c:pt idx="38">
                  <c:v>27/01/2026 01:15</c:v>
                </c:pt>
                <c:pt idx="39">
                  <c:v>27/01/2026 01:30</c:v>
                </c:pt>
                <c:pt idx="40">
                  <c:v>27/01/2026 01:45</c:v>
                </c:pt>
                <c:pt idx="41">
                  <c:v>27/01/2026 02:00</c:v>
                </c:pt>
                <c:pt idx="42">
                  <c:v>27/01/2026 02:15</c:v>
                </c:pt>
                <c:pt idx="43">
                  <c:v>27/01/2026 02:30</c:v>
                </c:pt>
                <c:pt idx="44">
                  <c:v>27/01/2026 02:45</c:v>
                </c:pt>
                <c:pt idx="45">
                  <c:v>27/01/2026 03:00</c:v>
                </c:pt>
                <c:pt idx="46">
                  <c:v>27/01/2026 03:15</c:v>
                </c:pt>
                <c:pt idx="47">
                  <c:v>27/01/2026 03:30</c:v>
                </c:pt>
                <c:pt idx="48">
                  <c:v>27/01/2026 03:45</c:v>
                </c:pt>
                <c:pt idx="49">
                  <c:v>27/01/2026 04:00</c:v>
                </c:pt>
                <c:pt idx="50">
                  <c:v>27/01/2026 04:15</c:v>
                </c:pt>
                <c:pt idx="51">
                  <c:v>27/01/2026 04:30</c:v>
                </c:pt>
                <c:pt idx="52">
                  <c:v>27/01/2026 04:45</c:v>
                </c:pt>
                <c:pt idx="53">
                  <c:v>27/01/2026 05:00</c:v>
                </c:pt>
                <c:pt idx="54">
                  <c:v>27/01/2026 05:15</c:v>
                </c:pt>
                <c:pt idx="55">
                  <c:v>27/01/2026 05:30</c:v>
                </c:pt>
                <c:pt idx="56">
                  <c:v>27/01/2026 05:45</c:v>
                </c:pt>
                <c:pt idx="57">
                  <c:v>27/01/2026 06:00</c:v>
                </c:pt>
                <c:pt idx="58">
                  <c:v>27/01/2026 06:15</c:v>
                </c:pt>
                <c:pt idx="59">
                  <c:v>27/01/2026 06:30</c:v>
                </c:pt>
                <c:pt idx="60">
                  <c:v>27/01/2026 06:45</c:v>
                </c:pt>
                <c:pt idx="61">
                  <c:v>27/01/2026 07:00</c:v>
                </c:pt>
                <c:pt idx="62">
                  <c:v>27/01/2026 07:15</c:v>
                </c:pt>
                <c:pt idx="63">
                  <c:v>27/01/2026 07:30</c:v>
                </c:pt>
                <c:pt idx="64">
                  <c:v>27/01/2026 07:45</c:v>
                </c:pt>
                <c:pt idx="65">
                  <c:v>27/01/2026 08:00</c:v>
                </c:pt>
                <c:pt idx="66">
                  <c:v>27/01/2026 08:15</c:v>
                </c:pt>
                <c:pt idx="67">
                  <c:v>27/01/2026 08:30</c:v>
                </c:pt>
                <c:pt idx="68">
                  <c:v>27/01/2026 08:45</c:v>
                </c:pt>
                <c:pt idx="69">
                  <c:v>27/01/2026 09:00</c:v>
                </c:pt>
                <c:pt idx="70">
                  <c:v>27/01/2026 09:15</c:v>
                </c:pt>
                <c:pt idx="71">
                  <c:v>27/01/2026 09:30</c:v>
                </c:pt>
                <c:pt idx="72">
                  <c:v>27/01/2026 09:45</c:v>
                </c:pt>
                <c:pt idx="73">
                  <c:v>27/01/2026 10:00</c:v>
                </c:pt>
                <c:pt idx="74">
                  <c:v>27/01/2026 10:15</c:v>
                </c:pt>
                <c:pt idx="75">
                  <c:v>27/01/2026 10:30</c:v>
                </c:pt>
                <c:pt idx="76">
                  <c:v>27/01/2026 10:45</c:v>
                </c:pt>
                <c:pt idx="77">
                  <c:v>27/01/2026 11:00</c:v>
                </c:pt>
                <c:pt idx="78">
                  <c:v>27/01/2026 11:15</c:v>
                </c:pt>
                <c:pt idx="79">
                  <c:v>27/01/2026 11:30</c:v>
                </c:pt>
                <c:pt idx="80">
                  <c:v>27/01/2026 11:45</c:v>
                </c:pt>
                <c:pt idx="81">
                  <c:v>27/01/2026 12:00</c:v>
                </c:pt>
                <c:pt idx="82">
                  <c:v>27/01/2026 12:15</c:v>
                </c:pt>
                <c:pt idx="83">
                  <c:v>27/01/2026 12:30</c:v>
                </c:pt>
                <c:pt idx="84">
                  <c:v>27/01/2026 12:45</c:v>
                </c:pt>
                <c:pt idx="85">
                  <c:v>27/01/2026 13:00</c:v>
                </c:pt>
                <c:pt idx="86">
                  <c:v>27/01/2026 13:15</c:v>
                </c:pt>
                <c:pt idx="87">
                  <c:v>27/01/2026 13:30</c:v>
                </c:pt>
                <c:pt idx="88">
                  <c:v>27/01/2026 13:45</c:v>
                </c:pt>
                <c:pt idx="89">
                  <c:v>27/01/2026 14:00</c:v>
                </c:pt>
                <c:pt idx="90">
                  <c:v>27/01/2026 14:15</c:v>
                </c:pt>
                <c:pt idx="91">
                  <c:v>27/01/2026 14:30</c:v>
                </c:pt>
                <c:pt idx="92">
                  <c:v>27/01/2026 14:45</c:v>
                </c:pt>
                <c:pt idx="93">
                  <c:v>27/01/2026 15:00</c:v>
                </c:pt>
                <c:pt idx="94">
                  <c:v>27/01/2026 15:15</c:v>
                </c:pt>
                <c:pt idx="95">
                  <c:v>27/01/2026 15:30</c:v>
                </c:pt>
                <c:pt idx="96">
                  <c:v>27/01/2026 15:45</c:v>
                </c:pt>
                <c:pt idx="97">
                  <c:v>27/01/2026 16:00</c:v>
                </c:pt>
                <c:pt idx="98">
                  <c:v>27/01/2026 16:15</c:v>
                </c:pt>
                <c:pt idx="99">
                  <c:v>27/01/2026 16:30</c:v>
                </c:pt>
                <c:pt idx="100">
                  <c:v>27/01/2026 16:45</c:v>
                </c:pt>
                <c:pt idx="101">
                  <c:v>27/01/2026 17:00</c:v>
                </c:pt>
                <c:pt idx="102">
                  <c:v>27/01/2026 17:15</c:v>
                </c:pt>
                <c:pt idx="103">
                  <c:v>27/01/2026 17:30</c:v>
                </c:pt>
                <c:pt idx="104">
                  <c:v>27/01/2026 17:45</c:v>
                </c:pt>
                <c:pt idx="105">
                  <c:v>27/01/2026 18:00</c:v>
                </c:pt>
                <c:pt idx="106">
                  <c:v>27/01/2026 18:15</c:v>
                </c:pt>
                <c:pt idx="107">
                  <c:v>27/01/2026 18:30</c:v>
                </c:pt>
                <c:pt idx="108">
                  <c:v>27/01/2026 18:45</c:v>
                </c:pt>
                <c:pt idx="109">
                  <c:v>27/01/2026 19:00</c:v>
                </c:pt>
                <c:pt idx="110">
                  <c:v>27/01/2026 19:15</c:v>
                </c:pt>
                <c:pt idx="111">
                  <c:v>27/01/2026 19:30</c:v>
                </c:pt>
                <c:pt idx="112">
                  <c:v>27/01/2026 19:45</c:v>
                </c:pt>
                <c:pt idx="113">
                  <c:v>27/01/2026 20:00</c:v>
                </c:pt>
                <c:pt idx="114">
                  <c:v>27/01/2026 20:15</c:v>
                </c:pt>
                <c:pt idx="115">
                  <c:v>27/01/2026 20:30</c:v>
                </c:pt>
                <c:pt idx="116">
                  <c:v>27/01/2026 20:45</c:v>
                </c:pt>
                <c:pt idx="117">
                  <c:v>27/01/2026 21:00</c:v>
                </c:pt>
                <c:pt idx="118">
                  <c:v>27/01/2026 21:15</c:v>
                </c:pt>
                <c:pt idx="119">
                  <c:v>27/01/2026 21:30</c:v>
                </c:pt>
                <c:pt idx="120">
                  <c:v>27/01/2026 21:45</c:v>
                </c:pt>
                <c:pt idx="121">
                  <c:v>27/01/2026 22:00</c:v>
                </c:pt>
                <c:pt idx="122">
                  <c:v>27/01/2026 22:15</c:v>
                </c:pt>
                <c:pt idx="123">
                  <c:v>27/01/2026 22:30</c:v>
                </c:pt>
                <c:pt idx="124">
                  <c:v>27/01/2026 22:45</c:v>
                </c:pt>
                <c:pt idx="125">
                  <c:v>27/01/2026 23:00</c:v>
                </c:pt>
                <c:pt idx="126">
                  <c:v>27/01/2026 23:15</c:v>
                </c:pt>
                <c:pt idx="127">
                  <c:v>27/01/2026 23:30</c:v>
                </c:pt>
                <c:pt idx="128">
                  <c:v>27/01/2026 23:45</c:v>
                </c:pt>
                <c:pt idx="129">
                  <c:v>27/01/2026 24:00</c:v>
                </c:pt>
                <c:pt idx="130">
                  <c:v>28/01/2026 00:15</c:v>
                </c:pt>
                <c:pt idx="131">
                  <c:v>28/01/2026 00:30</c:v>
                </c:pt>
                <c:pt idx="132">
                  <c:v>28/01/2026 00:45</c:v>
                </c:pt>
                <c:pt idx="133">
                  <c:v>28/01/2026 01:00</c:v>
                </c:pt>
                <c:pt idx="134">
                  <c:v>28/01/2026 01:15</c:v>
                </c:pt>
                <c:pt idx="135">
                  <c:v>28/01/2026 01:30</c:v>
                </c:pt>
                <c:pt idx="136">
                  <c:v>28/01/2026 01:45</c:v>
                </c:pt>
                <c:pt idx="137">
                  <c:v>28/01/2026 02:00</c:v>
                </c:pt>
                <c:pt idx="138">
                  <c:v>28/01/2026 02:15</c:v>
                </c:pt>
                <c:pt idx="139">
                  <c:v>28/01/2026 02:30</c:v>
                </c:pt>
                <c:pt idx="140">
                  <c:v>28/01/2026 02:45</c:v>
                </c:pt>
                <c:pt idx="141">
                  <c:v>28/01/2026 03:00</c:v>
                </c:pt>
                <c:pt idx="142">
                  <c:v>28/01/2026 03:15</c:v>
                </c:pt>
                <c:pt idx="143">
                  <c:v>28/01/2026 03:30</c:v>
                </c:pt>
                <c:pt idx="144">
                  <c:v>28/01/2026 03:45</c:v>
                </c:pt>
                <c:pt idx="145">
                  <c:v>28/01/2026 04:00</c:v>
                </c:pt>
                <c:pt idx="146">
                  <c:v>28/01/2026 04:15</c:v>
                </c:pt>
                <c:pt idx="147">
                  <c:v>28/01/2026 04:30</c:v>
                </c:pt>
                <c:pt idx="148">
                  <c:v>28/01/2026 04:45</c:v>
                </c:pt>
                <c:pt idx="149">
                  <c:v>28/01/2026 05:00</c:v>
                </c:pt>
                <c:pt idx="150">
                  <c:v>28/01/2026 05:15</c:v>
                </c:pt>
                <c:pt idx="151">
                  <c:v>28/01/2026 05:30</c:v>
                </c:pt>
                <c:pt idx="152">
                  <c:v>28/01/2026 05:45</c:v>
                </c:pt>
                <c:pt idx="153">
                  <c:v>28/01/2026 06:00</c:v>
                </c:pt>
                <c:pt idx="154">
                  <c:v>28/01/2026 06:15</c:v>
                </c:pt>
                <c:pt idx="155">
                  <c:v>28/01/2026 06:30</c:v>
                </c:pt>
                <c:pt idx="156">
                  <c:v>28/01/2026 06:45</c:v>
                </c:pt>
                <c:pt idx="157">
                  <c:v>28/01/2026 07:00</c:v>
                </c:pt>
                <c:pt idx="158">
                  <c:v>28/01/2026 07:15</c:v>
                </c:pt>
                <c:pt idx="159">
                  <c:v>28/01/2026 07:30</c:v>
                </c:pt>
                <c:pt idx="160">
                  <c:v>28/01/2026 07:45</c:v>
                </c:pt>
                <c:pt idx="161">
                  <c:v>28/01/2026 08:00</c:v>
                </c:pt>
                <c:pt idx="162">
                  <c:v>28/01/2026 08:15</c:v>
                </c:pt>
                <c:pt idx="163">
                  <c:v>28/01/2026 08:30</c:v>
                </c:pt>
                <c:pt idx="164">
                  <c:v>28/01/2026 08:45</c:v>
                </c:pt>
                <c:pt idx="165">
                  <c:v>28/01/2026 09:00</c:v>
                </c:pt>
                <c:pt idx="166">
                  <c:v>28/01/2026 09:15</c:v>
                </c:pt>
                <c:pt idx="167">
                  <c:v>28/01/2026 09:30</c:v>
                </c:pt>
                <c:pt idx="168">
                  <c:v>28/01/2026 09:45</c:v>
                </c:pt>
                <c:pt idx="169">
                  <c:v>28/01/2026 10:00</c:v>
                </c:pt>
                <c:pt idx="170">
                  <c:v>28/01/2026 10:15</c:v>
                </c:pt>
                <c:pt idx="171">
                  <c:v>28/01/2026 10:30</c:v>
                </c:pt>
                <c:pt idx="172">
                  <c:v>28/01/2026 10:45</c:v>
                </c:pt>
                <c:pt idx="173">
                  <c:v>28/01/2026 11:00</c:v>
                </c:pt>
                <c:pt idx="174">
                  <c:v>28/01/2026 11:15</c:v>
                </c:pt>
                <c:pt idx="175">
                  <c:v>28/01/2026 11:30</c:v>
                </c:pt>
                <c:pt idx="176">
                  <c:v>28/01/2026 11:45</c:v>
                </c:pt>
                <c:pt idx="177">
                  <c:v>28/01/2026 12:00</c:v>
                </c:pt>
                <c:pt idx="178">
                  <c:v>28/01/2026 12:15</c:v>
                </c:pt>
                <c:pt idx="179">
                  <c:v>28/01/2026 12:30</c:v>
                </c:pt>
                <c:pt idx="180">
                  <c:v>28/01/2026 12:45</c:v>
                </c:pt>
                <c:pt idx="181">
                  <c:v>28/01/2026 13:00</c:v>
                </c:pt>
                <c:pt idx="182">
                  <c:v>28/01/2026 13:15</c:v>
                </c:pt>
                <c:pt idx="183">
                  <c:v>28/01/2026 13:30</c:v>
                </c:pt>
                <c:pt idx="184">
                  <c:v>28/01/2026 13:45</c:v>
                </c:pt>
                <c:pt idx="185">
                  <c:v>28/01/2026 14:00</c:v>
                </c:pt>
                <c:pt idx="186">
                  <c:v>28/01/2026 14:15</c:v>
                </c:pt>
                <c:pt idx="187">
                  <c:v>28/01/2026 14:30</c:v>
                </c:pt>
                <c:pt idx="188">
                  <c:v>28/01/2026 14:45</c:v>
                </c:pt>
                <c:pt idx="189">
                  <c:v>28/01/2026 15:00</c:v>
                </c:pt>
                <c:pt idx="190">
                  <c:v>28/01/2026 15:15</c:v>
                </c:pt>
                <c:pt idx="191">
                  <c:v>28/01/2026 15:30</c:v>
                </c:pt>
                <c:pt idx="192">
                  <c:v>28/01/2026 15:45</c:v>
                </c:pt>
                <c:pt idx="193">
                  <c:v>28/01/2026 16:00</c:v>
                </c:pt>
                <c:pt idx="194">
                  <c:v>28/01/2026 16:15</c:v>
                </c:pt>
                <c:pt idx="195">
                  <c:v>28/01/2026 16:30</c:v>
                </c:pt>
                <c:pt idx="196">
                  <c:v>28/01/2026 16:45</c:v>
                </c:pt>
                <c:pt idx="197">
                  <c:v>28/01/2026 17:00</c:v>
                </c:pt>
                <c:pt idx="198">
                  <c:v>28/01/2026 17:15</c:v>
                </c:pt>
                <c:pt idx="199">
                  <c:v>28/01/2026 17:30</c:v>
                </c:pt>
                <c:pt idx="200">
                  <c:v>28/01/2026 17:45</c:v>
                </c:pt>
                <c:pt idx="201">
                  <c:v>28/01/2026 18:00</c:v>
                </c:pt>
                <c:pt idx="202">
                  <c:v>28/01/2026 18:15</c:v>
                </c:pt>
                <c:pt idx="203">
                  <c:v>28/01/2026 18:30</c:v>
                </c:pt>
                <c:pt idx="204">
                  <c:v>28/01/2026 18:45</c:v>
                </c:pt>
                <c:pt idx="205">
                  <c:v>28/01/2026 19:00</c:v>
                </c:pt>
                <c:pt idx="206">
                  <c:v>28/01/2026 19:15</c:v>
                </c:pt>
                <c:pt idx="207">
                  <c:v>28/01/2026 19:30</c:v>
                </c:pt>
                <c:pt idx="208">
                  <c:v>28/01/2026 19:45</c:v>
                </c:pt>
                <c:pt idx="209">
                  <c:v>28/01/2026 20:00</c:v>
                </c:pt>
                <c:pt idx="210">
                  <c:v>28/01/2026 20:15</c:v>
                </c:pt>
                <c:pt idx="211">
                  <c:v>28/01/2026 20:30</c:v>
                </c:pt>
                <c:pt idx="212">
                  <c:v>28/01/2026 20:45</c:v>
                </c:pt>
                <c:pt idx="213">
                  <c:v>28/01/2026 21:00</c:v>
                </c:pt>
                <c:pt idx="214">
                  <c:v>28/01/2026 21:15</c:v>
                </c:pt>
                <c:pt idx="215">
                  <c:v>28/01/2026 21:30</c:v>
                </c:pt>
                <c:pt idx="216">
                  <c:v>28/01/2026 21:45</c:v>
                </c:pt>
                <c:pt idx="217">
                  <c:v>28/01/2026 22:00</c:v>
                </c:pt>
                <c:pt idx="218">
                  <c:v>28/01/2026 22:15</c:v>
                </c:pt>
                <c:pt idx="219">
                  <c:v>28/01/2026 22:30</c:v>
                </c:pt>
                <c:pt idx="220">
                  <c:v>28/01/2026 22:45</c:v>
                </c:pt>
                <c:pt idx="221">
                  <c:v>28/01/2026 23:00</c:v>
                </c:pt>
                <c:pt idx="222">
                  <c:v>28/01/2026 23:15</c:v>
                </c:pt>
                <c:pt idx="223">
                  <c:v>28/01/2026 23:30</c:v>
                </c:pt>
                <c:pt idx="224">
                  <c:v>28/01/2026 23:45</c:v>
                </c:pt>
                <c:pt idx="225">
                  <c:v>28/01/2026 24:00</c:v>
                </c:pt>
                <c:pt idx="226">
                  <c:v>29/01/2026 00:15</c:v>
                </c:pt>
                <c:pt idx="227">
                  <c:v>29/01/2026 00:30</c:v>
                </c:pt>
                <c:pt idx="228">
                  <c:v>29/01/2026 00:45</c:v>
                </c:pt>
                <c:pt idx="229">
                  <c:v>29/01/2026 01:00</c:v>
                </c:pt>
                <c:pt idx="230">
                  <c:v>29/01/2026 01:15</c:v>
                </c:pt>
                <c:pt idx="231">
                  <c:v>29/01/2026 01:30</c:v>
                </c:pt>
                <c:pt idx="232">
                  <c:v>29/01/2026 01:45</c:v>
                </c:pt>
                <c:pt idx="233">
                  <c:v>29/01/2026 02:00</c:v>
                </c:pt>
                <c:pt idx="234">
                  <c:v>29/01/2026 02:15</c:v>
                </c:pt>
                <c:pt idx="235">
                  <c:v>29/01/2026 02:30</c:v>
                </c:pt>
                <c:pt idx="236">
                  <c:v>29/01/2026 02:45</c:v>
                </c:pt>
                <c:pt idx="237">
                  <c:v>29/01/2026 03:00</c:v>
                </c:pt>
                <c:pt idx="238">
                  <c:v>29/01/2026 03:15</c:v>
                </c:pt>
                <c:pt idx="239">
                  <c:v>29/01/2026 03:30</c:v>
                </c:pt>
                <c:pt idx="240">
                  <c:v>29/01/2026 03:45</c:v>
                </c:pt>
                <c:pt idx="241">
                  <c:v>29/01/2026 04:00</c:v>
                </c:pt>
                <c:pt idx="242">
                  <c:v>29/01/2026 04:15</c:v>
                </c:pt>
                <c:pt idx="243">
                  <c:v>29/01/2026 04:30</c:v>
                </c:pt>
                <c:pt idx="244">
                  <c:v>29/01/2026 04:45</c:v>
                </c:pt>
                <c:pt idx="245">
                  <c:v>29/01/2026 05:00</c:v>
                </c:pt>
                <c:pt idx="246">
                  <c:v>29/01/2026 05:15</c:v>
                </c:pt>
                <c:pt idx="247">
                  <c:v>29/01/2026 05:30</c:v>
                </c:pt>
                <c:pt idx="248">
                  <c:v>29/01/2026 05:45</c:v>
                </c:pt>
                <c:pt idx="249">
                  <c:v>29/01/2026 06:00</c:v>
                </c:pt>
                <c:pt idx="250">
                  <c:v>29/01/2026 06:15</c:v>
                </c:pt>
                <c:pt idx="251">
                  <c:v>29/01/2026 06:30</c:v>
                </c:pt>
                <c:pt idx="252">
                  <c:v>29/01/2026 06:45</c:v>
                </c:pt>
                <c:pt idx="253">
                  <c:v>29/01/2026 07:00</c:v>
                </c:pt>
                <c:pt idx="254">
                  <c:v>29/01/2026 07:15</c:v>
                </c:pt>
                <c:pt idx="255">
                  <c:v>29/01/2026 07:30</c:v>
                </c:pt>
                <c:pt idx="256">
                  <c:v>29/01/2026 07:45</c:v>
                </c:pt>
                <c:pt idx="257">
                  <c:v>29/01/2026 08:00</c:v>
                </c:pt>
                <c:pt idx="258">
                  <c:v>29/01/2026 08:15</c:v>
                </c:pt>
                <c:pt idx="259">
                  <c:v>29/01/2026 08:30</c:v>
                </c:pt>
                <c:pt idx="260">
                  <c:v>29/01/2026 08:45</c:v>
                </c:pt>
                <c:pt idx="261">
                  <c:v>29/01/2026 09:00</c:v>
                </c:pt>
                <c:pt idx="262">
                  <c:v>29/01/2026 09:15</c:v>
                </c:pt>
                <c:pt idx="263">
                  <c:v>29/01/2026 09:30</c:v>
                </c:pt>
                <c:pt idx="264">
                  <c:v>29/01/2026 09:45</c:v>
                </c:pt>
                <c:pt idx="265">
                  <c:v>29/01/2026 10:00</c:v>
                </c:pt>
                <c:pt idx="266">
                  <c:v>29/01/2026 10:15</c:v>
                </c:pt>
                <c:pt idx="267">
                  <c:v>29/01/2026 10:30</c:v>
                </c:pt>
                <c:pt idx="268">
                  <c:v>29/01/2026 10:45</c:v>
                </c:pt>
                <c:pt idx="269">
                  <c:v>29/01/2026 11:00</c:v>
                </c:pt>
                <c:pt idx="270">
                  <c:v>29/01/2026 11:15</c:v>
                </c:pt>
                <c:pt idx="271">
                  <c:v>29/01/2026 11:30</c:v>
                </c:pt>
                <c:pt idx="272">
                  <c:v>29/01/2026 11:45</c:v>
                </c:pt>
                <c:pt idx="273">
                  <c:v>29/01/2026 12:00</c:v>
                </c:pt>
                <c:pt idx="274">
                  <c:v>29/01/2026 12:15</c:v>
                </c:pt>
                <c:pt idx="275">
                  <c:v>29/01/2026 12:30</c:v>
                </c:pt>
                <c:pt idx="276">
                  <c:v>29/01/2026 12:45</c:v>
                </c:pt>
                <c:pt idx="277">
                  <c:v>29/01/2026 13:00</c:v>
                </c:pt>
                <c:pt idx="278">
                  <c:v>29/01/2026 13:15</c:v>
                </c:pt>
                <c:pt idx="279">
                  <c:v>29/01/2026 13:30</c:v>
                </c:pt>
                <c:pt idx="280">
                  <c:v>29/01/2026 13:45</c:v>
                </c:pt>
                <c:pt idx="281">
                  <c:v>29/01/2026 14:00</c:v>
                </c:pt>
                <c:pt idx="282">
                  <c:v>29/01/2026 14:15</c:v>
                </c:pt>
                <c:pt idx="283">
                  <c:v>29/01/2026 14:30</c:v>
                </c:pt>
                <c:pt idx="284">
                  <c:v>29/01/2026 14:45</c:v>
                </c:pt>
                <c:pt idx="285">
                  <c:v>29/01/2026 15:00</c:v>
                </c:pt>
                <c:pt idx="286">
                  <c:v>29/01/2026 15:15</c:v>
                </c:pt>
                <c:pt idx="287">
                  <c:v>29/01/2026 15:30</c:v>
                </c:pt>
                <c:pt idx="288">
                  <c:v>29/01/2026 15:45</c:v>
                </c:pt>
                <c:pt idx="289">
                  <c:v>29/01/2026 16:00</c:v>
                </c:pt>
                <c:pt idx="290">
                  <c:v>29/01/2026 16:15</c:v>
                </c:pt>
                <c:pt idx="291">
                  <c:v>29/01/2026 16:30</c:v>
                </c:pt>
                <c:pt idx="292">
                  <c:v>29/01/2026 16:45</c:v>
                </c:pt>
                <c:pt idx="293">
                  <c:v>29/01/2026 17:00</c:v>
                </c:pt>
                <c:pt idx="294">
                  <c:v>29/01/2026 17:15</c:v>
                </c:pt>
                <c:pt idx="295">
                  <c:v>29/01/2026 17:30</c:v>
                </c:pt>
                <c:pt idx="296">
                  <c:v>29/01/2026 17:45</c:v>
                </c:pt>
                <c:pt idx="297">
                  <c:v>29/01/2026 18:00</c:v>
                </c:pt>
                <c:pt idx="298">
                  <c:v>29/01/2026 18:15</c:v>
                </c:pt>
                <c:pt idx="299">
                  <c:v>29/01/2026 18:30</c:v>
                </c:pt>
                <c:pt idx="300">
                  <c:v>29/01/2026 18:45</c:v>
                </c:pt>
                <c:pt idx="301">
                  <c:v>29/01/2026 19:00</c:v>
                </c:pt>
                <c:pt idx="302">
                  <c:v>29/01/2026 19:15</c:v>
                </c:pt>
                <c:pt idx="303">
                  <c:v>29/01/2026 19:30</c:v>
                </c:pt>
                <c:pt idx="304">
                  <c:v>29/01/2026 19:45</c:v>
                </c:pt>
                <c:pt idx="305">
                  <c:v>29/01/2026 20:00</c:v>
                </c:pt>
                <c:pt idx="306">
                  <c:v>29/01/2026 20:15</c:v>
                </c:pt>
                <c:pt idx="307">
                  <c:v>29/01/2026 20:30</c:v>
                </c:pt>
                <c:pt idx="308">
                  <c:v>29/01/2026 20:45</c:v>
                </c:pt>
                <c:pt idx="309">
                  <c:v>29/01/2026 21:00</c:v>
                </c:pt>
                <c:pt idx="310">
                  <c:v>29/01/2026 21:15</c:v>
                </c:pt>
                <c:pt idx="311">
                  <c:v>29/01/2026 21:30</c:v>
                </c:pt>
                <c:pt idx="312">
                  <c:v>29/01/2026 21:45</c:v>
                </c:pt>
                <c:pt idx="313">
                  <c:v>29/01/2026 22:00</c:v>
                </c:pt>
                <c:pt idx="314">
                  <c:v>29/01/2026 22:15</c:v>
                </c:pt>
                <c:pt idx="315">
                  <c:v>29/01/2026 22:30</c:v>
                </c:pt>
                <c:pt idx="316">
                  <c:v>29/01/2026 22:45</c:v>
                </c:pt>
                <c:pt idx="317">
                  <c:v>29/01/2026 23:00</c:v>
                </c:pt>
                <c:pt idx="318">
                  <c:v>29/01/2026 23:15</c:v>
                </c:pt>
                <c:pt idx="319">
                  <c:v>29/01/2026 23:30</c:v>
                </c:pt>
                <c:pt idx="320">
                  <c:v>29/01/2026 23:45</c:v>
                </c:pt>
                <c:pt idx="321">
                  <c:v>29/01/2026 24:00</c:v>
                </c:pt>
                <c:pt idx="322">
                  <c:v>30/01/2026 00:15</c:v>
                </c:pt>
                <c:pt idx="323">
                  <c:v>30/01/2026 00:30</c:v>
                </c:pt>
                <c:pt idx="324">
                  <c:v>30/01/2026 00:45</c:v>
                </c:pt>
                <c:pt idx="325">
                  <c:v>30/01/2026 01:00</c:v>
                </c:pt>
                <c:pt idx="326">
                  <c:v>30/01/2026 01:15</c:v>
                </c:pt>
                <c:pt idx="327">
                  <c:v>30/01/2026 01:30</c:v>
                </c:pt>
                <c:pt idx="328">
                  <c:v>30/01/2026 01:45</c:v>
                </c:pt>
                <c:pt idx="329">
                  <c:v>30/01/2026 02:00</c:v>
                </c:pt>
                <c:pt idx="330">
                  <c:v>30/01/2026 02:15</c:v>
                </c:pt>
                <c:pt idx="331">
                  <c:v>30/01/2026 02:30</c:v>
                </c:pt>
                <c:pt idx="332">
                  <c:v>30/01/2026 02:45</c:v>
                </c:pt>
                <c:pt idx="333">
                  <c:v>30/01/2026 03:00</c:v>
                </c:pt>
                <c:pt idx="334">
                  <c:v>30/01/2026 03:15</c:v>
                </c:pt>
                <c:pt idx="335">
                  <c:v>30/01/2026 03:30</c:v>
                </c:pt>
                <c:pt idx="336">
                  <c:v>30/01/2026 03:45</c:v>
                </c:pt>
                <c:pt idx="337">
                  <c:v>30/01/2026 04:00</c:v>
                </c:pt>
                <c:pt idx="338">
                  <c:v>30/01/2026 04:15</c:v>
                </c:pt>
                <c:pt idx="339">
                  <c:v>30/01/2026 04:30</c:v>
                </c:pt>
                <c:pt idx="340">
                  <c:v>30/01/2026 04:45</c:v>
                </c:pt>
                <c:pt idx="341">
                  <c:v>30/01/2026 05:00</c:v>
                </c:pt>
                <c:pt idx="342">
                  <c:v>30/01/2026 05:15</c:v>
                </c:pt>
                <c:pt idx="343">
                  <c:v>30/01/2026 05:30</c:v>
                </c:pt>
                <c:pt idx="344">
                  <c:v>30/01/2026 05:45</c:v>
                </c:pt>
                <c:pt idx="345">
                  <c:v>30/01/2026 06:00</c:v>
                </c:pt>
                <c:pt idx="346">
                  <c:v>30/01/2026 06:15</c:v>
                </c:pt>
                <c:pt idx="347">
                  <c:v>30/01/2026 06:30</c:v>
                </c:pt>
                <c:pt idx="348">
                  <c:v>30/01/2026 06:45</c:v>
                </c:pt>
                <c:pt idx="349">
                  <c:v>30/01/2026 07:00</c:v>
                </c:pt>
                <c:pt idx="350">
                  <c:v>30/01/2026 07:15</c:v>
                </c:pt>
                <c:pt idx="351">
                  <c:v>30/01/2026 07:30</c:v>
                </c:pt>
                <c:pt idx="352">
                  <c:v>30/01/2026 07:45</c:v>
                </c:pt>
                <c:pt idx="353">
                  <c:v>30/01/2026 08:00</c:v>
                </c:pt>
                <c:pt idx="354">
                  <c:v>30/01/2026 08:15</c:v>
                </c:pt>
                <c:pt idx="355">
                  <c:v>30/01/2026 08:30</c:v>
                </c:pt>
                <c:pt idx="356">
                  <c:v>30/01/2026 08:45</c:v>
                </c:pt>
                <c:pt idx="357">
                  <c:v>30/01/2026 09:00</c:v>
                </c:pt>
                <c:pt idx="358">
                  <c:v>30/01/2026 09:15</c:v>
                </c:pt>
                <c:pt idx="359">
                  <c:v>30/01/2026 09:30</c:v>
                </c:pt>
                <c:pt idx="360">
                  <c:v>30/01/2026 09:45</c:v>
                </c:pt>
                <c:pt idx="361">
                  <c:v>30/01/2026 10:00</c:v>
                </c:pt>
                <c:pt idx="362">
                  <c:v>30/01/2026 10:15</c:v>
                </c:pt>
                <c:pt idx="363">
                  <c:v>30/01/2026 10:30</c:v>
                </c:pt>
                <c:pt idx="364">
                  <c:v>30/01/2026 10:45</c:v>
                </c:pt>
                <c:pt idx="365">
                  <c:v>30/01/2026 11:00</c:v>
                </c:pt>
                <c:pt idx="366">
                  <c:v>30/01/2026 11:15</c:v>
                </c:pt>
                <c:pt idx="367">
                  <c:v>30/01/2026 11:30</c:v>
                </c:pt>
                <c:pt idx="368">
                  <c:v>30/01/2026 11:45</c:v>
                </c:pt>
                <c:pt idx="369">
                  <c:v>30/01/2026 12:00</c:v>
                </c:pt>
                <c:pt idx="370">
                  <c:v>30/01/2026 12:15</c:v>
                </c:pt>
                <c:pt idx="371">
                  <c:v>30/01/2026 12:30</c:v>
                </c:pt>
                <c:pt idx="372">
                  <c:v>30/01/2026 12:45</c:v>
                </c:pt>
                <c:pt idx="373">
                  <c:v>30/01/2026 13:00</c:v>
                </c:pt>
                <c:pt idx="374">
                  <c:v>30/01/2026 13:15</c:v>
                </c:pt>
                <c:pt idx="375">
                  <c:v>30/01/2026 13:30</c:v>
                </c:pt>
                <c:pt idx="376">
                  <c:v>30/01/2026 13:45</c:v>
                </c:pt>
                <c:pt idx="377">
                  <c:v>30/01/2026 14:00</c:v>
                </c:pt>
                <c:pt idx="378">
                  <c:v>30/01/2026 14:15</c:v>
                </c:pt>
                <c:pt idx="379">
                  <c:v>30/01/2026 14:30</c:v>
                </c:pt>
                <c:pt idx="380">
                  <c:v>30/01/2026 14:45</c:v>
                </c:pt>
                <c:pt idx="381">
                  <c:v>30/01/2026 15:00</c:v>
                </c:pt>
                <c:pt idx="382">
                  <c:v>30/01/2026 15:15</c:v>
                </c:pt>
                <c:pt idx="383">
                  <c:v>30/01/2026 15:30</c:v>
                </c:pt>
                <c:pt idx="384">
                  <c:v>30/01/2026 15:45</c:v>
                </c:pt>
                <c:pt idx="385">
                  <c:v>30/01/2026 16:00</c:v>
                </c:pt>
                <c:pt idx="386">
                  <c:v>30/01/2026 16:15</c:v>
                </c:pt>
                <c:pt idx="387">
                  <c:v>30/01/2026 16:30</c:v>
                </c:pt>
                <c:pt idx="388">
                  <c:v>30/01/2026 16:45</c:v>
                </c:pt>
                <c:pt idx="389">
                  <c:v>30/01/2026 17:00</c:v>
                </c:pt>
                <c:pt idx="390">
                  <c:v>30/01/2026 17:15</c:v>
                </c:pt>
                <c:pt idx="391">
                  <c:v>30/01/2026 17:30</c:v>
                </c:pt>
                <c:pt idx="392">
                  <c:v>30/01/2026 17:45</c:v>
                </c:pt>
                <c:pt idx="393">
                  <c:v>30/01/2026 18:00</c:v>
                </c:pt>
                <c:pt idx="394">
                  <c:v>30/01/2026 18:15</c:v>
                </c:pt>
                <c:pt idx="395">
                  <c:v>30/01/2026 18:30</c:v>
                </c:pt>
                <c:pt idx="396">
                  <c:v>30/01/2026 18:45</c:v>
                </c:pt>
                <c:pt idx="397">
                  <c:v>30/01/2026 19:00</c:v>
                </c:pt>
                <c:pt idx="398">
                  <c:v>30/01/2026 19:15</c:v>
                </c:pt>
                <c:pt idx="399">
                  <c:v>30/01/2026 19:30</c:v>
                </c:pt>
                <c:pt idx="400">
                  <c:v>30/01/2026 19:45</c:v>
                </c:pt>
                <c:pt idx="401">
                  <c:v>30/01/2026 20:00</c:v>
                </c:pt>
                <c:pt idx="402">
                  <c:v>30/01/2026 20:15</c:v>
                </c:pt>
                <c:pt idx="403">
                  <c:v>30/01/2026 20:30</c:v>
                </c:pt>
                <c:pt idx="404">
                  <c:v>30/01/2026 20:45</c:v>
                </c:pt>
                <c:pt idx="405">
                  <c:v>30/01/2026 21:00</c:v>
                </c:pt>
                <c:pt idx="406">
                  <c:v>30/01/2026 21:15</c:v>
                </c:pt>
                <c:pt idx="407">
                  <c:v>30/01/2026 21:30</c:v>
                </c:pt>
                <c:pt idx="408">
                  <c:v>30/01/2026 21:45</c:v>
                </c:pt>
                <c:pt idx="409">
                  <c:v>30/01/2026 22:00</c:v>
                </c:pt>
                <c:pt idx="410">
                  <c:v>30/01/2026 22:15</c:v>
                </c:pt>
                <c:pt idx="411">
                  <c:v>30/01/2026 22:30</c:v>
                </c:pt>
                <c:pt idx="412">
                  <c:v>30/01/2026 22:45</c:v>
                </c:pt>
                <c:pt idx="413">
                  <c:v>30/01/2026 23:00</c:v>
                </c:pt>
                <c:pt idx="414">
                  <c:v>30/01/2026 23:15</c:v>
                </c:pt>
                <c:pt idx="415">
                  <c:v>30/01/2026 23:30</c:v>
                </c:pt>
                <c:pt idx="416">
                  <c:v>30/01/2026 23:45</c:v>
                </c:pt>
                <c:pt idx="417">
                  <c:v>30/01/2026 24:00</c:v>
                </c:pt>
                <c:pt idx="418">
                  <c:v>31/01/2026 00:15</c:v>
                </c:pt>
                <c:pt idx="419">
                  <c:v>31/01/2026 00:30</c:v>
                </c:pt>
                <c:pt idx="420">
                  <c:v>31/01/2026 00:45</c:v>
                </c:pt>
                <c:pt idx="421">
                  <c:v>31/01/2026 01:00</c:v>
                </c:pt>
                <c:pt idx="422">
                  <c:v>31/01/2026 01:15</c:v>
                </c:pt>
                <c:pt idx="423">
                  <c:v>31/01/2026 01:30</c:v>
                </c:pt>
                <c:pt idx="424">
                  <c:v>31/01/2026 01:45</c:v>
                </c:pt>
                <c:pt idx="425">
                  <c:v>31/01/2026 02:00</c:v>
                </c:pt>
                <c:pt idx="426">
                  <c:v>31/01/2026 02:15</c:v>
                </c:pt>
                <c:pt idx="427">
                  <c:v>31/01/2026 02:30</c:v>
                </c:pt>
                <c:pt idx="428">
                  <c:v>31/01/2026 02:45</c:v>
                </c:pt>
                <c:pt idx="429">
                  <c:v>31/01/2026 03:00</c:v>
                </c:pt>
                <c:pt idx="430">
                  <c:v>31/01/2026 03:15</c:v>
                </c:pt>
                <c:pt idx="431">
                  <c:v>31/01/2026 03:30</c:v>
                </c:pt>
                <c:pt idx="432">
                  <c:v>31/01/2026 03:45</c:v>
                </c:pt>
                <c:pt idx="433">
                  <c:v>31/01/2026 04:00</c:v>
                </c:pt>
                <c:pt idx="434">
                  <c:v>31/01/2026 04:15</c:v>
                </c:pt>
                <c:pt idx="435">
                  <c:v>31/01/2026 04:30</c:v>
                </c:pt>
                <c:pt idx="436">
                  <c:v>31/01/2026 04:45</c:v>
                </c:pt>
                <c:pt idx="437">
                  <c:v>31/01/2026 05:00</c:v>
                </c:pt>
                <c:pt idx="438">
                  <c:v>31/01/2026 05:15</c:v>
                </c:pt>
                <c:pt idx="439">
                  <c:v>31/01/2026 05:30</c:v>
                </c:pt>
                <c:pt idx="440">
                  <c:v>31/01/2026 05:45</c:v>
                </c:pt>
                <c:pt idx="441">
                  <c:v>31/01/2026 06:00</c:v>
                </c:pt>
                <c:pt idx="442">
                  <c:v>31/01/2026 06:15</c:v>
                </c:pt>
                <c:pt idx="443">
                  <c:v>31/01/2026 06:30</c:v>
                </c:pt>
                <c:pt idx="444">
                  <c:v>31/01/2026 06:45</c:v>
                </c:pt>
                <c:pt idx="445">
                  <c:v>31/01/2026 07:00</c:v>
                </c:pt>
                <c:pt idx="446">
                  <c:v>31/01/2026 07:15</c:v>
                </c:pt>
                <c:pt idx="447">
                  <c:v>31/01/2026 07:30</c:v>
                </c:pt>
                <c:pt idx="448">
                  <c:v>31/01/2026 07:45</c:v>
                </c:pt>
                <c:pt idx="449">
                  <c:v>31/01/2026 08:00</c:v>
                </c:pt>
                <c:pt idx="450">
                  <c:v>31/01/2026 08:15</c:v>
                </c:pt>
                <c:pt idx="451">
                  <c:v>31/01/2026 08:30</c:v>
                </c:pt>
                <c:pt idx="452">
                  <c:v>31/01/2026 08:45</c:v>
                </c:pt>
                <c:pt idx="453">
                  <c:v>31/01/2026 09:00</c:v>
                </c:pt>
                <c:pt idx="454">
                  <c:v>31/01/2026 09:15</c:v>
                </c:pt>
                <c:pt idx="455">
                  <c:v>31/01/2026 09:30</c:v>
                </c:pt>
                <c:pt idx="456">
                  <c:v>31/01/2026 09:45</c:v>
                </c:pt>
                <c:pt idx="457">
                  <c:v>31/01/2026 10:00</c:v>
                </c:pt>
                <c:pt idx="458">
                  <c:v>31/01/2026 10:15</c:v>
                </c:pt>
                <c:pt idx="459">
                  <c:v>31/01/2026 10:30</c:v>
                </c:pt>
                <c:pt idx="460">
                  <c:v>31/01/2026 10:45</c:v>
                </c:pt>
                <c:pt idx="461">
                  <c:v>31/01/2026 11:00</c:v>
                </c:pt>
                <c:pt idx="462">
                  <c:v>31/01/2026 11:15</c:v>
                </c:pt>
                <c:pt idx="463">
                  <c:v>31/01/2026 11:30</c:v>
                </c:pt>
                <c:pt idx="464">
                  <c:v>31/01/2026 11:45</c:v>
                </c:pt>
                <c:pt idx="465">
                  <c:v>31/01/2026 12:00</c:v>
                </c:pt>
                <c:pt idx="466">
                  <c:v>31/01/2026 12:15</c:v>
                </c:pt>
                <c:pt idx="467">
                  <c:v>31/01/2026 12:30</c:v>
                </c:pt>
                <c:pt idx="468">
                  <c:v>31/01/2026 12:45</c:v>
                </c:pt>
                <c:pt idx="469">
                  <c:v>31/01/2026 13:00</c:v>
                </c:pt>
                <c:pt idx="470">
                  <c:v>31/01/2026 13:15</c:v>
                </c:pt>
                <c:pt idx="471">
                  <c:v>31/01/2026 13:30</c:v>
                </c:pt>
                <c:pt idx="472">
                  <c:v>31/01/2026 13:45</c:v>
                </c:pt>
                <c:pt idx="473">
                  <c:v>31/01/2026 14:00</c:v>
                </c:pt>
                <c:pt idx="474">
                  <c:v>31/01/2026 14:15</c:v>
                </c:pt>
                <c:pt idx="475">
                  <c:v>31/01/2026 14:30</c:v>
                </c:pt>
                <c:pt idx="476">
                  <c:v>31/01/2026 14:45</c:v>
                </c:pt>
                <c:pt idx="477">
                  <c:v>31/01/2026 15:00</c:v>
                </c:pt>
                <c:pt idx="478">
                  <c:v>31/01/2026 15:15</c:v>
                </c:pt>
                <c:pt idx="479">
                  <c:v>31/01/2026 15:30</c:v>
                </c:pt>
                <c:pt idx="480">
                  <c:v>31/01/2026 15:45</c:v>
                </c:pt>
                <c:pt idx="481">
                  <c:v>31/01/2026 16:00</c:v>
                </c:pt>
                <c:pt idx="482">
                  <c:v>31/01/2026 16:15</c:v>
                </c:pt>
                <c:pt idx="483">
                  <c:v>31/01/2026 16:30</c:v>
                </c:pt>
                <c:pt idx="484">
                  <c:v>31/01/2026 16:45</c:v>
                </c:pt>
                <c:pt idx="485">
                  <c:v>31/01/2026 17:00</c:v>
                </c:pt>
                <c:pt idx="486">
                  <c:v>31/01/2026 17:15</c:v>
                </c:pt>
                <c:pt idx="487">
                  <c:v>31/01/2026 17:30</c:v>
                </c:pt>
                <c:pt idx="488">
                  <c:v>31/01/2026 17:45</c:v>
                </c:pt>
                <c:pt idx="489">
                  <c:v>31/01/2026 18:00</c:v>
                </c:pt>
                <c:pt idx="490">
                  <c:v>31/01/2026 18:15</c:v>
                </c:pt>
                <c:pt idx="491">
                  <c:v>31/01/2026 18:30</c:v>
                </c:pt>
                <c:pt idx="492">
                  <c:v>31/01/2026 18:45</c:v>
                </c:pt>
                <c:pt idx="493">
                  <c:v>31/01/2026 19:00</c:v>
                </c:pt>
                <c:pt idx="494">
                  <c:v>31/01/2026 19:15</c:v>
                </c:pt>
                <c:pt idx="495">
                  <c:v>31/01/2026 19:30</c:v>
                </c:pt>
                <c:pt idx="496">
                  <c:v>31/01/2026 19:45</c:v>
                </c:pt>
                <c:pt idx="497">
                  <c:v>31/01/2026 20:00</c:v>
                </c:pt>
                <c:pt idx="498">
                  <c:v>31/01/2026 20:15</c:v>
                </c:pt>
                <c:pt idx="499">
                  <c:v>31/01/2026 20:30</c:v>
                </c:pt>
                <c:pt idx="500">
                  <c:v>31/01/2026 20:45</c:v>
                </c:pt>
                <c:pt idx="501">
                  <c:v>31/01/2026 21:00</c:v>
                </c:pt>
                <c:pt idx="502">
                  <c:v>31/01/2026 21:15</c:v>
                </c:pt>
                <c:pt idx="503">
                  <c:v>31/01/2026 21:30</c:v>
                </c:pt>
                <c:pt idx="504">
                  <c:v>31/01/2026 21:45</c:v>
                </c:pt>
                <c:pt idx="505">
                  <c:v>31/01/2026 22:00</c:v>
                </c:pt>
                <c:pt idx="506">
                  <c:v>31/01/2026 22:15</c:v>
                </c:pt>
                <c:pt idx="507">
                  <c:v>31/01/2026 22:30</c:v>
                </c:pt>
                <c:pt idx="508">
                  <c:v>31/01/2026 22:45</c:v>
                </c:pt>
                <c:pt idx="509">
                  <c:v>31/01/2026 23:00</c:v>
                </c:pt>
                <c:pt idx="510">
                  <c:v>31/01/2026 23:15</c:v>
                </c:pt>
                <c:pt idx="511">
                  <c:v>31/01/2026 23:30</c:v>
                </c:pt>
                <c:pt idx="512">
                  <c:v>31/01/2026 23:45</c:v>
                </c:pt>
                <c:pt idx="513">
                  <c:v>31/01/2026 24:00</c:v>
                </c:pt>
                <c:pt idx="514">
                  <c:v>01/02/2026 00:15</c:v>
                </c:pt>
                <c:pt idx="515">
                  <c:v>01/02/2026 00:30</c:v>
                </c:pt>
                <c:pt idx="516">
                  <c:v>01/02/2026 00:45</c:v>
                </c:pt>
                <c:pt idx="517">
                  <c:v>01/02/2026 01:00</c:v>
                </c:pt>
                <c:pt idx="518">
                  <c:v>01/02/2026 01:15</c:v>
                </c:pt>
                <c:pt idx="519">
                  <c:v>01/02/2026 01:30</c:v>
                </c:pt>
                <c:pt idx="520">
                  <c:v>01/02/2026 01:45</c:v>
                </c:pt>
                <c:pt idx="521">
                  <c:v>01/02/2026 02:00</c:v>
                </c:pt>
                <c:pt idx="522">
                  <c:v>01/02/2026 02:15</c:v>
                </c:pt>
                <c:pt idx="523">
                  <c:v>01/02/2026 02:30</c:v>
                </c:pt>
                <c:pt idx="524">
                  <c:v>01/02/2026 02:45</c:v>
                </c:pt>
                <c:pt idx="525">
                  <c:v>01/02/2026 03:00</c:v>
                </c:pt>
                <c:pt idx="526">
                  <c:v>01/02/2026 03:15</c:v>
                </c:pt>
                <c:pt idx="527">
                  <c:v>01/02/2026 03:30</c:v>
                </c:pt>
                <c:pt idx="528">
                  <c:v>01/02/2026 03:45</c:v>
                </c:pt>
                <c:pt idx="529">
                  <c:v>01/02/2026 04:00</c:v>
                </c:pt>
                <c:pt idx="530">
                  <c:v>01/02/2026 04:15</c:v>
                </c:pt>
                <c:pt idx="531">
                  <c:v>01/02/2026 04:30</c:v>
                </c:pt>
                <c:pt idx="532">
                  <c:v>01/02/2026 04:45</c:v>
                </c:pt>
                <c:pt idx="533">
                  <c:v>01/02/2026 05:00</c:v>
                </c:pt>
                <c:pt idx="534">
                  <c:v>01/02/2026 05:15</c:v>
                </c:pt>
                <c:pt idx="535">
                  <c:v>01/02/2026 05:30</c:v>
                </c:pt>
                <c:pt idx="536">
                  <c:v>01/02/2026 05:45</c:v>
                </c:pt>
                <c:pt idx="537">
                  <c:v>01/02/2026 06:00</c:v>
                </c:pt>
                <c:pt idx="538">
                  <c:v>01/02/2026 06:15</c:v>
                </c:pt>
                <c:pt idx="539">
                  <c:v>01/02/2026 06:30</c:v>
                </c:pt>
                <c:pt idx="540">
                  <c:v>01/02/2026 06:45</c:v>
                </c:pt>
                <c:pt idx="541">
                  <c:v>01/02/2026 07:00</c:v>
                </c:pt>
                <c:pt idx="542">
                  <c:v>01/02/2026 07:15</c:v>
                </c:pt>
                <c:pt idx="543">
                  <c:v>01/02/2026 07:30</c:v>
                </c:pt>
                <c:pt idx="544">
                  <c:v>01/02/2026 07:45</c:v>
                </c:pt>
                <c:pt idx="545">
                  <c:v>01/02/2026 08:00</c:v>
                </c:pt>
                <c:pt idx="546">
                  <c:v>01/02/2026 08:15</c:v>
                </c:pt>
                <c:pt idx="547">
                  <c:v>01/02/2026 08:30</c:v>
                </c:pt>
                <c:pt idx="548">
                  <c:v>01/02/2026 08:45</c:v>
                </c:pt>
                <c:pt idx="549">
                  <c:v>01/02/2026 09:00</c:v>
                </c:pt>
                <c:pt idx="550">
                  <c:v>01/02/2026 09:15</c:v>
                </c:pt>
                <c:pt idx="551">
                  <c:v>01/02/2026 09:30</c:v>
                </c:pt>
                <c:pt idx="552">
                  <c:v>01/02/2026 09:45</c:v>
                </c:pt>
                <c:pt idx="553">
                  <c:v>01/02/2026 10:00</c:v>
                </c:pt>
                <c:pt idx="554">
                  <c:v>01/02/2026 10:15</c:v>
                </c:pt>
                <c:pt idx="555">
                  <c:v>01/02/2026 10:30</c:v>
                </c:pt>
                <c:pt idx="556">
                  <c:v>01/02/2026 10:45</c:v>
                </c:pt>
                <c:pt idx="557">
                  <c:v>01/02/2026 11:00</c:v>
                </c:pt>
                <c:pt idx="558">
                  <c:v>01/02/2026 11:15</c:v>
                </c:pt>
                <c:pt idx="559">
                  <c:v>01/02/2026 11:30</c:v>
                </c:pt>
                <c:pt idx="560">
                  <c:v>01/02/2026 11:45</c:v>
                </c:pt>
                <c:pt idx="561">
                  <c:v>01/02/2026 12:00</c:v>
                </c:pt>
                <c:pt idx="562">
                  <c:v>01/02/2026 12:15</c:v>
                </c:pt>
                <c:pt idx="563">
                  <c:v>01/02/2026 12:30</c:v>
                </c:pt>
                <c:pt idx="564">
                  <c:v>01/02/2026 12:45</c:v>
                </c:pt>
                <c:pt idx="565">
                  <c:v>01/02/2026 13:00</c:v>
                </c:pt>
                <c:pt idx="566">
                  <c:v>01/02/2026 13:15</c:v>
                </c:pt>
                <c:pt idx="567">
                  <c:v>01/02/2026 13:30</c:v>
                </c:pt>
                <c:pt idx="568">
                  <c:v>01/02/2026 13:45</c:v>
                </c:pt>
                <c:pt idx="569">
                  <c:v>01/02/2026 14:00</c:v>
                </c:pt>
                <c:pt idx="570">
                  <c:v>01/02/2026 14:15</c:v>
                </c:pt>
                <c:pt idx="571">
                  <c:v>01/02/2026 14:30</c:v>
                </c:pt>
                <c:pt idx="572">
                  <c:v>01/02/2026 14:45</c:v>
                </c:pt>
                <c:pt idx="573">
                  <c:v>01/02/2026 15:00</c:v>
                </c:pt>
                <c:pt idx="574">
                  <c:v>01/02/2026 15:15</c:v>
                </c:pt>
                <c:pt idx="575">
                  <c:v>01/02/2026 15:30</c:v>
                </c:pt>
                <c:pt idx="576">
                  <c:v>01/02/2026 15:45</c:v>
                </c:pt>
                <c:pt idx="577">
                  <c:v>01/02/2026 16:00</c:v>
                </c:pt>
                <c:pt idx="578">
                  <c:v>01/02/2026 16:15</c:v>
                </c:pt>
                <c:pt idx="579">
                  <c:v>01/02/2026 16:30</c:v>
                </c:pt>
                <c:pt idx="580">
                  <c:v>01/02/2026 16:45</c:v>
                </c:pt>
                <c:pt idx="581">
                  <c:v>01/02/2026 17:00</c:v>
                </c:pt>
                <c:pt idx="582">
                  <c:v>01/02/2026 17:15</c:v>
                </c:pt>
                <c:pt idx="583">
                  <c:v>01/02/2026 17:30</c:v>
                </c:pt>
                <c:pt idx="584">
                  <c:v>01/02/2026 17:45</c:v>
                </c:pt>
                <c:pt idx="585">
                  <c:v>01/02/2026 18:00</c:v>
                </c:pt>
                <c:pt idx="586">
                  <c:v>01/02/2026 18:15</c:v>
                </c:pt>
                <c:pt idx="587">
                  <c:v>01/02/2026 18:30</c:v>
                </c:pt>
                <c:pt idx="588">
                  <c:v>01/02/2026 18:45</c:v>
                </c:pt>
                <c:pt idx="589">
                  <c:v>01/02/2026 19:00</c:v>
                </c:pt>
                <c:pt idx="590">
                  <c:v>01/02/2026 19:15</c:v>
                </c:pt>
                <c:pt idx="591">
                  <c:v>01/02/2026 19:30</c:v>
                </c:pt>
                <c:pt idx="592">
                  <c:v>01/02/2026 19:45</c:v>
                </c:pt>
                <c:pt idx="593">
                  <c:v>01/02/2026 20:00</c:v>
                </c:pt>
                <c:pt idx="594">
                  <c:v>01/02/2026 20:15</c:v>
                </c:pt>
                <c:pt idx="595">
                  <c:v>01/02/2026 20:30</c:v>
                </c:pt>
                <c:pt idx="596">
                  <c:v>01/02/2026 20:45</c:v>
                </c:pt>
                <c:pt idx="597">
                  <c:v>01/02/2026 21:00</c:v>
                </c:pt>
                <c:pt idx="598">
                  <c:v>01/02/2026 21:15</c:v>
                </c:pt>
                <c:pt idx="599">
                  <c:v>01/02/2026 21:30</c:v>
                </c:pt>
                <c:pt idx="600">
                  <c:v>01/02/2026 21:45</c:v>
                </c:pt>
                <c:pt idx="601">
                  <c:v>01/02/2026 22:00</c:v>
                </c:pt>
                <c:pt idx="602">
                  <c:v>01/02/2026 22:15</c:v>
                </c:pt>
                <c:pt idx="603">
                  <c:v>01/02/2026 22:30</c:v>
                </c:pt>
                <c:pt idx="604">
                  <c:v>01/02/2026 22:45</c:v>
                </c:pt>
                <c:pt idx="605">
                  <c:v>01/02/2026 23:00</c:v>
                </c:pt>
                <c:pt idx="606">
                  <c:v>01/02/2026 23:15</c:v>
                </c:pt>
                <c:pt idx="607">
                  <c:v>01/02/2026 23:30</c:v>
                </c:pt>
                <c:pt idx="608">
                  <c:v>01/02/2026 23:45</c:v>
                </c:pt>
                <c:pt idx="609">
                  <c:v>01/02/2026 24:00</c:v>
                </c:pt>
                <c:pt idx="610">
                  <c:v>02/02/2026 00:15</c:v>
                </c:pt>
                <c:pt idx="611">
                  <c:v>02/02/2026 00:30</c:v>
                </c:pt>
                <c:pt idx="612">
                  <c:v>02/02/2026 00:45</c:v>
                </c:pt>
                <c:pt idx="613">
                  <c:v>02/02/2026 01:00</c:v>
                </c:pt>
                <c:pt idx="614">
                  <c:v>02/02/2026 01:15</c:v>
                </c:pt>
                <c:pt idx="615">
                  <c:v>02/02/2026 01:30</c:v>
                </c:pt>
                <c:pt idx="616">
                  <c:v>02/02/2026 01:45</c:v>
                </c:pt>
                <c:pt idx="617">
                  <c:v>02/02/2026 02:00</c:v>
                </c:pt>
                <c:pt idx="618">
                  <c:v>02/02/2026 02:15</c:v>
                </c:pt>
                <c:pt idx="619">
                  <c:v>02/02/2026 02:30</c:v>
                </c:pt>
                <c:pt idx="620">
                  <c:v>02/02/2026 02:45</c:v>
                </c:pt>
                <c:pt idx="621">
                  <c:v>02/02/2026 03:00</c:v>
                </c:pt>
                <c:pt idx="622">
                  <c:v>02/02/2026 03:15</c:v>
                </c:pt>
                <c:pt idx="623">
                  <c:v>02/02/2026 03:30</c:v>
                </c:pt>
                <c:pt idx="624">
                  <c:v>02/02/2026 03:45</c:v>
                </c:pt>
                <c:pt idx="625">
                  <c:v>02/02/2026 04:00</c:v>
                </c:pt>
                <c:pt idx="626">
                  <c:v>02/02/2026 04:15</c:v>
                </c:pt>
                <c:pt idx="627">
                  <c:v>02/02/2026 04:30</c:v>
                </c:pt>
                <c:pt idx="628">
                  <c:v>02/02/2026 04:45</c:v>
                </c:pt>
                <c:pt idx="629">
                  <c:v>02/02/2026 05:00</c:v>
                </c:pt>
                <c:pt idx="630">
                  <c:v>02/02/2026 05:15</c:v>
                </c:pt>
                <c:pt idx="631">
                  <c:v>02/02/2026 05:30</c:v>
                </c:pt>
                <c:pt idx="632">
                  <c:v>02/02/2026 05:45</c:v>
                </c:pt>
                <c:pt idx="633">
                  <c:v>02/02/2026 06:00</c:v>
                </c:pt>
                <c:pt idx="634">
                  <c:v>02/02/2026 06:15</c:v>
                </c:pt>
                <c:pt idx="635">
                  <c:v>02/02/2026 06:30</c:v>
                </c:pt>
                <c:pt idx="636">
                  <c:v>02/02/2026 06:45</c:v>
                </c:pt>
                <c:pt idx="637">
                  <c:v>02/02/2026 07:00</c:v>
                </c:pt>
                <c:pt idx="638">
                  <c:v>02/02/2026 07:15</c:v>
                </c:pt>
                <c:pt idx="639">
                  <c:v>02/02/2026 07:30</c:v>
                </c:pt>
                <c:pt idx="640">
                  <c:v>02/02/2026 07:45</c:v>
                </c:pt>
                <c:pt idx="641">
                  <c:v>02/02/2026 08:00</c:v>
                </c:pt>
                <c:pt idx="642">
                  <c:v>02/02/2026 08:15</c:v>
                </c:pt>
                <c:pt idx="643">
                  <c:v>02/02/2026 08:30</c:v>
                </c:pt>
                <c:pt idx="644">
                  <c:v>02/02/2026 08:45</c:v>
                </c:pt>
                <c:pt idx="645">
                  <c:v>02/02/2026 09:00</c:v>
                </c:pt>
                <c:pt idx="646">
                  <c:v>02/02/2026 09:15</c:v>
                </c:pt>
                <c:pt idx="647">
                  <c:v>02/02/2026 09:30</c:v>
                </c:pt>
                <c:pt idx="648">
                  <c:v>02/02/2026 09:45</c:v>
                </c:pt>
                <c:pt idx="649">
                  <c:v>02/02/2026 10:00</c:v>
                </c:pt>
                <c:pt idx="650">
                  <c:v>02/02/2026 10:15</c:v>
                </c:pt>
                <c:pt idx="651">
                  <c:v>02/02/2026 10:30</c:v>
                </c:pt>
                <c:pt idx="652">
                  <c:v>02/02/2026 10:45</c:v>
                </c:pt>
                <c:pt idx="653">
                  <c:v>02/02/2026 11:00</c:v>
                </c:pt>
                <c:pt idx="654">
                  <c:v>02/02/2026 11:15</c:v>
                </c:pt>
                <c:pt idx="655">
                  <c:v>02/02/2026 11:30</c:v>
                </c:pt>
                <c:pt idx="656">
                  <c:v>02/02/2026 11:45</c:v>
                </c:pt>
                <c:pt idx="657">
                  <c:v>02/02/2026 12:00</c:v>
                </c:pt>
                <c:pt idx="658">
                  <c:v>02/02/2026 12:15</c:v>
                </c:pt>
                <c:pt idx="659">
                  <c:v>02/02/2026 12:30</c:v>
                </c:pt>
                <c:pt idx="660">
                  <c:v>02/02/2026 12:45</c:v>
                </c:pt>
                <c:pt idx="661">
                  <c:v>02/02/2026 13:00</c:v>
                </c:pt>
                <c:pt idx="662">
                  <c:v>02/02/2026 13:15</c:v>
                </c:pt>
                <c:pt idx="663">
                  <c:v>02/02/2026 13:30</c:v>
                </c:pt>
                <c:pt idx="664">
                  <c:v>02/02/2026 13:45</c:v>
                </c:pt>
                <c:pt idx="665">
                  <c:v>02/02/2026 14:00</c:v>
                </c:pt>
                <c:pt idx="666">
                  <c:v>02/02/2026 14:15</c:v>
                </c:pt>
                <c:pt idx="667">
                  <c:v>02/02/2026 14:30</c:v>
                </c:pt>
                <c:pt idx="668">
                  <c:v>02/02/2026 14:45</c:v>
                </c:pt>
                <c:pt idx="669">
                  <c:v>02/02/2026 15:00</c:v>
                </c:pt>
                <c:pt idx="670">
                  <c:v>02/02/2026 15:15</c:v>
                </c:pt>
                <c:pt idx="671">
                  <c:v>02/02/2026 15:30</c:v>
                </c:pt>
                <c:pt idx="672">
                  <c:v>02/02/2026 15:45</c:v>
                </c:pt>
                <c:pt idx="673">
                  <c:v>02/02/2026 16:00</c:v>
                </c:pt>
                <c:pt idx="674">
                  <c:v>02/02/2026 16:15</c:v>
                </c:pt>
                <c:pt idx="675">
                  <c:v>02/02/2026 16:30</c:v>
                </c:pt>
                <c:pt idx="676">
                  <c:v>02/02/2026 16:45</c:v>
                </c:pt>
                <c:pt idx="677">
                  <c:v>02/02/2026 17:00</c:v>
                </c:pt>
                <c:pt idx="678">
                  <c:v>02/02/2026 17:15</c:v>
                </c:pt>
                <c:pt idx="679">
                  <c:v>02/02/2026 17:30</c:v>
                </c:pt>
                <c:pt idx="680">
                  <c:v>02/02/2026 17:45</c:v>
                </c:pt>
                <c:pt idx="681">
                  <c:v>02/02/2026 18:00</c:v>
                </c:pt>
                <c:pt idx="682">
                  <c:v>02/02/2026 18:15</c:v>
                </c:pt>
                <c:pt idx="683">
                  <c:v>02/02/2026 18:30</c:v>
                </c:pt>
                <c:pt idx="684">
                  <c:v>02/02/2026 18:45</c:v>
                </c:pt>
                <c:pt idx="685">
                  <c:v>02/02/2026 19:00</c:v>
                </c:pt>
                <c:pt idx="686">
                  <c:v>02/02/2026 19:15</c:v>
                </c:pt>
                <c:pt idx="687">
                  <c:v>02/02/2026 19:30</c:v>
                </c:pt>
                <c:pt idx="688">
                  <c:v>02/02/2026 19:45</c:v>
                </c:pt>
                <c:pt idx="689">
                  <c:v>02/02/2026 20:00</c:v>
                </c:pt>
                <c:pt idx="690">
                  <c:v>02/02/2026 20:15</c:v>
                </c:pt>
                <c:pt idx="691">
                  <c:v>02/02/2026 20:30</c:v>
                </c:pt>
                <c:pt idx="692">
                  <c:v>02/02/2026 20:45</c:v>
                </c:pt>
                <c:pt idx="693">
                  <c:v>02/02/2026 21:00</c:v>
                </c:pt>
                <c:pt idx="694">
                  <c:v>02/02/2026 21:15</c:v>
                </c:pt>
                <c:pt idx="695">
                  <c:v>02/02/2026 21:30</c:v>
                </c:pt>
                <c:pt idx="696">
                  <c:v>02/02/2026 21:45</c:v>
                </c:pt>
                <c:pt idx="697">
                  <c:v>02/02/2026 22:00</c:v>
                </c:pt>
                <c:pt idx="698">
                  <c:v>02/02/2026 22:15</c:v>
                </c:pt>
                <c:pt idx="699">
                  <c:v>02/02/2026 22:30</c:v>
                </c:pt>
                <c:pt idx="700">
                  <c:v>02/02/2026 22:45</c:v>
                </c:pt>
                <c:pt idx="701">
                  <c:v>02/02/2026 23:00</c:v>
                </c:pt>
                <c:pt idx="702">
                  <c:v>02/02/2026 23:15</c:v>
                </c:pt>
                <c:pt idx="703">
                  <c:v>02/02/2026 23:30</c:v>
                </c:pt>
                <c:pt idx="704">
                  <c:v>02/02/2026 23:45</c:v>
                </c:pt>
                <c:pt idx="705">
                  <c:v>02/02/2026 24:00</c:v>
                </c:pt>
                <c:pt idx="706">
                  <c:v>03/02/2026 00:15</c:v>
                </c:pt>
                <c:pt idx="707">
                  <c:v>03/02/2026 00:30</c:v>
                </c:pt>
                <c:pt idx="708">
                  <c:v>03/02/2026 00:45</c:v>
                </c:pt>
                <c:pt idx="709">
                  <c:v>03/02/2026 01:00</c:v>
                </c:pt>
                <c:pt idx="710">
                  <c:v>03/02/2026 01:15</c:v>
                </c:pt>
                <c:pt idx="711">
                  <c:v>03/02/2026 01:30</c:v>
                </c:pt>
                <c:pt idx="712">
                  <c:v>03/02/2026 01:45</c:v>
                </c:pt>
                <c:pt idx="713">
                  <c:v>03/02/2026 02:00</c:v>
                </c:pt>
                <c:pt idx="714">
                  <c:v>03/02/2026 02:15</c:v>
                </c:pt>
                <c:pt idx="715">
                  <c:v>03/02/2026 02:30</c:v>
                </c:pt>
                <c:pt idx="716">
                  <c:v>03/02/2026 02:45</c:v>
                </c:pt>
                <c:pt idx="717">
                  <c:v>03/02/2026 03:00</c:v>
                </c:pt>
                <c:pt idx="718">
                  <c:v>03/02/2026 03:15</c:v>
                </c:pt>
                <c:pt idx="719">
                  <c:v>03/02/2026 03:30</c:v>
                </c:pt>
                <c:pt idx="720">
                  <c:v>03/02/2026 03:45</c:v>
                </c:pt>
                <c:pt idx="721">
                  <c:v>03/02/2026 04:00</c:v>
                </c:pt>
                <c:pt idx="722">
                  <c:v>03/02/2026 04:15</c:v>
                </c:pt>
                <c:pt idx="723">
                  <c:v>03/02/2026 04:30</c:v>
                </c:pt>
                <c:pt idx="724">
                  <c:v>03/02/2026 04:45</c:v>
                </c:pt>
                <c:pt idx="725">
                  <c:v>03/02/2026 05:00</c:v>
                </c:pt>
                <c:pt idx="726">
                  <c:v>03/02/2026 05:15</c:v>
                </c:pt>
                <c:pt idx="727">
                  <c:v>03/02/2026 05:30</c:v>
                </c:pt>
                <c:pt idx="728">
                  <c:v>03/02/2026 05:45</c:v>
                </c:pt>
                <c:pt idx="729">
                  <c:v>03/02/2026 06:00</c:v>
                </c:pt>
                <c:pt idx="730">
                  <c:v>03/02/2026 06:15</c:v>
                </c:pt>
                <c:pt idx="731">
                  <c:v>03/02/2026 06:30</c:v>
                </c:pt>
                <c:pt idx="732">
                  <c:v>03/02/2026 06:45</c:v>
                </c:pt>
                <c:pt idx="733">
                  <c:v>03/02/2026 07:00</c:v>
                </c:pt>
                <c:pt idx="734">
                  <c:v>03/02/2026 07:15</c:v>
                </c:pt>
                <c:pt idx="735">
                  <c:v>03/02/2026 07:30</c:v>
                </c:pt>
                <c:pt idx="736">
                  <c:v>03/02/2026 07:45</c:v>
                </c:pt>
                <c:pt idx="737">
                  <c:v>03/02/2026 08:00</c:v>
                </c:pt>
                <c:pt idx="738">
                  <c:v>03/02/2026 08:15</c:v>
                </c:pt>
                <c:pt idx="739">
                  <c:v>03/02/2026 08:30</c:v>
                </c:pt>
                <c:pt idx="740">
                  <c:v>03/02/2026 08:45</c:v>
                </c:pt>
                <c:pt idx="741">
                  <c:v>03/02/2026 09:00</c:v>
                </c:pt>
                <c:pt idx="742">
                  <c:v>03/02/2026 09:15</c:v>
                </c:pt>
                <c:pt idx="743">
                  <c:v>03/02/2026 09:30</c:v>
                </c:pt>
                <c:pt idx="744">
                  <c:v>03/02/2026 09:45</c:v>
                </c:pt>
                <c:pt idx="745">
                  <c:v>03/02/2026 10:00</c:v>
                </c:pt>
                <c:pt idx="746">
                  <c:v>03/02/2026 10:15</c:v>
                </c:pt>
                <c:pt idx="747">
                  <c:v>03/02/2026 10:30</c:v>
                </c:pt>
                <c:pt idx="748">
                  <c:v>03/02/2026 10:45</c:v>
                </c:pt>
                <c:pt idx="749">
                  <c:v>03/02/2026 11:00</c:v>
                </c:pt>
                <c:pt idx="750">
                  <c:v>03/02/2026 11:15</c:v>
                </c:pt>
                <c:pt idx="751">
                  <c:v>03/02/2026 11:30</c:v>
                </c:pt>
                <c:pt idx="752">
                  <c:v>03/02/2026 11:45</c:v>
                </c:pt>
                <c:pt idx="753">
                  <c:v>03/02/2026 12:00</c:v>
                </c:pt>
                <c:pt idx="754">
                  <c:v>03/02/2026 12:15</c:v>
                </c:pt>
                <c:pt idx="755">
                  <c:v>03/02/2026 12:30</c:v>
                </c:pt>
                <c:pt idx="756">
                  <c:v>03/02/2026 12:45</c:v>
                </c:pt>
                <c:pt idx="757">
                  <c:v>03/02/2026 13:00</c:v>
                </c:pt>
                <c:pt idx="758">
                  <c:v>03/02/2026 13:15</c:v>
                </c:pt>
                <c:pt idx="759">
                  <c:v>03/02/2026 13:30</c:v>
                </c:pt>
                <c:pt idx="760">
                  <c:v>03/02/2026 13:45</c:v>
                </c:pt>
                <c:pt idx="761">
                  <c:v>03/02/2026 14:00</c:v>
                </c:pt>
                <c:pt idx="762">
                  <c:v>03/02/2026 14:15</c:v>
                </c:pt>
                <c:pt idx="763">
                  <c:v>03/02/2026 14:30</c:v>
                </c:pt>
                <c:pt idx="764">
                  <c:v>03/02/2026 14:45</c:v>
                </c:pt>
                <c:pt idx="765">
                  <c:v>03/02/2026 15:00</c:v>
                </c:pt>
                <c:pt idx="766">
                  <c:v>03/02/2026 15:15</c:v>
                </c:pt>
                <c:pt idx="767">
                  <c:v>03/02/2026 15:30</c:v>
                </c:pt>
                <c:pt idx="768">
                  <c:v>03/02/2026 15:45</c:v>
                </c:pt>
                <c:pt idx="769">
                  <c:v>03/02/2026 16:00</c:v>
                </c:pt>
                <c:pt idx="770">
                  <c:v>03/02/2026 16:15</c:v>
                </c:pt>
                <c:pt idx="771">
                  <c:v>03/02/2026 16:30</c:v>
                </c:pt>
                <c:pt idx="772">
                  <c:v>03/02/2026 16:45</c:v>
                </c:pt>
                <c:pt idx="773">
                  <c:v>03/02/2026 17:00</c:v>
                </c:pt>
                <c:pt idx="774">
                  <c:v>03/02/2026 17:15</c:v>
                </c:pt>
                <c:pt idx="775">
                  <c:v>03/02/2026 17:30</c:v>
                </c:pt>
                <c:pt idx="776">
                  <c:v>03/02/2026 17:45</c:v>
                </c:pt>
                <c:pt idx="777">
                  <c:v>03/02/2026 18:00</c:v>
                </c:pt>
                <c:pt idx="778">
                  <c:v>03/02/2026 18:15</c:v>
                </c:pt>
                <c:pt idx="779">
                  <c:v>03/02/2026 18:30</c:v>
                </c:pt>
                <c:pt idx="780">
                  <c:v>03/02/2026 18:45</c:v>
                </c:pt>
                <c:pt idx="781">
                  <c:v>03/02/2026 19:00</c:v>
                </c:pt>
                <c:pt idx="782">
                  <c:v>03/02/2026 19:15</c:v>
                </c:pt>
                <c:pt idx="783">
                  <c:v>03/02/2026 19:30</c:v>
                </c:pt>
                <c:pt idx="784">
                  <c:v>03/02/2026 19:45</c:v>
                </c:pt>
                <c:pt idx="785">
                  <c:v>03/02/2026 20:00</c:v>
                </c:pt>
                <c:pt idx="786">
                  <c:v>03/02/2026 20:15</c:v>
                </c:pt>
                <c:pt idx="787">
                  <c:v>03/02/2026 20:30</c:v>
                </c:pt>
                <c:pt idx="788">
                  <c:v>03/02/2026 20:45</c:v>
                </c:pt>
                <c:pt idx="789">
                  <c:v>03/02/2026 21:00</c:v>
                </c:pt>
                <c:pt idx="790">
                  <c:v>03/02/2026 21:15</c:v>
                </c:pt>
                <c:pt idx="791">
                  <c:v>03/02/2026 21:30</c:v>
                </c:pt>
                <c:pt idx="792">
                  <c:v>03/02/2026 21:45</c:v>
                </c:pt>
                <c:pt idx="793">
                  <c:v>03/02/2026 22:00</c:v>
                </c:pt>
                <c:pt idx="794">
                  <c:v>03/02/2026 22:15</c:v>
                </c:pt>
                <c:pt idx="795">
                  <c:v>03/02/2026 22:30</c:v>
                </c:pt>
                <c:pt idx="796">
                  <c:v>03/02/2026 22:45</c:v>
                </c:pt>
                <c:pt idx="797">
                  <c:v>03/02/2026 23:00</c:v>
                </c:pt>
                <c:pt idx="798">
                  <c:v>03/02/2026 23:15</c:v>
                </c:pt>
                <c:pt idx="799">
                  <c:v>03/02/2026 23:30</c:v>
                </c:pt>
                <c:pt idx="800">
                  <c:v>03/02/2026 23:45</c:v>
                </c:pt>
                <c:pt idx="801">
                  <c:v>03/02/2026 24:00</c:v>
                </c:pt>
                <c:pt idx="802">
                  <c:v>04/02/2026 00:15</c:v>
                </c:pt>
                <c:pt idx="803">
                  <c:v>04/02/2026 00:30</c:v>
                </c:pt>
                <c:pt idx="804">
                  <c:v>04/02/2026 00:45</c:v>
                </c:pt>
                <c:pt idx="805">
                  <c:v>04/02/2026 01:00</c:v>
                </c:pt>
                <c:pt idx="806">
                  <c:v>04/02/2026 01:15</c:v>
                </c:pt>
                <c:pt idx="807">
                  <c:v>04/02/2026 01:30</c:v>
                </c:pt>
                <c:pt idx="808">
                  <c:v>04/02/2026 01:45</c:v>
                </c:pt>
                <c:pt idx="809">
                  <c:v>04/02/2026 02:00</c:v>
                </c:pt>
                <c:pt idx="810">
                  <c:v>04/02/2026 02:15</c:v>
                </c:pt>
                <c:pt idx="811">
                  <c:v>04/02/2026 02:30</c:v>
                </c:pt>
                <c:pt idx="812">
                  <c:v>04/02/2026 02:45</c:v>
                </c:pt>
                <c:pt idx="813">
                  <c:v>04/02/2026 03:00</c:v>
                </c:pt>
                <c:pt idx="814">
                  <c:v>04/02/2026 03:15</c:v>
                </c:pt>
                <c:pt idx="815">
                  <c:v>04/02/2026 03:30</c:v>
                </c:pt>
                <c:pt idx="816">
                  <c:v>04/02/2026 03:45</c:v>
                </c:pt>
                <c:pt idx="817">
                  <c:v>04/02/2026 04:00</c:v>
                </c:pt>
                <c:pt idx="818">
                  <c:v>04/02/2026 04:15</c:v>
                </c:pt>
                <c:pt idx="819">
                  <c:v>04/02/2026 04:30</c:v>
                </c:pt>
                <c:pt idx="820">
                  <c:v>04/02/2026 04:45</c:v>
                </c:pt>
                <c:pt idx="821">
                  <c:v>04/02/2026 05:00</c:v>
                </c:pt>
                <c:pt idx="822">
                  <c:v>04/02/2026 05:15</c:v>
                </c:pt>
                <c:pt idx="823">
                  <c:v>04/02/2026 05:30</c:v>
                </c:pt>
                <c:pt idx="824">
                  <c:v>04/02/2026 05:45</c:v>
                </c:pt>
                <c:pt idx="825">
                  <c:v>04/02/2026 06:00</c:v>
                </c:pt>
                <c:pt idx="826">
                  <c:v>04/02/2026 06:15</c:v>
                </c:pt>
                <c:pt idx="827">
                  <c:v>04/02/2026 06:30</c:v>
                </c:pt>
                <c:pt idx="828">
                  <c:v>04/02/2026 06:45</c:v>
                </c:pt>
                <c:pt idx="829">
                  <c:v>04/02/2026 07:00</c:v>
                </c:pt>
                <c:pt idx="830">
                  <c:v>04/02/2026 07:15</c:v>
                </c:pt>
                <c:pt idx="831">
                  <c:v>04/02/2026 07:30</c:v>
                </c:pt>
                <c:pt idx="832">
                  <c:v>04/02/2026 07:45</c:v>
                </c:pt>
                <c:pt idx="833">
                  <c:v>04/02/2026 08:00</c:v>
                </c:pt>
                <c:pt idx="834">
                  <c:v>04/02/2026 08:15</c:v>
                </c:pt>
                <c:pt idx="835">
                  <c:v>04/02/2026 08:30</c:v>
                </c:pt>
                <c:pt idx="836">
                  <c:v>04/02/2026 08:45</c:v>
                </c:pt>
                <c:pt idx="837">
                  <c:v>04/02/2026 09:00</c:v>
                </c:pt>
                <c:pt idx="838">
                  <c:v>04/02/2026 09:15</c:v>
                </c:pt>
                <c:pt idx="839">
                  <c:v>04/02/2026 09:30</c:v>
                </c:pt>
                <c:pt idx="840">
                  <c:v>04/02/2026 09:45</c:v>
                </c:pt>
                <c:pt idx="841">
                  <c:v>04/02/2026 10:00</c:v>
                </c:pt>
                <c:pt idx="842">
                  <c:v>04/02/2026 10:15</c:v>
                </c:pt>
                <c:pt idx="843">
                  <c:v>04/02/2026 10:30</c:v>
                </c:pt>
                <c:pt idx="844">
                  <c:v>04/02/2026 10:45</c:v>
                </c:pt>
                <c:pt idx="845">
                  <c:v>04/02/2026 11:00</c:v>
                </c:pt>
                <c:pt idx="846">
                  <c:v>04/02/2026 11:15</c:v>
                </c:pt>
                <c:pt idx="847">
                  <c:v>04/02/2026 11:30</c:v>
                </c:pt>
                <c:pt idx="848">
                  <c:v>04/02/2026 11:45</c:v>
                </c:pt>
                <c:pt idx="849">
                  <c:v>04/02/2026 12:00</c:v>
                </c:pt>
                <c:pt idx="850">
                  <c:v>04/02/2026 12:15</c:v>
                </c:pt>
                <c:pt idx="851">
                  <c:v>04/02/2026 12:30</c:v>
                </c:pt>
                <c:pt idx="852">
                  <c:v>04/02/2026 12:45</c:v>
                </c:pt>
                <c:pt idx="853">
                  <c:v>04/02/2026 13:00</c:v>
                </c:pt>
                <c:pt idx="854">
                  <c:v>04/02/2026 13:15</c:v>
                </c:pt>
                <c:pt idx="855">
                  <c:v>04/02/2026 13:30</c:v>
                </c:pt>
                <c:pt idx="856">
                  <c:v>04/02/2026 13:45</c:v>
                </c:pt>
                <c:pt idx="857">
                  <c:v>04/02/2026 14:00</c:v>
                </c:pt>
                <c:pt idx="858">
                  <c:v>04/02/2026 14:15</c:v>
                </c:pt>
                <c:pt idx="859">
                  <c:v>04/02/2026 14:30</c:v>
                </c:pt>
                <c:pt idx="860">
                  <c:v>04/02/2026 14:45</c:v>
                </c:pt>
                <c:pt idx="861">
                  <c:v>04/02/2026 15:00</c:v>
                </c:pt>
                <c:pt idx="862">
                  <c:v>04/02/2026 15:15</c:v>
                </c:pt>
                <c:pt idx="863">
                  <c:v>04/02/2026 15:30</c:v>
                </c:pt>
                <c:pt idx="864">
                  <c:v>04/02/2026 15:45</c:v>
                </c:pt>
                <c:pt idx="865">
                  <c:v>04/02/2026 16:00</c:v>
                </c:pt>
                <c:pt idx="866">
                  <c:v>04/02/2026 16:15</c:v>
                </c:pt>
                <c:pt idx="867">
                  <c:v>04/02/2026 16:30</c:v>
                </c:pt>
                <c:pt idx="868">
                  <c:v>04/02/2026 16:45</c:v>
                </c:pt>
                <c:pt idx="869">
                  <c:v>04/02/2026 17:00</c:v>
                </c:pt>
                <c:pt idx="870">
                  <c:v>04/02/2026 17:15</c:v>
                </c:pt>
                <c:pt idx="871">
                  <c:v>04/02/2026 17:30</c:v>
                </c:pt>
                <c:pt idx="872">
                  <c:v>04/02/2026 17:45</c:v>
                </c:pt>
                <c:pt idx="873">
                  <c:v>04/02/2026 18:00</c:v>
                </c:pt>
                <c:pt idx="874">
                  <c:v>04/02/2026 18:15</c:v>
                </c:pt>
                <c:pt idx="875">
                  <c:v>04/02/2026 18:30</c:v>
                </c:pt>
                <c:pt idx="876">
                  <c:v>04/02/2026 18:45</c:v>
                </c:pt>
                <c:pt idx="877">
                  <c:v>04/02/2026 19:00</c:v>
                </c:pt>
                <c:pt idx="878">
                  <c:v>04/02/2026 19:15</c:v>
                </c:pt>
                <c:pt idx="879">
                  <c:v>04/02/2026 19:30</c:v>
                </c:pt>
                <c:pt idx="880">
                  <c:v>04/02/2026 19:45</c:v>
                </c:pt>
                <c:pt idx="881">
                  <c:v>04/02/2026 20:00</c:v>
                </c:pt>
                <c:pt idx="882">
                  <c:v>04/02/2026 20:15</c:v>
                </c:pt>
                <c:pt idx="883">
                  <c:v>04/02/2026 20:30</c:v>
                </c:pt>
                <c:pt idx="884">
                  <c:v>04/02/2026 20:45</c:v>
                </c:pt>
                <c:pt idx="885">
                  <c:v>04/02/2026 21:00</c:v>
                </c:pt>
                <c:pt idx="886">
                  <c:v>04/02/2026 21:15</c:v>
                </c:pt>
                <c:pt idx="887">
                  <c:v>04/02/2026 21:30</c:v>
                </c:pt>
                <c:pt idx="888">
                  <c:v>04/02/2026 21:45</c:v>
                </c:pt>
                <c:pt idx="889">
                  <c:v>04/02/2026 22:00</c:v>
                </c:pt>
                <c:pt idx="890">
                  <c:v>04/02/2026 22:15</c:v>
                </c:pt>
                <c:pt idx="891">
                  <c:v>04/02/2026 22:30</c:v>
                </c:pt>
                <c:pt idx="892">
                  <c:v>04/02/2026 22:45</c:v>
                </c:pt>
                <c:pt idx="893">
                  <c:v>04/02/2026 23:00</c:v>
                </c:pt>
                <c:pt idx="894">
                  <c:v>04/02/2026 23:15</c:v>
                </c:pt>
                <c:pt idx="895">
                  <c:v>04/02/2026 23:30</c:v>
                </c:pt>
                <c:pt idx="896">
                  <c:v>04/02/2026 23:45</c:v>
                </c:pt>
                <c:pt idx="897">
                  <c:v>04/02/2026 24:00</c:v>
                </c:pt>
                <c:pt idx="898">
                  <c:v>05/02/2026 00:15</c:v>
                </c:pt>
                <c:pt idx="899">
                  <c:v>05/02/2026 00:30</c:v>
                </c:pt>
                <c:pt idx="900">
                  <c:v>05/02/2026 00:45</c:v>
                </c:pt>
                <c:pt idx="901">
                  <c:v>05/02/2026 01:00</c:v>
                </c:pt>
                <c:pt idx="902">
                  <c:v>05/02/2026 01:15</c:v>
                </c:pt>
                <c:pt idx="903">
                  <c:v>05/02/2026 01:30</c:v>
                </c:pt>
                <c:pt idx="904">
                  <c:v>05/02/2026 01:45</c:v>
                </c:pt>
                <c:pt idx="905">
                  <c:v>05/02/2026 02:00</c:v>
                </c:pt>
                <c:pt idx="906">
                  <c:v>05/02/2026 02:15</c:v>
                </c:pt>
                <c:pt idx="907">
                  <c:v>05/02/2026 02:30</c:v>
                </c:pt>
                <c:pt idx="908">
                  <c:v>05/02/2026 02:45</c:v>
                </c:pt>
                <c:pt idx="909">
                  <c:v>05/02/2026 03:00</c:v>
                </c:pt>
                <c:pt idx="910">
                  <c:v>05/02/2026 03:15</c:v>
                </c:pt>
                <c:pt idx="911">
                  <c:v>05/02/2026 03:30</c:v>
                </c:pt>
                <c:pt idx="912">
                  <c:v>05/02/2026 03:45</c:v>
                </c:pt>
                <c:pt idx="913">
                  <c:v>05/02/2026 04:00</c:v>
                </c:pt>
                <c:pt idx="914">
                  <c:v>05/02/2026 04:15</c:v>
                </c:pt>
                <c:pt idx="915">
                  <c:v>05/02/2026 04:30</c:v>
                </c:pt>
                <c:pt idx="916">
                  <c:v>05/02/2026 04:45</c:v>
                </c:pt>
                <c:pt idx="917">
                  <c:v>05/02/2026 05:00</c:v>
                </c:pt>
                <c:pt idx="918">
                  <c:v>05/02/2026 05:15</c:v>
                </c:pt>
                <c:pt idx="919">
                  <c:v>05/02/2026 05:30</c:v>
                </c:pt>
                <c:pt idx="920">
                  <c:v>05/02/2026 05:45</c:v>
                </c:pt>
                <c:pt idx="921">
                  <c:v>05/02/2026 06:00</c:v>
                </c:pt>
                <c:pt idx="922">
                  <c:v>05/02/2026 06:15</c:v>
                </c:pt>
                <c:pt idx="923">
                  <c:v>05/02/2026 06:30</c:v>
                </c:pt>
                <c:pt idx="924">
                  <c:v>05/02/2026 06:45</c:v>
                </c:pt>
                <c:pt idx="925">
                  <c:v>05/02/2026 07:00</c:v>
                </c:pt>
                <c:pt idx="926">
                  <c:v>05/02/2026 07:15</c:v>
                </c:pt>
                <c:pt idx="927">
                  <c:v>05/02/2026 07:30</c:v>
                </c:pt>
                <c:pt idx="928">
                  <c:v>05/02/2026 07:45</c:v>
                </c:pt>
                <c:pt idx="929">
                  <c:v>05/02/2026 08:00</c:v>
                </c:pt>
                <c:pt idx="930">
                  <c:v>05/02/2026 08:15</c:v>
                </c:pt>
                <c:pt idx="931">
                  <c:v>05/02/2026 08:30</c:v>
                </c:pt>
                <c:pt idx="932">
                  <c:v>05/02/2026 08:45</c:v>
                </c:pt>
                <c:pt idx="933">
                  <c:v>05/02/2026 09:00</c:v>
                </c:pt>
                <c:pt idx="934">
                  <c:v>05/02/2026 09:15</c:v>
                </c:pt>
                <c:pt idx="935">
                  <c:v>05/02/2026 09:30</c:v>
                </c:pt>
                <c:pt idx="936">
                  <c:v>05/02/2026 09:45</c:v>
                </c:pt>
                <c:pt idx="937">
                  <c:v>05/02/2026 10:00</c:v>
                </c:pt>
                <c:pt idx="938">
                  <c:v>05/02/2026 10:15</c:v>
                </c:pt>
                <c:pt idx="939">
                  <c:v>05/02/2026 10:30</c:v>
                </c:pt>
                <c:pt idx="940">
                  <c:v>05/02/2026 10:45</c:v>
                </c:pt>
                <c:pt idx="941">
                  <c:v>05/02/2026 11:00</c:v>
                </c:pt>
                <c:pt idx="942">
                  <c:v>05/02/2026 11:15</c:v>
                </c:pt>
                <c:pt idx="943">
                  <c:v>05/02/2026 11:30</c:v>
                </c:pt>
                <c:pt idx="944">
                  <c:v>05/02/2026 11:45</c:v>
                </c:pt>
                <c:pt idx="945">
                  <c:v>05/02/2026 12:00</c:v>
                </c:pt>
                <c:pt idx="946">
                  <c:v>05/02/2026 12:15</c:v>
                </c:pt>
                <c:pt idx="947">
                  <c:v>05/02/2026 12:30</c:v>
                </c:pt>
                <c:pt idx="948">
                  <c:v>05/02/2026 12:45</c:v>
                </c:pt>
                <c:pt idx="949">
                  <c:v>05/02/2026 13:00</c:v>
                </c:pt>
                <c:pt idx="950">
                  <c:v>05/02/2026 13:15</c:v>
                </c:pt>
                <c:pt idx="951">
                  <c:v>05/02/2026 13:30</c:v>
                </c:pt>
                <c:pt idx="952">
                  <c:v>05/02/2026 13:45</c:v>
                </c:pt>
                <c:pt idx="953">
                  <c:v>05/02/2026 14:00</c:v>
                </c:pt>
                <c:pt idx="954">
                  <c:v>05/02/2026 14:15</c:v>
                </c:pt>
                <c:pt idx="955">
                  <c:v>05/02/2026 14:30</c:v>
                </c:pt>
                <c:pt idx="956">
                  <c:v>05/02/2026 14:45</c:v>
                </c:pt>
                <c:pt idx="957">
                  <c:v>05/02/2026 15:00</c:v>
                </c:pt>
                <c:pt idx="958">
                  <c:v>05/02/2026 15:15</c:v>
                </c:pt>
                <c:pt idx="959">
                  <c:v>05/02/2026 15:30</c:v>
                </c:pt>
                <c:pt idx="960">
                  <c:v>05/02/2026 15:45</c:v>
                </c:pt>
                <c:pt idx="961">
                  <c:v>05/02/2026 16:00</c:v>
                </c:pt>
                <c:pt idx="962">
                  <c:v>05/02/2026 16:15</c:v>
                </c:pt>
                <c:pt idx="963">
                  <c:v>05/02/2026 16:30</c:v>
                </c:pt>
                <c:pt idx="964">
                  <c:v>05/02/2026 16:45</c:v>
                </c:pt>
                <c:pt idx="965">
                  <c:v>05/02/2026 17:00</c:v>
                </c:pt>
                <c:pt idx="966">
                  <c:v>05/02/2026 17:15</c:v>
                </c:pt>
                <c:pt idx="967">
                  <c:v>05/02/2026 17:30</c:v>
                </c:pt>
                <c:pt idx="968">
                  <c:v>05/02/2026 17:45</c:v>
                </c:pt>
                <c:pt idx="969">
                  <c:v>05/02/2026 18:00</c:v>
                </c:pt>
                <c:pt idx="970">
                  <c:v>05/02/2026 18:15</c:v>
                </c:pt>
                <c:pt idx="971">
                  <c:v>05/02/2026 18:30</c:v>
                </c:pt>
                <c:pt idx="972">
                  <c:v>05/02/2026 18:45</c:v>
                </c:pt>
                <c:pt idx="973">
                  <c:v>05/02/2026 19:00</c:v>
                </c:pt>
                <c:pt idx="974">
                  <c:v>05/02/2026 19:15</c:v>
                </c:pt>
                <c:pt idx="975">
                  <c:v>05/02/2026 19:30</c:v>
                </c:pt>
                <c:pt idx="976">
                  <c:v>05/02/2026 19:45</c:v>
                </c:pt>
                <c:pt idx="977">
                  <c:v>05/02/2026 20:00</c:v>
                </c:pt>
                <c:pt idx="978">
                  <c:v>05/02/2026 20:15</c:v>
                </c:pt>
                <c:pt idx="979">
                  <c:v>05/02/2026 20:30</c:v>
                </c:pt>
                <c:pt idx="980">
                  <c:v>05/02/2026 20:45</c:v>
                </c:pt>
                <c:pt idx="981">
                  <c:v>05/02/2026 21:00</c:v>
                </c:pt>
                <c:pt idx="982">
                  <c:v>05/02/2026 21:15</c:v>
                </c:pt>
                <c:pt idx="983">
                  <c:v>05/02/2026 21:30</c:v>
                </c:pt>
                <c:pt idx="984">
                  <c:v>05/02/2026 21:45</c:v>
                </c:pt>
                <c:pt idx="985">
                  <c:v>05/02/2026 22:00</c:v>
                </c:pt>
                <c:pt idx="986">
                  <c:v>05/02/2026 22:15</c:v>
                </c:pt>
                <c:pt idx="987">
                  <c:v>05/02/2026 22:30</c:v>
                </c:pt>
                <c:pt idx="988">
                  <c:v>05/02/2026 22:45</c:v>
                </c:pt>
                <c:pt idx="989">
                  <c:v>05/02/2026 23:00</c:v>
                </c:pt>
                <c:pt idx="990">
                  <c:v>05/02/2026 23:15</c:v>
                </c:pt>
                <c:pt idx="991">
                  <c:v>05/02/2026 23:30</c:v>
                </c:pt>
                <c:pt idx="992">
                  <c:v>05/02/2026 23:45</c:v>
                </c:pt>
                <c:pt idx="993">
                  <c:v>05/02/2026 24:00</c:v>
                </c:pt>
                <c:pt idx="994">
                  <c:v>06/02/2026 00:15</c:v>
                </c:pt>
                <c:pt idx="995">
                  <c:v>06/02/2026 00:30</c:v>
                </c:pt>
                <c:pt idx="996">
                  <c:v>06/02/2026 00:45</c:v>
                </c:pt>
                <c:pt idx="997">
                  <c:v>06/02/2026 01:00</c:v>
                </c:pt>
                <c:pt idx="998">
                  <c:v>06/02/2026 01:15</c:v>
                </c:pt>
                <c:pt idx="999">
                  <c:v>06/02/2026 01:30</c:v>
                </c:pt>
                <c:pt idx="1000">
                  <c:v>06/02/2026 01:45</c:v>
                </c:pt>
                <c:pt idx="1001">
                  <c:v>06/02/2026 02:00</c:v>
                </c:pt>
                <c:pt idx="1002">
                  <c:v>06/02/2026 02:15</c:v>
                </c:pt>
                <c:pt idx="1003">
                  <c:v>06/02/2026 02:30</c:v>
                </c:pt>
                <c:pt idx="1004">
                  <c:v>06/02/2026 02:45</c:v>
                </c:pt>
                <c:pt idx="1005">
                  <c:v>06/02/2026 03:00</c:v>
                </c:pt>
                <c:pt idx="1006">
                  <c:v>06/02/2026 03:15</c:v>
                </c:pt>
                <c:pt idx="1007">
                  <c:v>06/02/2026 03:30</c:v>
                </c:pt>
                <c:pt idx="1008">
                  <c:v>06/02/2026 03:45</c:v>
                </c:pt>
                <c:pt idx="1009">
                  <c:v>06/02/2026 04:00</c:v>
                </c:pt>
                <c:pt idx="1010">
                  <c:v>06/02/2026 04:15</c:v>
                </c:pt>
                <c:pt idx="1011">
                  <c:v>06/02/2026 04:30</c:v>
                </c:pt>
                <c:pt idx="1012">
                  <c:v>06/02/2026 04:45</c:v>
                </c:pt>
                <c:pt idx="1013">
                  <c:v>06/02/2026 05:00</c:v>
                </c:pt>
                <c:pt idx="1014">
                  <c:v>06/02/2026 05:15</c:v>
                </c:pt>
                <c:pt idx="1015">
                  <c:v>06/02/2026 05:30</c:v>
                </c:pt>
                <c:pt idx="1016">
                  <c:v>06/02/2026 05:45</c:v>
                </c:pt>
                <c:pt idx="1017">
                  <c:v>06/02/2026 06:00</c:v>
                </c:pt>
                <c:pt idx="1018">
                  <c:v>06/02/2026 06:15</c:v>
                </c:pt>
                <c:pt idx="1019">
                  <c:v>06/02/2026 06:30</c:v>
                </c:pt>
                <c:pt idx="1020">
                  <c:v>06/02/2026 06:45</c:v>
                </c:pt>
                <c:pt idx="1021">
                  <c:v>06/02/2026 07:00</c:v>
                </c:pt>
                <c:pt idx="1022">
                  <c:v>06/02/2026 07:15</c:v>
                </c:pt>
                <c:pt idx="1023">
                  <c:v>06/02/2026 07:30</c:v>
                </c:pt>
                <c:pt idx="1024">
                  <c:v>06/02/2026 07:45</c:v>
                </c:pt>
                <c:pt idx="1025">
                  <c:v>06/02/2026 08:00</c:v>
                </c:pt>
                <c:pt idx="1026">
                  <c:v>06/02/2026 08:15</c:v>
                </c:pt>
                <c:pt idx="1027">
                  <c:v>06/02/2026 08:30</c:v>
                </c:pt>
                <c:pt idx="1028">
                  <c:v>06/02/2026 08:45</c:v>
                </c:pt>
                <c:pt idx="1029">
                  <c:v>06/02/2026 09:00</c:v>
                </c:pt>
                <c:pt idx="1030">
                  <c:v>06/02/2026 09:15</c:v>
                </c:pt>
                <c:pt idx="1031">
                  <c:v>06/02/2026 09:30</c:v>
                </c:pt>
                <c:pt idx="1032">
                  <c:v>06/02/2026 09:45</c:v>
                </c:pt>
                <c:pt idx="1033">
                  <c:v>06/02/2026 10:00</c:v>
                </c:pt>
                <c:pt idx="1034">
                  <c:v>06/02/2026 10:15</c:v>
                </c:pt>
                <c:pt idx="1035">
                  <c:v>06/02/2026 10:30</c:v>
                </c:pt>
                <c:pt idx="1036">
                  <c:v>06/02/2026 10:45</c:v>
                </c:pt>
                <c:pt idx="1037">
                  <c:v>06/02/2026 11:00</c:v>
                </c:pt>
                <c:pt idx="1038">
                  <c:v>06/02/2026 11:15</c:v>
                </c:pt>
                <c:pt idx="1039">
                  <c:v>06/02/2026 11:30</c:v>
                </c:pt>
                <c:pt idx="1040">
                  <c:v>06/02/2026 11:45</c:v>
                </c:pt>
                <c:pt idx="1041">
                  <c:v>06/02/2026 12:00</c:v>
                </c:pt>
                <c:pt idx="1042">
                  <c:v>06/02/2026 12:15</c:v>
                </c:pt>
                <c:pt idx="1043">
                  <c:v>06/02/2026 12:30</c:v>
                </c:pt>
                <c:pt idx="1044">
                  <c:v>06/02/2026 12:45</c:v>
                </c:pt>
                <c:pt idx="1045">
                  <c:v>06/02/2026 13:00</c:v>
                </c:pt>
              </c:strCache>
            </c:strRef>
          </c:xVal>
          <c:yVal>
            <c:numRef>
              <c:f>Correction!$C$1:$C$1046</c:f>
              <c:numCache>
                <c:formatCode>General</c:formatCode>
                <c:ptCount val="1046"/>
                <c:pt idx="0" formatCode="0.00">
                  <c:v>0</c:v>
                </c:pt>
                <c:pt idx="1">
                  <c:v>3.2639083325016731</c:v>
                </c:pt>
                <c:pt idx="2">
                  <c:v>3.7954647589012533</c:v>
                </c:pt>
                <c:pt idx="3">
                  <c:v>2.7065123575965613</c:v>
                </c:pt>
                <c:pt idx="4">
                  <c:v>2.6880555372354618</c:v>
                </c:pt>
                <c:pt idx="5">
                  <c:v>2.4813391491911876</c:v>
                </c:pt>
                <c:pt idx="6">
                  <c:v>3.7954647589012533</c:v>
                </c:pt>
                <c:pt idx="7">
                  <c:v>3.7253288415290902</c:v>
                </c:pt>
                <c:pt idx="8">
                  <c:v>4.6703180440172289</c:v>
                </c:pt>
                <c:pt idx="9">
                  <c:v>5.5820849698553934</c:v>
                </c:pt>
                <c:pt idx="10">
                  <c:v>4.4968239326229291</c:v>
                </c:pt>
                <c:pt idx="11">
                  <c:v>4.2568852679286699</c:v>
                </c:pt>
                <c:pt idx="12">
                  <c:v>4.6149475829339393</c:v>
                </c:pt>
                <c:pt idx="13">
                  <c:v>4.9434789853614607</c:v>
                </c:pt>
                <c:pt idx="14">
                  <c:v>6.6599632789434384</c:v>
                </c:pt>
                <c:pt idx="15">
                  <c:v>7.3391742682317878</c:v>
                </c:pt>
                <c:pt idx="16">
                  <c:v>5.3347635770167035</c:v>
                </c:pt>
                <c:pt idx="17">
                  <c:v>17.627005937506926</c:v>
                </c:pt>
                <c:pt idx="18">
                  <c:v>21.960667358292465</c:v>
                </c:pt>
                <c:pt idx="19">
                  <c:v>22.687866080519598</c:v>
                </c:pt>
                <c:pt idx="20">
                  <c:v>22.285507396647727</c:v>
                </c:pt>
                <c:pt idx="21">
                  <c:v>21.473407300759408</c:v>
                </c:pt>
                <c:pt idx="22">
                  <c:v>14.105444612609707</c:v>
                </c:pt>
                <c:pt idx="23">
                  <c:v>16.744769924246476</c:v>
                </c:pt>
                <c:pt idx="24">
                  <c:v>20.066997589243851</c:v>
                </c:pt>
                <c:pt idx="25">
                  <c:v>20.591171287499066</c:v>
                </c:pt>
                <c:pt idx="26">
                  <c:v>20.550566282704619</c:v>
                </c:pt>
                <c:pt idx="27">
                  <c:v>20.284788069504827</c:v>
                </c:pt>
                <c:pt idx="28">
                  <c:v>21.09688816539315</c:v>
                </c:pt>
                <c:pt idx="29">
                  <c:v>16.120929396041447</c:v>
                </c:pt>
                <c:pt idx="30">
                  <c:v>18.870995629844906</c:v>
                </c:pt>
                <c:pt idx="31">
                  <c:v>15.91052164392495</c:v>
                </c:pt>
                <c:pt idx="32">
                  <c:v>14.234642355137421</c:v>
                </c:pt>
                <c:pt idx="33">
                  <c:v>10.890266505706764</c:v>
                </c:pt>
                <c:pt idx="34">
                  <c:v>8.8341767174806058</c:v>
                </c:pt>
                <c:pt idx="35">
                  <c:v>10.09662323017961</c:v>
                </c:pt>
                <c:pt idx="36">
                  <c:v>10.768451491323525</c:v>
                </c:pt>
                <c:pt idx="37">
                  <c:v>10.454685545184889</c:v>
                </c:pt>
                <c:pt idx="38">
                  <c:v>9.3546590516635284</c:v>
                </c:pt>
                <c:pt idx="39">
                  <c:v>7.350248360448445</c:v>
                </c:pt>
                <c:pt idx="40">
                  <c:v>6.331431876515917</c:v>
                </c:pt>
                <c:pt idx="41">
                  <c:v>6.1985427699160214</c:v>
                </c:pt>
                <c:pt idx="42">
                  <c:v>4.3565520978785912</c:v>
                </c:pt>
                <c:pt idx="43">
                  <c:v>4.437762107467413</c:v>
                </c:pt>
                <c:pt idx="44">
                  <c:v>5.5451713291332041</c:v>
                </c:pt>
                <c:pt idx="45">
                  <c:v>4.3085643649397447</c:v>
                </c:pt>
                <c:pt idx="46">
                  <c:v>3.3931060750293525</c:v>
                </c:pt>
                <c:pt idx="47">
                  <c:v>3.2306860558516992</c:v>
                </c:pt>
                <c:pt idx="48">
                  <c:v>2.8504755564131146</c:v>
                </c:pt>
                <c:pt idx="49">
                  <c:v>3.3894147109571255</c:v>
                </c:pt>
                <c:pt idx="50">
                  <c:v>3.4853901768348314</c:v>
                </c:pt>
                <c:pt idx="51">
                  <c:v>3.7364029337457478</c:v>
                </c:pt>
                <c:pt idx="52">
                  <c:v>3.6625756523013582</c:v>
                </c:pt>
                <c:pt idx="53">
                  <c:v>3.5887483708569685</c:v>
                </c:pt>
                <c:pt idx="54">
                  <c:v>5.0652939997446982</c:v>
                </c:pt>
                <c:pt idx="55">
                  <c:v>4.2273543553509123</c:v>
                </c:pt>
                <c:pt idx="56">
                  <c:v>4.5558857577784346</c:v>
                </c:pt>
                <c:pt idx="57">
                  <c:v>3.9431193217900331</c:v>
                </c:pt>
                <c:pt idx="58">
                  <c:v>4.5964907625728504</c:v>
                </c:pt>
                <c:pt idx="59">
                  <c:v>4.718305776956087</c:v>
                </c:pt>
                <c:pt idx="60">
                  <c:v>4.1387616176176483</c:v>
                </c:pt>
                <c:pt idx="61">
                  <c:v>4.5854166703561923</c:v>
                </c:pt>
                <c:pt idx="62">
                  <c:v>4.0796997924621436</c:v>
                </c:pt>
                <c:pt idx="63">
                  <c:v>4.7109230488116447</c:v>
                </c:pt>
                <c:pt idx="64">
                  <c:v>4.0317120595232963</c:v>
                </c:pt>
                <c:pt idx="65">
                  <c:v>4.0021811469455386</c:v>
                </c:pt>
                <c:pt idx="66">
                  <c:v>3.5998224630736266</c:v>
                </c:pt>
                <c:pt idx="67">
                  <c:v>2.3041536737246502</c:v>
                </c:pt>
                <c:pt idx="68">
                  <c:v>1.8501158928416752</c:v>
                </c:pt>
                <c:pt idx="69">
                  <c:v>2.2229436641358289</c:v>
                </c:pt>
                <c:pt idx="70">
                  <c:v>1.9793136353693546</c:v>
                </c:pt>
                <c:pt idx="71">
                  <c:v>2.1343509264025657</c:v>
                </c:pt>
                <c:pt idx="72">
                  <c:v>1.86488134913056</c:v>
                </c:pt>
                <c:pt idx="73">
                  <c:v>1.8685727132027756</c:v>
                </c:pt>
                <c:pt idx="74">
                  <c:v>2.403820503674571</c:v>
                </c:pt>
                <c:pt idx="75">
                  <c:v>3.0645746726018306</c:v>
                </c:pt>
                <c:pt idx="76">
                  <c:v>2.9612164785796939</c:v>
                </c:pt>
                <c:pt idx="77">
                  <c:v>3.5887483708569685</c:v>
                </c:pt>
                <c:pt idx="78">
                  <c:v>3.932045229573375</c:v>
                </c:pt>
                <c:pt idx="79">
                  <c:v>5.7149740764552996</c:v>
                </c:pt>
                <c:pt idx="80">
                  <c:v>4.8032071506171237</c:v>
                </c:pt>
                <c:pt idx="81">
                  <c:v>5.5599367854220887</c:v>
                </c:pt>
                <c:pt idx="82">
                  <c:v>7.0475565065264654</c:v>
                </c:pt>
                <c:pt idx="83">
                  <c:v>9.2070044887747589</c:v>
                </c:pt>
                <c:pt idx="84">
                  <c:v>12.628898983722024</c:v>
                </c:pt>
                <c:pt idx="85">
                  <c:v>12.854072192127363</c:v>
                </c:pt>
                <c:pt idx="86">
                  <c:v>12.222848935777863</c:v>
                </c:pt>
                <c:pt idx="87">
                  <c:v>12.632590347794205</c:v>
                </c:pt>
                <c:pt idx="88">
                  <c:v>13.37824589038258</c:v>
                </c:pt>
                <c:pt idx="89">
                  <c:v>16.013879837947165</c:v>
                </c:pt>
                <c:pt idx="90">
                  <c:v>13.230591327493734</c:v>
                </c:pt>
                <c:pt idx="91">
                  <c:v>15.161174737264504</c:v>
                </c:pt>
                <c:pt idx="92">
                  <c:v>18.424340577106296</c:v>
                </c:pt>
                <c:pt idx="93">
                  <c:v>18.332056475300849</c:v>
                </c:pt>
                <c:pt idx="94">
                  <c:v>17.16927679255177</c:v>
                </c:pt>
                <c:pt idx="95">
                  <c:v>17.553178656062613</c:v>
                </c:pt>
                <c:pt idx="96">
                  <c:v>17.494116830907032</c:v>
                </c:pt>
                <c:pt idx="97">
                  <c:v>15.124261096542236</c:v>
                </c:pt>
                <c:pt idx="98">
                  <c:v>14.788346965970318</c:v>
                </c:pt>
                <c:pt idx="99">
                  <c:v>16.305497599652451</c:v>
                </c:pt>
                <c:pt idx="100">
                  <c:v>16.921955399713113</c:v>
                </c:pt>
                <c:pt idx="101">
                  <c:v>15.061507907314473</c:v>
                </c:pt>
                <c:pt idx="102">
                  <c:v>15.301446572008762</c:v>
                </c:pt>
                <c:pt idx="103">
                  <c:v>16.047102114597138</c:v>
                </c:pt>
                <c:pt idx="104">
                  <c:v>15.88099073134727</c:v>
                </c:pt>
                <c:pt idx="105">
                  <c:v>14.533642844987185</c:v>
                </c:pt>
                <c:pt idx="106">
                  <c:v>13.806444122759945</c:v>
                </c:pt>
                <c:pt idx="107">
                  <c:v>12.728565813671946</c:v>
                </c:pt>
                <c:pt idx="108">
                  <c:v>11.229872000350943</c:v>
                </c:pt>
                <c:pt idx="109">
                  <c:v>11.122822442256579</c:v>
                </c:pt>
                <c:pt idx="110">
                  <c:v>12.068829952074937</c:v>
                </c:pt>
                <c:pt idx="111">
                  <c:v>9.7127213666687968</c:v>
                </c:pt>
                <c:pt idx="112">
                  <c:v>7.4388410981817081</c:v>
                </c:pt>
                <c:pt idx="113">
                  <c:v>7.769027250020911</c:v>
                </c:pt>
                <c:pt idx="114">
                  <c:v>9.4483720685937431</c:v>
                </c:pt>
                <c:pt idx="115">
                  <c:v>8.8895471785638946</c:v>
                </c:pt>
                <c:pt idx="116">
                  <c:v>9.786548648113186</c:v>
                </c:pt>
                <c:pt idx="117">
                  <c:v>9.461708609757892</c:v>
                </c:pt>
                <c:pt idx="118">
                  <c:v>6.7743955651822327</c:v>
                </c:pt>
                <c:pt idx="119">
                  <c:v>6.767012837037802</c:v>
                </c:pt>
                <c:pt idx="120">
                  <c:v>5.8552459111996269</c:v>
                </c:pt>
                <c:pt idx="121">
                  <c:v>5.6891345279497569</c:v>
                </c:pt>
                <c:pt idx="122">
                  <c:v>4.5964907625728504</c:v>
                </c:pt>
                <c:pt idx="123">
                  <c:v>5.3827513099555624</c:v>
                </c:pt>
                <c:pt idx="124">
                  <c:v>5.4971835961943567</c:v>
                </c:pt>
                <c:pt idx="125">
                  <c:v>5.8700113674884991</c:v>
                </c:pt>
                <c:pt idx="126">
                  <c:v>5.2129485626334668</c:v>
                </c:pt>
                <c:pt idx="127">
                  <c:v>8.7308185234584688</c:v>
                </c:pt>
                <c:pt idx="128">
                  <c:v>5.8958509159940427</c:v>
                </c:pt>
                <c:pt idx="129">
                  <c:v>5.4787267758332563</c:v>
                </c:pt>
                <c:pt idx="130">
                  <c:v>5.1501953734057455</c:v>
                </c:pt>
                <c:pt idx="131">
                  <c:v>6.4680123471880382</c:v>
                </c:pt>
                <c:pt idx="132">
                  <c:v>5.4565785913999409</c:v>
                </c:pt>
                <c:pt idx="133">
                  <c:v>4.9582444416503346</c:v>
                </c:pt>
                <c:pt idx="134">
                  <c:v>3.3746492546682525</c:v>
                </c:pt>
                <c:pt idx="135">
                  <c:v>2.5219441539855927</c:v>
                </c:pt>
                <c:pt idx="136">
                  <c:v>2.0752891012470602</c:v>
                </c:pt>
                <c:pt idx="137">
                  <c:v>1.4699053934030906</c:v>
                </c:pt>
                <c:pt idx="138">
                  <c:v>2.4776477851189611</c:v>
                </c:pt>
                <c:pt idx="139">
                  <c:v>3.035043760024084</c:v>
                </c:pt>
                <c:pt idx="140">
                  <c:v>3.4816988127626161</c:v>
                </c:pt>
                <c:pt idx="141">
                  <c:v>1.237349456853281</c:v>
                </c:pt>
                <c:pt idx="142">
                  <c:v>1.1450653550477985</c:v>
                </c:pt>
                <c:pt idx="143">
                  <c:v>0.90143532628132439</c:v>
                </c:pt>
                <c:pt idx="144">
                  <c:v>1.0011021562312457</c:v>
                </c:pt>
                <c:pt idx="145">
                  <c:v>0.97895397179792976</c:v>
                </c:pt>
                <c:pt idx="146">
                  <c:v>0.73532394303145554</c:v>
                </c:pt>
                <c:pt idx="147">
                  <c:v>0.77223758375364826</c:v>
                </c:pt>
                <c:pt idx="148">
                  <c:v>0.76116349153699048</c:v>
                </c:pt>
                <c:pt idx="149">
                  <c:v>0.87190441370356964</c:v>
                </c:pt>
                <c:pt idx="150">
                  <c:v>0.87190441370356964</c:v>
                </c:pt>
                <c:pt idx="151">
                  <c:v>0.77962031189808734</c:v>
                </c:pt>
                <c:pt idx="152">
                  <c:v>0.74639803524811354</c:v>
                </c:pt>
                <c:pt idx="153">
                  <c:v>0.88666986999244757</c:v>
                </c:pt>
                <c:pt idx="154">
                  <c:v>1.1672135394811143</c:v>
                </c:pt>
                <c:pt idx="155">
                  <c:v>1.0712380736034119</c:v>
                </c:pt>
                <c:pt idx="156">
                  <c:v>0.9826453358701488</c:v>
                </c:pt>
                <c:pt idx="157">
                  <c:v>2.171264567124755</c:v>
                </c:pt>
                <c:pt idx="158">
                  <c:v>1.842733164697244</c:v>
                </c:pt>
                <c:pt idx="159">
                  <c:v>1.1893617239144303</c:v>
                </c:pt>
                <c:pt idx="160">
                  <c:v>1.2558062772143779</c:v>
                </c:pt>
                <c:pt idx="161">
                  <c:v>1.2041271802033071</c:v>
                </c:pt>
                <c:pt idx="162">
                  <c:v>1.3443990149476412</c:v>
                </c:pt>
                <c:pt idx="163">
                  <c:v>1.5068190341252801</c:v>
                </c:pt>
                <c:pt idx="164">
                  <c:v>2.3632154988801664</c:v>
                </c:pt>
                <c:pt idx="165">
                  <c:v>1.8574986209861177</c:v>
                </c:pt>
                <c:pt idx="166">
                  <c:v>3.0498092163129571</c:v>
                </c:pt>
                <c:pt idx="167">
                  <c:v>2.2377091204247135</c:v>
                </c:pt>
                <c:pt idx="168">
                  <c:v>2.5071786976967192</c:v>
                </c:pt>
                <c:pt idx="169">
                  <c:v>2.6068455276466405</c:v>
                </c:pt>
                <c:pt idx="170">
                  <c:v>2.1786472952691973</c:v>
                </c:pt>
                <c:pt idx="171">
                  <c:v>2.6031541635744251</c:v>
                </c:pt>
                <c:pt idx="172">
                  <c:v>2.5957714354299828</c:v>
                </c:pt>
                <c:pt idx="173">
                  <c:v>1.8981036257805337</c:v>
                </c:pt>
                <c:pt idx="174">
                  <c:v>2.2893882174357767</c:v>
                </c:pt>
                <c:pt idx="175">
                  <c:v>2.4001291396023556</c:v>
                </c:pt>
                <c:pt idx="176">
                  <c:v>2.9796732989407939</c:v>
                </c:pt>
                <c:pt idx="177">
                  <c:v>2.8504755564131146</c:v>
                </c:pt>
                <c:pt idx="178">
                  <c:v>2.4001291396023556</c:v>
                </c:pt>
                <c:pt idx="179">
                  <c:v>2.8652410127019885</c:v>
                </c:pt>
                <c:pt idx="180">
                  <c:v>2.6548332605854874</c:v>
                </c:pt>
                <c:pt idx="181">
                  <c:v>3.5629088223514374</c:v>
                </c:pt>
                <c:pt idx="182">
                  <c:v>2.4038205036745821</c:v>
                </c:pt>
                <c:pt idx="183">
                  <c:v>2.5957714354299828</c:v>
                </c:pt>
                <c:pt idx="184">
                  <c:v>1.5917204077863276</c:v>
                </c:pt>
                <c:pt idx="185">
                  <c:v>1.872264077274991</c:v>
                </c:pt>
                <c:pt idx="186">
                  <c:v>2.2930795815080032</c:v>
                </c:pt>
                <c:pt idx="187">
                  <c:v>1.7836713395417279</c:v>
                </c:pt>
                <c:pt idx="188">
                  <c:v>1.9239431742860651</c:v>
                </c:pt>
                <c:pt idx="189">
                  <c:v>1.8095108880472703</c:v>
                </c:pt>
                <c:pt idx="190">
                  <c:v>2.3299932222301925</c:v>
                </c:pt>
                <c:pt idx="191">
                  <c:v>1.9276345383582807</c:v>
                </c:pt>
                <c:pt idx="192">
                  <c:v>1.6840045095918177</c:v>
                </c:pt>
                <c:pt idx="193">
                  <c:v>2.6105368917188558</c:v>
                </c:pt>
                <c:pt idx="194">
                  <c:v>2.2155609359913866</c:v>
                </c:pt>
                <c:pt idx="195">
                  <c:v>2.1786472952691973</c:v>
                </c:pt>
                <c:pt idx="196">
                  <c:v>2.3964377755301398</c:v>
                </c:pt>
                <c:pt idx="197">
                  <c:v>3.2749824247183312</c:v>
                </c:pt>
                <c:pt idx="198">
                  <c:v>3.4706247205459584</c:v>
                </c:pt>
                <c:pt idx="199">
                  <c:v>4.1129220691121171</c:v>
                </c:pt>
                <c:pt idx="200">
                  <c:v>3.1420933181184365</c:v>
                </c:pt>
                <c:pt idx="201">
                  <c:v>4.3417866415897066</c:v>
                </c:pt>
                <c:pt idx="202">
                  <c:v>6.9958774095153915</c:v>
                </c:pt>
                <c:pt idx="203">
                  <c:v>4.7589107817504921</c:v>
                </c:pt>
                <c:pt idx="204">
                  <c:v>5.194491742272378</c:v>
                </c:pt>
                <c:pt idx="205">
                  <c:v>4.5226634811284603</c:v>
                </c:pt>
                <c:pt idx="206">
                  <c:v>3.7585511181790641</c:v>
                </c:pt>
                <c:pt idx="207">
                  <c:v>3.2417601480683573</c:v>
                </c:pt>
                <c:pt idx="208">
                  <c:v>2.7508087264631933</c:v>
                </c:pt>
                <c:pt idx="209">
                  <c:v>4.5078980248395863</c:v>
                </c:pt>
                <c:pt idx="210">
                  <c:v>4.422996651178539</c:v>
                </c:pt>
                <c:pt idx="211">
                  <c:v>4.6001821266450662</c:v>
                </c:pt>
                <c:pt idx="212">
                  <c:v>3.636736103795827</c:v>
                </c:pt>
                <c:pt idx="213">
                  <c:v>3.655192924156927</c:v>
                </c:pt>
                <c:pt idx="214">
                  <c:v>3.3118960654405316</c:v>
                </c:pt>
                <c:pt idx="215">
                  <c:v>3.5518347301347788</c:v>
                </c:pt>
                <c:pt idx="216">
                  <c:v>3.2786737887905577</c:v>
                </c:pt>
                <c:pt idx="217">
                  <c:v>3.1900810510572835</c:v>
                </c:pt>
                <c:pt idx="218">
                  <c:v>3.359883798379379</c:v>
                </c:pt>
                <c:pt idx="219">
                  <c:v>3.238068783996142</c:v>
                </c:pt>
                <c:pt idx="220">
                  <c:v>3.4004888031737948</c:v>
                </c:pt>
                <c:pt idx="221">
                  <c:v>3.238068783996142</c:v>
                </c:pt>
                <c:pt idx="222">
                  <c:v>3.0682660366740575</c:v>
                </c:pt>
                <c:pt idx="223">
                  <c:v>2.9464510222908205</c:v>
                </c:pt>
                <c:pt idx="224">
                  <c:v>3.8028474870456956</c:v>
                </c:pt>
                <c:pt idx="225">
                  <c:v>3.17531559476841</c:v>
                </c:pt>
                <c:pt idx="226">
                  <c:v>3.2491428762127996</c:v>
                </c:pt>
                <c:pt idx="227">
                  <c:v>3.6108965552902954</c:v>
                </c:pt>
                <c:pt idx="228">
                  <c:v>3.5555260942070057</c:v>
                </c:pt>
                <c:pt idx="229">
                  <c:v>4.190440714628723</c:v>
                </c:pt>
                <c:pt idx="230">
                  <c:v>3.1790069588406253</c:v>
                </c:pt>
                <c:pt idx="231">
                  <c:v>3.729020205601306</c:v>
                </c:pt>
                <c:pt idx="232">
                  <c:v>3.5813656427125369</c:v>
                </c:pt>
                <c:pt idx="233">
                  <c:v>4.0280206954510698</c:v>
                </c:pt>
                <c:pt idx="234">
                  <c:v>5.3421463051611466</c:v>
                </c:pt>
                <c:pt idx="235">
                  <c:v>4.6777007721616712</c:v>
                </c:pt>
                <c:pt idx="236">
                  <c:v>5.6522208872275685</c:v>
                </c:pt>
                <c:pt idx="237">
                  <c:v>4.5964907625728504</c:v>
                </c:pt>
                <c:pt idx="238">
                  <c:v>4.5706512140673077</c:v>
                </c:pt>
                <c:pt idx="239">
                  <c:v>4.3233298212286178</c:v>
                </c:pt>
                <c:pt idx="240">
                  <c:v>4.2716507242175439</c:v>
                </c:pt>
                <c:pt idx="241">
                  <c:v>4.0944652487510176</c:v>
                </c:pt>
                <c:pt idx="242">
                  <c:v>4.0317120595232847</c:v>
                </c:pt>
                <c:pt idx="243">
                  <c:v>3.7068720211679898</c:v>
                </c:pt>
                <c:pt idx="244">
                  <c:v>3.5444520019903369</c:v>
                </c:pt>
                <c:pt idx="245">
                  <c:v>3.1605501384795365</c:v>
                </c:pt>
                <c:pt idx="246">
                  <c:v>4.5669598499950919</c:v>
                </c:pt>
                <c:pt idx="247">
                  <c:v>4.3270211853008336</c:v>
                </c:pt>
                <c:pt idx="248">
                  <c:v>3.9652675062233373</c:v>
                </c:pt>
                <c:pt idx="249">
                  <c:v>4.2273543553509123</c:v>
                </c:pt>
                <c:pt idx="250">
                  <c:v>3.9246625014289327</c:v>
                </c:pt>
                <c:pt idx="251">
                  <c:v>3.6072051912180689</c:v>
                </c:pt>
                <c:pt idx="252">
                  <c:v>4.744145325461619</c:v>
                </c:pt>
                <c:pt idx="253">
                  <c:v>4.5521943937062179</c:v>
                </c:pt>
                <c:pt idx="254">
                  <c:v>4.8142812428337818</c:v>
                </c:pt>
                <c:pt idx="255">
                  <c:v>4.991466718300309</c:v>
                </c:pt>
                <c:pt idx="256">
                  <c:v>3.3155874295127474</c:v>
                </c:pt>
                <c:pt idx="257">
                  <c:v>3.9246625014289327</c:v>
                </c:pt>
                <c:pt idx="258">
                  <c:v>3.8213043074067961</c:v>
                </c:pt>
                <c:pt idx="259">
                  <c:v>4.4414534715396279</c:v>
                </c:pt>
                <c:pt idx="260">
                  <c:v>4.2421198116397969</c:v>
                </c:pt>
                <c:pt idx="261">
                  <c:v>5.7297395327441727</c:v>
                </c:pt>
                <c:pt idx="262">
                  <c:v>5.6706777075886681</c:v>
                </c:pt>
                <c:pt idx="263">
                  <c:v>4.6186389470061657</c:v>
                </c:pt>
                <c:pt idx="264">
                  <c:v>4.8770344320615138</c:v>
                </c:pt>
                <c:pt idx="265">
                  <c:v>4.6740094080894554</c:v>
                </c:pt>
                <c:pt idx="266">
                  <c:v>4.7773676021115925</c:v>
                </c:pt>
                <c:pt idx="267">
                  <c:v>4.4894412044784868</c:v>
                </c:pt>
                <c:pt idx="268">
                  <c:v>4.282724816434202</c:v>
                </c:pt>
                <c:pt idx="269">
                  <c:v>3.5887483708569685</c:v>
                </c:pt>
                <c:pt idx="270">
                  <c:v>3.0424264881685148</c:v>
                </c:pt>
                <c:pt idx="271">
                  <c:v>3.5333779097736899</c:v>
                </c:pt>
                <c:pt idx="272">
                  <c:v>3.7511683900346218</c:v>
                </c:pt>
                <c:pt idx="273">
                  <c:v>4.205206170917597</c:v>
                </c:pt>
                <c:pt idx="274">
                  <c:v>3.8951315888511746</c:v>
                </c:pt>
                <c:pt idx="275">
                  <c:v>3.655192924156927</c:v>
                </c:pt>
                <c:pt idx="276">
                  <c:v>3.4263283516793264</c:v>
                </c:pt>
                <c:pt idx="277">
                  <c:v>2.6695987168743724</c:v>
                </c:pt>
                <c:pt idx="278">
                  <c:v>2.9796732989407939</c:v>
                </c:pt>
                <c:pt idx="279">
                  <c:v>2.374289591096824</c:v>
                </c:pt>
                <c:pt idx="280">
                  <c:v>2.8578582845575569</c:v>
                </c:pt>
                <c:pt idx="281">
                  <c:v>3.529686545701463</c:v>
                </c:pt>
                <c:pt idx="282">
                  <c:v>2.2598573048580297</c:v>
                </c:pt>
                <c:pt idx="283">
                  <c:v>2.5773146150688824</c:v>
                </c:pt>
                <c:pt idx="284">
                  <c:v>2.2783141252191186</c:v>
                </c:pt>
                <c:pt idx="285">
                  <c:v>2.3152277659413079</c:v>
                </c:pt>
                <c:pt idx="286">
                  <c:v>2.6880555372354618</c:v>
                </c:pt>
                <c:pt idx="287">
                  <c:v>2.7840310031131672</c:v>
                </c:pt>
                <c:pt idx="288">
                  <c:v>2.5699318869244401</c:v>
                </c:pt>
                <c:pt idx="289">
                  <c:v>3.1826983229128523</c:v>
                </c:pt>
                <c:pt idx="290">
                  <c:v>2.824636007907583</c:v>
                </c:pt>
                <c:pt idx="291">
                  <c:v>3.7105633852402167</c:v>
                </c:pt>
                <c:pt idx="292">
                  <c:v>3.544452001990348</c:v>
                </c:pt>
                <c:pt idx="293">
                  <c:v>3.8176129433345691</c:v>
                </c:pt>
                <c:pt idx="294">
                  <c:v>3.6072051912180689</c:v>
                </c:pt>
                <c:pt idx="295">
                  <c:v>5.6891345279497569</c:v>
                </c:pt>
                <c:pt idx="296">
                  <c:v>3.9726502343677801</c:v>
                </c:pt>
                <c:pt idx="297">
                  <c:v>4.2864161805064285</c:v>
                </c:pt>
                <c:pt idx="298">
                  <c:v>4.2679593601453281</c:v>
                </c:pt>
                <c:pt idx="299">
                  <c:v>4.7146144128838605</c:v>
                </c:pt>
                <c:pt idx="300">
                  <c:v>6.1468636729049591</c:v>
                </c:pt>
                <c:pt idx="301">
                  <c:v>10.011721856518571</c:v>
                </c:pt>
                <c:pt idx="302">
                  <c:v>18.044130077667745</c:v>
                </c:pt>
                <c:pt idx="303">
                  <c:v>13.570196822137946</c:v>
                </c:pt>
                <c:pt idx="304">
                  <c:v>6.3166664202270431</c:v>
                </c:pt>
                <c:pt idx="305">
                  <c:v>9.0925722025359654</c:v>
                </c:pt>
                <c:pt idx="306">
                  <c:v>4.3233298212286178</c:v>
                </c:pt>
                <c:pt idx="307">
                  <c:v>5.7740359016108052</c:v>
                </c:pt>
                <c:pt idx="308">
                  <c:v>12.400034411244389</c:v>
                </c:pt>
                <c:pt idx="309">
                  <c:v>12.174861202839049</c:v>
                </c:pt>
                <c:pt idx="310">
                  <c:v>12.152713018405732</c:v>
                </c:pt>
                <c:pt idx="311">
                  <c:v>10.044944133168547</c:v>
                </c:pt>
                <c:pt idx="312">
                  <c:v>17.630697301579222</c:v>
                </c:pt>
                <c:pt idx="313">
                  <c:v>16.933029491929769</c:v>
                </c:pt>
                <c:pt idx="314">
                  <c:v>15.079964727675605</c:v>
                </c:pt>
                <c:pt idx="315">
                  <c:v>15.943743920574923</c:v>
                </c:pt>
                <c:pt idx="316">
                  <c:v>16.3719421529524</c:v>
                </c:pt>
                <c:pt idx="317">
                  <c:v>17.427672277607083</c:v>
                </c:pt>
                <c:pt idx="318">
                  <c:v>22.115704649325675</c:v>
                </c:pt>
                <c:pt idx="319">
                  <c:v>25.04295635859555</c:v>
                </c:pt>
                <c:pt idx="320">
                  <c:v>20.100219865893823</c:v>
                </c:pt>
                <c:pt idx="321">
                  <c:v>19.085094746033587</c:v>
                </c:pt>
                <c:pt idx="322">
                  <c:v>13.592345006571263</c:v>
                </c:pt>
                <c:pt idx="323">
                  <c:v>10.325487802657209</c:v>
                </c:pt>
                <c:pt idx="324">
                  <c:v>9.0187449210915762</c:v>
                </c:pt>
                <c:pt idx="325">
                  <c:v>7.9999284371590464</c:v>
                </c:pt>
                <c:pt idx="326">
                  <c:v>10.288574161935019</c:v>
                </c:pt>
                <c:pt idx="327">
                  <c:v>16.165225764908079</c:v>
                </c:pt>
                <c:pt idx="328">
                  <c:v>8.8895471785638946</c:v>
                </c:pt>
                <c:pt idx="329">
                  <c:v>8.4798057665475515</c:v>
                </c:pt>
                <c:pt idx="330">
                  <c:v>8.365373480308758</c:v>
                </c:pt>
                <c:pt idx="331">
                  <c:v>9.3620417798079707</c:v>
                </c:pt>
                <c:pt idx="332">
                  <c:v>6.6451978226545538</c:v>
                </c:pt>
                <c:pt idx="333">
                  <c:v>10.067092317601862</c:v>
                </c:pt>
                <c:pt idx="334">
                  <c:v>7.7747552287536728</c:v>
                </c:pt>
                <c:pt idx="335">
                  <c:v>7.6640143065870818</c:v>
                </c:pt>
                <c:pt idx="336">
                  <c:v>7.320717447870698</c:v>
                </c:pt>
                <c:pt idx="337">
                  <c:v>5.7445049890330466</c:v>
                </c:pt>
                <c:pt idx="338">
                  <c:v>5.3753685818111201</c:v>
                </c:pt>
                <c:pt idx="339">
                  <c:v>6.3978764298158639</c:v>
                </c:pt>
                <c:pt idx="340">
                  <c:v>4.4119225589618809</c:v>
                </c:pt>
                <c:pt idx="341">
                  <c:v>5.5599367854220887</c:v>
                </c:pt>
                <c:pt idx="342">
                  <c:v>4.2310457194231272</c:v>
                </c:pt>
                <c:pt idx="343">
                  <c:v>4.2716507242175439</c:v>
                </c:pt>
                <c:pt idx="344">
                  <c:v>5.6485295231553527</c:v>
                </c:pt>
                <c:pt idx="345">
                  <c:v>4.452527563756286</c:v>
                </c:pt>
                <c:pt idx="346">
                  <c:v>4.718305776956087</c:v>
                </c:pt>
                <c:pt idx="347">
                  <c:v>4.8622689757726398</c:v>
                </c:pt>
                <c:pt idx="348">
                  <c:v>2.9981301193018832</c:v>
                </c:pt>
                <c:pt idx="349">
                  <c:v>5.1428126452613041</c:v>
                </c:pt>
                <c:pt idx="350">
                  <c:v>5.4528872273277251</c:v>
                </c:pt>
                <c:pt idx="351">
                  <c:v>4.4562189278285125</c:v>
                </c:pt>
                <c:pt idx="352">
                  <c:v>3.9394279577178062</c:v>
                </c:pt>
                <c:pt idx="353">
                  <c:v>5.3199981207278304</c:v>
                </c:pt>
                <c:pt idx="354">
                  <c:v>5.8330977267663098</c:v>
                </c:pt>
                <c:pt idx="355">
                  <c:v>7.4277670059650509</c:v>
                </c:pt>
                <c:pt idx="356">
                  <c:v>5.2129485626334668</c:v>
                </c:pt>
                <c:pt idx="357">
                  <c:v>5.4639613195443841</c:v>
                </c:pt>
                <c:pt idx="358">
                  <c:v>5.7518877171774898</c:v>
                </c:pt>
                <c:pt idx="359">
                  <c:v>4.2495025397842277</c:v>
                </c:pt>
                <c:pt idx="360">
                  <c:v>4.3491693697341489</c:v>
                </c:pt>
                <c:pt idx="361">
                  <c:v>5.1169730967557721</c:v>
                </c:pt>
                <c:pt idx="362">
                  <c:v>3.8803661325623007</c:v>
                </c:pt>
                <c:pt idx="363">
                  <c:v>3.9025143169956169</c:v>
                </c:pt>
                <c:pt idx="364">
                  <c:v>3.6625756523013582</c:v>
                </c:pt>
                <c:pt idx="365">
                  <c:v>3.0941055851795887</c:v>
                </c:pt>
                <c:pt idx="366">
                  <c:v>2.8467841923408987</c:v>
                </c:pt>
                <c:pt idx="367">
                  <c:v>2.8135619156909253</c:v>
                </c:pt>
                <c:pt idx="368">
                  <c:v>2.7877223671853826</c:v>
                </c:pt>
                <c:pt idx="369">
                  <c:v>2.5625491587800084</c:v>
                </c:pt>
                <c:pt idx="370">
                  <c:v>1.7246095143862226</c:v>
                </c:pt>
                <c:pt idx="371">
                  <c:v>2.4739564210467453</c:v>
                </c:pt>
                <c:pt idx="372">
                  <c:v>3.4669333564737421</c:v>
                </c:pt>
                <c:pt idx="373">
                  <c:v>3.4041801672460106</c:v>
                </c:pt>
                <c:pt idx="374">
                  <c:v>3.2196119636350415</c:v>
                </c:pt>
                <c:pt idx="375">
                  <c:v>4.2974902727230866</c:v>
                </c:pt>
                <c:pt idx="376">
                  <c:v>7.4831374670483406</c:v>
                </c:pt>
                <c:pt idx="377">
                  <c:v>6.563987813065733</c:v>
                </c:pt>
                <c:pt idx="378">
                  <c:v>6.5307655364157586</c:v>
                </c:pt>
                <c:pt idx="379">
                  <c:v>6.2022341339882372</c:v>
                </c:pt>
                <c:pt idx="380">
                  <c:v>6.2760614154326273</c:v>
                </c:pt>
                <c:pt idx="381">
                  <c:v>5.5894676979998366</c:v>
                </c:pt>
                <c:pt idx="382">
                  <c:v>6.7153337400267281</c:v>
                </c:pt>
                <c:pt idx="383">
                  <c:v>7.5791129329260452</c:v>
                </c:pt>
                <c:pt idx="384">
                  <c:v>6.7374819244600435</c:v>
                </c:pt>
                <c:pt idx="385">
                  <c:v>7.553273384420514</c:v>
                </c:pt>
                <c:pt idx="386">
                  <c:v>7.9703975245812879</c:v>
                </c:pt>
                <c:pt idx="387">
                  <c:v>9.6536595415132922</c:v>
                </c:pt>
                <c:pt idx="388">
                  <c:v>10.030178676879661</c:v>
                </c:pt>
                <c:pt idx="389">
                  <c:v>11.746662970461573</c:v>
                </c:pt>
                <c:pt idx="390">
                  <c:v>10.879192413490104</c:v>
                </c:pt>
                <c:pt idx="391">
                  <c:v>9.8751413858464492</c:v>
                </c:pt>
                <c:pt idx="392">
                  <c:v>7.9408666120035418</c:v>
                </c:pt>
                <c:pt idx="393">
                  <c:v>6.7854696573988917</c:v>
                </c:pt>
                <c:pt idx="394">
                  <c:v>8.5241021354141839</c:v>
                </c:pt>
                <c:pt idx="395">
                  <c:v>12.532923517844283</c:v>
                </c:pt>
                <c:pt idx="396">
                  <c:v>16.482683075118977</c:v>
                </c:pt>
                <c:pt idx="397">
                  <c:v>20.3180103461548</c:v>
                </c:pt>
                <c:pt idx="398">
                  <c:v>23.315397972796912</c:v>
                </c:pt>
                <c:pt idx="399">
                  <c:v>25.293969115506389</c:v>
                </c:pt>
                <c:pt idx="400">
                  <c:v>20.550566282704619</c:v>
                </c:pt>
                <c:pt idx="401">
                  <c:v>20.849566772554383</c:v>
                </c:pt>
                <c:pt idx="402">
                  <c:v>28.147393543331951</c:v>
                </c:pt>
                <c:pt idx="403">
                  <c:v>26.047007386239237</c:v>
                </c:pt>
                <c:pt idx="404">
                  <c:v>24.444955378896022</c:v>
                </c:pt>
                <c:pt idx="405">
                  <c:v>25.186919557412104</c:v>
                </c:pt>
                <c:pt idx="406">
                  <c:v>25.72585871195605</c:v>
                </c:pt>
                <c:pt idx="407">
                  <c:v>23.551645273418913</c:v>
                </c:pt>
                <c:pt idx="408">
                  <c:v>19.911960298210641</c:v>
                </c:pt>
                <c:pt idx="409">
                  <c:v>21.203937723487435</c:v>
                </c:pt>
                <c:pt idx="410">
                  <c:v>17.999833708801113</c:v>
                </c:pt>
                <c:pt idx="411">
                  <c:v>18.103191902823216</c:v>
                </c:pt>
                <c:pt idx="412">
                  <c:v>21.122727713898644</c:v>
                </c:pt>
                <c:pt idx="413">
                  <c:v>15.877299367274976</c:v>
                </c:pt>
                <c:pt idx="414">
                  <c:v>16.951486312290793</c:v>
                </c:pt>
                <c:pt idx="415">
                  <c:v>11.381217927311861</c:v>
                </c:pt>
                <c:pt idx="416">
                  <c:v>11.665452960872784</c:v>
                </c:pt>
                <c:pt idx="417">
                  <c:v>14.910161980353553</c:v>
                </c:pt>
                <c:pt idx="418">
                  <c:v>14.902779252209079</c:v>
                </c:pt>
                <c:pt idx="419">
                  <c:v>11.573168859067339</c:v>
                </c:pt>
                <c:pt idx="420">
                  <c:v>11.757737062678229</c:v>
                </c:pt>
                <c:pt idx="421">
                  <c:v>11.95337935850589</c:v>
                </c:pt>
                <c:pt idx="422">
                  <c:v>10.87550104941789</c:v>
                </c:pt>
                <c:pt idx="423">
                  <c:v>9.2106958528469747</c:v>
                </c:pt>
                <c:pt idx="424">
                  <c:v>8.609003509075233</c:v>
                </c:pt>
                <c:pt idx="425">
                  <c:v>6.8371487544099647</c:v>
                </c:pt>
                <c:pt idx="426">
                  <c:v>7.5791129329260452</c:v>
                </c:pt>
                <c:pt idx="427">
                  <c:v>8.2361757377810783</c:v>
                </c:pt>
                <c:pt idx="428">
                  <c:v>8.9153867270694391</c:v>
                </c:pt>
                <c:pt idx="429">
                  <c:v>7.2284333460652075</c:v>
                </c:pt>
                <c:pt idx="430">
                  <c:v>7.2838038071484981</c:v>
                </c:pt>
                <c:pt idx="431">
                  <c:v>5.2350967470667822</c:v>
                </c:pt>
                <c:pt idx="432">
                  <c:v>5.7445049890330466</c:v>
                </c:pt>
                <c:pt idx="433">
                  <c:v>5.4122822225333094</c:v>
                </c:pt>
                <c:pt idx="434">
                  <c:v>5.2055658344890352</c:v>
                </c:pt>
                <c:pt idx="435">
                  <c:v>4.8733430679892979</c:v>
                </c:pt>
                <c:pt idx="436">
                  <c:v>4.0612429721010432</c:v>
                </c:pt>
                <c:pt idx="437">
                  <c:v>3.7843906666845952</c:v>
                </c:pt>
                <c:pt idx="438">
                  <c:v>3.0535005803851729</c:v>
                </c:pt>
                <c:pt idx="439">
                  <c:v>2.9316855660019354</c:v>
                </c:pt>
                <c:pt idx="440">
                  <c:v>2.6142282557910828</c:v>
                </c:pt>
                <c:pt idx="441">
                  <c:v>2.6474505324410567</c:v>
                </c:pt>
                <c:pt idx="442">
                  <c:v>1.8685727132027756</c:v>
                </c:pt>
                <c:pt idx="443">
                  <c:v>1.8833381694916491</c:v>
                </c:pt>
                <c:pt idx="444">
                  <c:v>2.4075118677467979</c:v>
                </c:pt>
                <c:pt idx="445">
                  <c:v>2.5551664306355666</c:v>
                </c:pt>
                <c:pt idx="446">
                  <c:v>3.0867228570351464</c:v>
                </c:pt>
                <c:pt idx="447">
                  <c:v>3.4410938079681999</c:v>
                </c:pt>
                <c:pt idx="448">
                  <c:v>3.3709578905960367</c:v>
                </c:pt>
                <c:pt idx="449">
                  <c:v>4.7699848739671502</c:v>
                </c:pt>
                <c:pt idx="450">
                  <c:v>3.5075383612681472</c:v>
                </c:pt>
                <c:pt idx="451">
                  <c:v>3.8249956714790114</c:v>
                </c:pt>
                <c:pt idx="452">
                  <c:v>3.3635751624515944</c:v>
                </c:pt>
                <c:pt idx="453">
                  <c:v>2.8209446438353569</c:v>
                </c:pt>
                <c:pt idx="454">
                  <c:v>3.3414269780182786</c:v>
                </c:pt>
                <c:pt idx="455">
                  <c:v>3.3303528858016209</c:v>
                </c:pt>
                <c:pt idx="456">
                  <c:v>2.0236100042359864</c:v>
                </c:pt>
                <c:pt idx="457">
                  <c:v>2.0162272760915441</c:v>
                </c:pt>
                <c:pt idx="458">
                  <c:v>2.1528077467636657</c:v>
                </c:pt>
                <c:pt idx="459">
                  <c:v>2.4554996006856453</c:v>
                </c:pt>
                <c:pt idx="460">
                  <c:v>3.437402443895984</c:v>
                </c:pt>
                <c:pt idx="461">
                  <c:v>3.6145879193625112</c:v>
                </c:pt>
                <c:pt idx="462">
                  <c:v>3.3525010702349367</c:v>
                </c:pt>
                <c:pt idx="463">
                  <c:v>4.4451448356118552</c:v>
                </c:pt>
                <c:pt idx="464">
                  <c:v>4.592799398500623</c:v>
                </c:pt>
                <c:pt idx="465">
                  <c:v>5.0062321745891927</c:v>
                </c:pt>
                <c:pt idx="466">
                  <c:v>6.2096168621326795</c:v>
                </c:pt>
                <c:pt idx="467">
                  <c:v>6.150555036977174</c:v>
                </c:pt>
                <c:pt idx="468">
                  <c:v>4.3934657386007814</c:v>
                </c:pt>
                <c:pt idx="469">
                  <c:v>4.0464775158121702</c:v>
                </c:pt>
                <c:pt idx="470">
                  <c:v>3.6145879193625112</c:v>
                </c:pt>
                <c:pt idx="471">
                  <c:v>4.9397876212892342</c:v>
                </c:pt>
                <c:pt idx="472">
                  <c:v>6.2354564106382222</c:v>
                </c:pt>
                <c:pt idx="473">
                  <c:v>7.2136678897763336</c:v>
                </c:pt>
                <c:pt idx="474">
                  <c:v>7.7378415880314719</c:v>
                </c:pt>
                <c:pt idx="475">
                  <c:v>7.5643474766371721</c:v>
                </c:pt>
                <c:pt idx="476">
                  <c:v>8.1586570922644732</c:v>
                </c:pt>
                <c:pt idx="477">
                  <c:v>6.4901605316213535</c:v>
                </c:pt>
                <c:pt idx="478">
                  <c:v>7.3207174478706873</c:v>
                </c:pt>
                <c:pt idx="479">
                  <c:v>7.1915197053430182</c:v>
                </c:pt>
                <c:pt idx="480">
                  <c:v>4.4008484667452228</c:v>
                </c:pt>
                <c:pt idx="481">
                  <c:v>6.0287400225939374</c:v>
                </c:pt>
                <c:pt idx="482">
                  <c:v>5.2978499362945151</c:v>
                </c:pt>
                <c:pt idx="483">
                  <c:v>5.4196649506777517</c:v>
                </c:pt>
                <c:pt idx="484">
                  <c:v>5.1612694656224036</c:v>
                </c:pt>
                <c:pt idx="485">
                  <c:v>5.6928258920219843</c:v>
                </c:pt>
                <c:pt idx="486">
                  <c:v>5.4971835961943567</c:v>
                </c:pt>
                <c:pt idx="487">
                  <c:v>4.9877753542280923</c:v>
                </c:pt>
                <c:pt idx="488">
                  <c:v>6.2908268717215119</c:v>
                </c:pt>
                <c:pt idx="489">
                  <c:v>6.34619733280479</c:v>
                </c:pt>
                <c:pt idx="490">
                  <c:v>6.2982095998659426</c:v>
                </c:pt>
                <c:pt idx="491">
                  <c:v>9.2513008576413913</c:v>
                </c:pt>
                <c:pt idx="492">
                  <c:v>10.447302817040446</c:v>
                </c:pt>
                <c:pt idx="493">
                  <c:v>17.826339597406768</c:v>
                </c:pt>
                <c:pt idx="494">
                  <c:v>23.112372948824778</c:v>
                </c:pt>
                <c:pt idx="495">
                  <c:v>25.744315532317181</c:v>
                </c:pt>
                <c:pt idx="496">
                  <c:v>15.578298877425212</c:v>
                </c:pt>
                <c:pt idx="497">
                  <c:v>9.7570177355354382</c:v>
                </c:pt>
                <c:pt idx="498">
                  <c:v>10.100314594251826</c:v>
                </c:pt>
                <c:pt idx="499">
                  <c:v>11.229872000350932</c:v>
                </c:pt>
                <c:pt idx="500">
                  <c:v>10.591266015856998</c:v>
                </c:pt>
                <c:pt idx="501">
                  <c:v>9.9748082157963704</c:v>
                </c:pt>
                <c:pt idx="502">
                  <c:v>7.9408666120035418</c:v>
                </c:pt>
                <c:pt idx="503">
                  <c:v>6.3240491483714738</c:v>
                </c:pt>
                <c:pt idx="504">
                  <c:v>5.3679858536666778</c:v>
                </c:pt>
                <c:pt idx="505">
                  <c:v>5.4750354117610414</c:v>
                </c:pt>
                <c:pt idx="506">
                  <c:v>4.7330712332449609</c:v>
                </c:pt>
                <c:pt idx="507">
                  <c:v>3.5370692738459053</c:v>
                </c:pt>
                <c:pt idx="508">
                  <c:v>5.2867758440778569</c:v>
                </c:pt>
                <c:pt idx="509">
                  <c:v>4.4968239326229176</c:v>
                </c:pt>
                <c:pt idx="510">
                  <c:v>3.1199451336851207</c:v>
                </c:pt>
                <c:pt idx="511">
                  <c:v>3.359883798379379</c:v>
                </c:pt>
                <c:pt idx="512">
                  <c:v>2.5699318869244507</c:v>
                </c:pt>
                <c:pt idx="513">
                  <c:v>3.3045133372960893</c:v>
                </c:pt>
                <c:pt idx="514">
                  <c:v>3.2122292354906103</c:v>
                </c:pt>
                <c:pt idx="515">
                  <c:v>2.9095373815686196</c:v>
                </c:pt>
                <c:pt idx="516">
                  <c:v>2.5588577947077931</c:v>
                </c:pt>
                <c:pt idx="517">
                  <c:v>2.8578582845575458</c:v>
                </c:pt>
                <c:pt idx="518">
                  <c:v>2.8947719252797466</c:v>
                </c:pt>
                <c:pt idx="519">
                  <c:v>2.6917469013076882</c:v>
                </c:pt>
                <c:pt idx="520">
                  <c:v>2.9722905707963516</c:v>
                </c:pt>
                <c:pt idx="521">
                  <c:v>2.7471173623909779</c:v>
                </c:pt>
                <c:pt idx="522">
                  <c:v>3.5075383612681472</c:v>
                </c:pt>
                <c:pt idx="523">
                  <c:v>2.5920800713577665</c:v>
                </c:pt>
                <c:pt idx="524">
                  <c:v>3.9874156906566647</c:v>
                </c:pt>
                <c:pt idx="525">
                  <c:v>4.7219971410283028</c:v>
                </c:pt>
                <c:pt idx="526">
                  <c:v>5.6706777075886681</c:v>
                </c:pt>
                <c:pt idx="527">
                  <c:v>6.6193582741490227</c:v>
                </c:pt>
                <c:pt idx="528">
                  <c:v>8.5204107713419681</c:v>
                </c:pt>
                <c:pt idx="529">
                  <c:v>7.2616556227151818</c:v>
                </c:pt>
                <c:pt idx="530">
                  <c:v>6.8186919340488643</c:v>
                </c:pt>
                <c:pt idx="531">
                  <c:v>6.8777537592043814</c:v>
                </c:pt>
                <c:pt idx="532">
                  <c:v>6.5418396286324167</c:v>
                </c:pt>
                <c:pt idx="533">
                  <c:v>6.2243823184215525</c:v>
                </c:pt>
                <c:pt idx="534">
                  <c:v>5.7002086201664151</c:v>
                </c:pt>
                <c:pt idx="535">
                  <c:v>5.393825402172209</c:v>
                </c:pt>
                <c:pt idx="536">
                  <c:v>6.4643209831158117</c:v>
                </c:pt>
                <c:pt idx="537">
                  <c:v>6.8445314825543964</c:v>
                </c:pt>
                <c:pt idx="538">
                  <c:v>7.4646806466872402</c:v>
                </c:pt>
                <c:pt idx="539">
                  <c:v>8.2804721066477107</c:v>
                </c:pt>
                <c:pt idx="540">
                  <c:v>6.611975546004591</c:v>
                </c:pt>
                <c:pt idx="541">
                  <c:v>6.010283202232837</c:v>
                </c:pt>
                <c:pt idx="542">
                  <c:v>6.6009014537879338</c:v>
                </c:pt>
                <c:pt idx="543">
                  <c:v>6.6415064585823389</c:v>
                </c:pt>
                <c:pt idx="544">
                  <c:v>7.5311251999871986</c:v>
                </c:pt>
                <c:pt idx="545">
                  <c:v>5.5710108776387468</c:v>
                </c:pt>
                <c:pt idx="546">
                  <c:v>8.6459171497974214</c:v>
                </c:pt>
                <c:pt idx="547">
                  <c:v>6.7817782933266759</c:v>
                </c:pt>
                <c:pt idx="548">
                  <c:v>5.4676526836165991</c:v>
                </c:pt>
                <c:pt idx="549">
                  <c:v>5.0209976308780666</c:v>
                </c:pt>
                <c:pt idx="550">
                  <c:v>4.3344039134452759</c:v>
                </c:pt>
                <c:pt idx="551">
                  <c:v>4.360243461950807</c:v>
                </c:pt>
                <c:pt idx="552">
                  <c:v>3.3155874295127474</c:v>
                </c:pt>
                <c:pt idx="553">
                  <c:v>4.2347370834953546</c:v>
                </c:pt>
                <c:pt idx="554">
                  <c:v>4.3122557290119596</c:v>
                </c:pt>
                <c:pt idx="555">
                  <c:v>3.4447851720404157</c:v>
                </c:pt>
                <c:pt idx="556">
                  <c:v>4.3565520978785912</c:v>
                </c:pt>
                <c:pt idx="557">
                  <c:v>3.8582179481289849</c:v>
                </c:pt>
                <c:pt idx="558">
                  <c:v>2.8467841923408987</c:v>
                </c:pt>
                <c:pt idx="559">
                  <c:v>3.51492108941259</c:v>
                </c:pt>
                <c:pt idx="560">
                  <c:v>2.990747391157452</c:v>
                </c:pt>
                <c:pt idx="561">
                  <c:v>2.6769814450188032</c:v>
                </c:pt>
                <c:pt idx="562">
                  <c:v>2.4333514162523295</c:v>
                </c:pt>
                <c:pt idx="563">
                  <c:v>2.189721387485855</c:v>
                </c:pt>
                <c:pt idx="564">
                  <c:v>1.6027945000029855</c:v>
                </c:pt>
                <c:pt idx="565">
                  <c:v>1.5843376796418962</c:v>
                </c:pt>
                <c:pt idx="566">
                  <c:v>1.3333249227309831</c:v>
                </c:pt>
                <c:pt idx="567">
                  <c:v>1.2853371897921315</c:v>
                </c:pt>
                <c:pt idx="568">
                  <c:v>1.5068190341252909</c:v>
                </c:pt>
                <c:pt idx="569">
                  <c:v>1.9608568150082655</c:v>
                </c:pt>
                <c:pt idx="570">
                  <c:v>1.5584981311363539</c:v>
                </c:pt>
                <c:pt idx="571">
                  <c:v>1.34809037901986</c:v>
                </c:pt>
                <c:pt idx="572">
                  <c:v>1.5548067670641381</c:v>
                </c:pt>
                <c:pt idx="573">
                  <c:v>1.2779544616476937</c:v>
                </c:pt>
                <c:pt idx="574">
                  <c:v>2.1454250186192239</c:v>
                </c:pt>
                <c:pt idx="575">
                  <c:v>1.997770455730455</c:v>
                </c:pt>
                <c:pt idx="576">
                  <c:v>2.0014618198026706</c:v>
                </c:pt>
                <c:pt idx="577">
                  <c:v>2.0863631934637183</c:v>
                </c:pt>
                <c:pt idx="578">
                  <c:v>1.8279677084083705</c:v>
                </c:pt>
                <c:pt idx="579">
                  <c:v>1.8944122617083181</c:v>
                </c:pt>
                <c:pt idx="580">
                  <c:v>3.2343774199239261</c:v>
                </c:pt>
                <c:pt idx="581">
                  <c:v>2.1343509264025657</c:v>
                </c:pt>
                <c:pt idx="582">
                  <c:v>2.160190474908108</c:v>
                </c:pt>
                <c:pt idx="583">
                  <c:v>1.9830049994415815</c:v>
                </c:pt>
                <c:pt idx="584">
                  <c:v>3.2565256043572419</c:v>
                </c:pt>
                <c:pt idx="585">
                  <c:v>3.3635751624515944</c:v>
                </c:pt>
                <c:pt idx="586">
                  <c:v>4.9545530775781188</c:v>
                </c:pt>
                <c:pt idx="587">
                  <c:v>5.8737027315607255</c:v>
                </c:pt>
                <c:pt idx="588">
                  <c:v>4.0058725110177535</c:v>
                </c:pt>
                <c:pt idx="589">
                  <c:v>5.596850426144278</c:v>
                </c:pt>
                <c:pt idx="590">
                  <c:v>6.5086173519824433</c:v>
                </c:pt>
                <c:pt idx="591">
                  <c:v>20.986147243226569</c:v>
                </c:pt>
                <c:pt idx="592">
                  <c:v>24.898993159778996</c:v>
                </c:pt>
                <c:pt idx="593">
                  <c:v>18.335747839373035</c:v>
                </c:pt>
                <c:pt idx="594">
                  <c:v>18.380044208239667</c:v>
                </c:pt>
                <c:pt idx="595">
                  <c:v>18.225006917206453</c:v>
                </c:pt>
                <c:pt idx="596">
                  <c:v>23.36338570573573</c:v>
                </c:pt>
                <c:pt idx="597">
                  <c:v>22.473766964330913</c:v>
                </c:pt>
                <c:pt idx="598">
                  <c:v>23.396607982385703</c:v>
                </c:pt>
                <c:pt idx="599">
                  <c:v>23.60332437043002</c:v>
                </c:pt>
                <c:pt idx="600">
                  <c:v>22.278124668503253</c:v>
                </c:pt>
                <c:pt idx="601">
                  <c:v>22.436853323608755</c:v>
                </c:pt>
                <c:pt idx="602">
                  <c:v>22.536520153558676</c:v>
                </c:pt>
                <c:pt idx="603">
                  <c:v>23.215731142846991</c:v>
                </c:pt>
                <c:pt idx="604">
                  <c:v>26.349699240161186</c:v>
                </c:pt>
                <c:pt idx="605">
                  <c:v>22.348260585875494</c:v>
                </c:pt>
                <c:pt idx="606">
                  <c:v>38.187903819768501</c:v>
                </c:pt>
                <c:pt idx="607">
                  <c:v>36.907000486708363</c:v>
                </c:pt>
                <c:pt idx="608">
                  <c:v>30.000458307586115</c:v>
                </c:pt>
                <c:pt idx="609">
                  <c:v>28.918888634425823</c:v>
                </c:pt>
                <c:pt idx="610">
                  <c:v>33.83947694269412</c:v>
                </c:pt>
                <c:pt idx="611">
                  <c:v>18.605217416645118</c:v>
                </c:pt>
                <c:pt idx="612">
                  <c:v>12.403725775316572</c:v>
                </c:pt>
                <c:pt idx="613">
                  <c:v>12.388960319027731</c:v>
                </c:pt>
                <c:pt idx="614">
                  <c:v>11.890626169278125</c:v>
                </c:pt>
                <c:pt idx="615">
                  <c:v>13.614493191004577</c:v>
                </c:pt>
                <c:pt idx="616">
                  <c:v>13.54804863770463</c:v>
                </c:pt>
                <c:pt idx="617">
                  <c:v>10.185215967912882</c:v>
                </c:pt>
                <c:pt idx="618">
                  <c:v>8.7049789749529261</c:v>
                </c:pt>
                <c:pt idx="619">
                  <c:v>7.490520195192782</c:v>
                </c:pt>
                <c:pt idx="620">
                  <c:v>9.1442512995470278</c:v>
                </c:pt>
                <c:pt idx="621">
                  <c:v>9.5761408959966872</c:v>
                </c:pt>
                <c:pt idx="622">
                  <c:v>7.8596566024147094</c:v>
                </c:pt>
                <c:pt idx="623">
                  <c:v>10.107697322396266</c:v>
                </c:pt>
                <c:pt idx="624">
                  <c:v>7.9076443353535568</c:v>
                </c:pt>
                <c:pt idx="625">
                  <c:v>10.775834219467969</c:v>
                </c:pt>
                <c:pt idx="626">
                  <c:v>8.6532998779418637</c:v>
                </c:pt>
                <c:pt idx="627">
                  <c:v>6.8629883029154959</c:v>
                </c:pt>
                <c:pt idx="628">
                  <c:v>7.4277670059650509</c:v>
                </c:pt>
                <c:pt idx="629">
                  <c:v>6.6193582741490227</c:v>
                </c:pt>
                <c:pt idx="630">
                  <c:v>7.8338170539091783</c:v>
                </c:pt>
                <c:pt idx="631">
                  <c:v>9.1848563043414444</c:v>
                </c:pt>
                <c:pt idx="632">
                  <c:v>9.1036462947526235</c:v>
                </c:pt>
                <c:pt idx="633">
                  <c:v>6.611975546004591</c:v>
                </c:pt>
                <c:pt idx="634">
                  <c:v>7.0032601376598338</c:v>
                </c:pt>
                <c:pt idx="635">
                  <c:v>6.8039264777599922</c:v>
                </c:pt>
                <c:pt idx="636">
                  <c:v>6.9072846717821283</c:v>
                </c:pt>
                <c:pt idx="637">
                  <c:v>6.6488891867267803</c:v>
                </c:pt>
                <c:pt idx="638">
                  <c:v>6.6858028274489705</c:v>
                </c:pt>
                <c:pt idx="639">
                  <c:v>8.1402002719033852</c:v>
                </c:pt>
                <c:pt idx="640">
                  <c:v>8.8157198971195179</c:v>
                </c:pt>
                <c:pt idx="641">
                  <c:v>8.2620152862866085</c:v>
                </c:pt>
                <c:pt idx="642">
                  <c:v>9.1553253917636859</c:v>
                </c:pt>
                <c:pt idx="643">
                  <c:v>8.6237689653641052</c:v>
                </c:pt>
                <c:pt idx="644">
                  <c:v>9.6868818181632648</c:v>
                </c:pt>
                <c:pt idx="645">
                  <c:v>8.1180520874700672</c:v>
                </c:pt>
                <c:pt idx="646">
                  <c:v>7.1361492442597294</c:v>
                </c:pt>
                <c:pt idx="647">
                  <c:v>5.9770609255828626</c:v>
                </c:pt>
                <c:pt idx="648">
                  <c:v>6.073036391460569</c:v>
                </c:pt>
                <c:pt idx="649">
                  <c:v>7.1878283412708024</c:v>
                </c:pt>
                <c:pt idx="650">
                  <c:v>8.1660398204089155</c:v>
                </c:pt>
                <c:pt idx="651">
                  <c:v>7.0586305987431235</c:v>
                </c:pt>
                <c:pt idx="652">
                  <c:v>7.6418661221537665</c:v>
                </c:pt>
                <c:pt idx="653">
                  <c:v>7.5274338359149722</c:v>
                </c:pt>
                <c:pt idx="654">
                  <c:v>8.4502748539698054</c:v>
                </c:pt>
                <c:pt idx="655">
                  <c:v>8.4834971306197797</c:v>
                </c:pt>
                <c:pt idx="656">
                  <c:v>8.4207439413920486</c:v>
                </c:pt>
                <c:pt idx="657">
                  <c:v>9.0039794648027023</c:v>
                </c:pt>
                <c:pt idx="658">
                  <c:v>8.99659673665826</c:v>
                </c:pt>
                <c:pt idx="659">
                  <c:v>8.9707571881527279</c:v>
                </c:pt>
                <c:pt idx="660">
                  <c:v>8.228793009636636</c:v>
                </c:pt>
                <c:pt idx="661">
                  <c:v>9.4838567941912064</c:v>
                </c:pt>
                <c:pt idx="662">
                  <c:v>9.6093631726466597</c:v>
                </c:pt>
                <c:pt idx="663">
                  <c:v>10.694624209879136</c:v>
                </c:pt>
                <c:pt idx="664">
                  <c:v>9.4801654301189906</c:v>
                </c:pt>
                <c:pt idx="665">
                  <c:v>10.956711059006711</c:v>
                </c:pt>
                <c:pt idx="666">
                  <c:v>10.598648744001443</c:v>
                </c:pt>
                <c:pt idx="667">
                  <c:v>11.119131078184363</c:v>
                </c:pt>
                <c:pt idx="668">
                  <c:v>10.539586918845925</c:v>
                </c:pt>
                <c:pt idx="669">
                  <c:v>11.901700261494783</c:v>
                </c:pt>
                <c:pt idx="670">
                  <c:v>6.885136487348813</c:v>
                </c:pt>
                <c:pt idx="671">
                  <c:v>6.3535800609492323</c:v>
                </c:pt>
                <c:pt idx="672">
                  <c:v>6.3868023375992058</c:v>
                </c:pt>
                <c:pt idx="673">
                  <c:v>6.947889676576545</c:v>
                </c:pt>
                <c:pt idx="674">
                  <c:v>5.6743690716608839</c:v>
                </c:pt>
                <c:pt idx="675">
                  <c:v>4.1535270739065329</c:v>
                </c:pt>
                <c:pt idx="676">
                  <c:v>3.7511683900346218</c:v>
                </c:pt>
                <c:pt idx="677">
                  <c:v>5.2424794752112254</c:v>
                </c:pt>
                <c:pt idx="678">
                  <c:v>5.2461708392834403</c:v>
                </c:pt>
                <c:pt idx="679">
                  <c:v>5.1132817326835447</c:v>
                </c:pt>
                <c:pt idx="680">
                  <c:v>4.9360962572170193</c:v>
                </c:pt>
                <c:pt idx="681">
                  <c:v>5.2461708392834403</c:v>
                </c:pt>
                <c:pt idx="682">
                  <c:v>4.3787002823119074</c:v>
                </c:pt>
                <c:pt idx="683">
                  <c:v>3.4743160846181738</c:v>
                </c:pt>
                <c:pt idx="684">
                  <c:v>3.7511683900346218</c:v>
                </c:pt>
                <c:pt idx="685">
                  <c:v>5.2055658344890352</c:v>
                </c:pt>
                <c:pt idx="686">
                  <c:v>8.2509411940699628</c:v>
                </c:pt>
                <c:pt idx="687">
                  <c:v>6.8740623951321549</c:v>
                </c:pt>
                <c:pt idx="688">
                  <c:v>11.765119790822705</c:v>
                </c:pt>
                <c:pt idx="689">
                  <c:v>11.754045698606047</c:v>
                </c:pt>
                <c:pt idx="690">
                  <c:v>10.849661500912347</c:v>
                </c:pt>
                <c:pt idx="691">
                  <c:v>12.62520761964973</c:v>
                </c:pt>
                <c:pt idx="692">
                  <c:v>11.019464248234442</c:v>
                </c:pt>
                <c:pt idx="693">
                  <c:v>13.821209579048785</c:v>
                </c:pt>
                <c:pt idx="694">
                  <c:v>11.29631655365089</c:v>
                </c:pt>
                <c:pt idx="695">
                  <c:v>16.386707609241238</c:v>
                </c:pt>
                <c:pt idx="696">
                  <c:v>17.172968156623952</c:v>
                </c:pt>
                <c:pt idx="697">
                  <c:v>18.985427916083669</c:v>
                </c:pt>
                <c:pt idx="698">
                  <c:v>18.387426936384141</c:v>
                </c:pt>
                <c:pt idx="699">
                  <c:v>16.88873312306314</c:v>
                </c:pt>
                <c:pt idx="700">
                  <c:v>15.607829790003004</c:v>
                </c:pt>
                <c:pt idx="701">
                  <c:v>15.131643824686714</c:v>
                </c:pt>
                <c:pt idx="702">
                  <c:v>15.574607513353028</c:v>
                </c:pt>
                <c:pt idx="703">
                  <c:v>9.1627081199081282</c:v>
                </c:pt>
                <c:pt idx="704">
                  <c:v>15.32359475644208</c:v>
                </c:pt>
                <c:pt idx="705">
                  <c:v>16.586041269141081</c:v>
                </c:pt>
                <c:pt idx="706">
                  <c:v>17.339079539873818</c:v>
                </c:pt>
                <c:pt idx="707">
                  <c:v>15.478632047475291</c:v>
                </c:pt>
                <c:pt idx="708">
                  <c:v>12.87622037656068</c:v>
                </c:pt>
                <c:pt idx="709">
                  <c:v>13.230591327493734</c:v>
                </c:pt>
                <c:pt idx="710">
                  <c:v>17.914932335140033</c:v>
                </c:pt>
                <c:pt idx="711">
                  <c:v>16.23536168228032</c:v>
                </c:pt>
                <c:pt idx="712">
                  <c:v>14.699754228237055</c:v>
                </c:pt>
                <c:pt idx="713">
                  <c:v>20.882789049204352</c:v>
                </c:pt>
                <c:pt idx="714">
                  <c:v>14.016851874876444</c:v>
                </c:pt>
                <c:pt idx="715">
                  <c:v>10.236895064923946</c:v>
                </c:pt>
                <c:pt idx="716">
                  <c:v>12.950047658005102</c:v>
                </c:pt>
                <c:pt idx="717">
                  <c:v>3.6699583804458005</c:v>
                </c:pt>
                <c:pt idx="718">
                  <c:v>1.6544735970140596</c:v>
                </c:pt>
                <c:pt idx="719">
                  <c:v>1.4809794856197485</c:v>
                </c:pt>
                <c:pt idx="720">
                  <c:v>1.0675467095311932</c:v>
                </c:pt>
                <c:pt idx="721">
                  <c:v>1.1856703598422114</c:v>
                </c:pt>
                <c:pt idx="722">
                  <c:v>1.5511154029919225</c:v>
                </c:pt>
                <c:pt idx="723">
                  <c:v>1.4108435682475853</c:v>
                </c:pt>
                <c:pt idx="724">
                  <c:v>1.5068190341252801</c:v>
                </c:pt>
                <c:pt idx="725">
                  <c:v>1.5658808592807962</c:v>
                </c:pt>
                <c:pt idx="726">
                  <c:v>1.9682395431526967</c:v>
                </c:pt>
                <c:pt idx="727">
                  <c:v>1.8501158928416863</c:v>
                </c:pt>
                <c:pt idx="728">
                  <c:v>1.872264077274991</c:v>
                </c:pt>
                <c:pt idx="729">
                  <c:v>2.2081782078469554</c:v>
                </c:pt>
                <c:pt idx="730">
                  <c:v>2.3669068629523817</c:v>
                </c:pt>
                <c:pt idx="731">
                  <c:v>2.6216109839355139</c:v>
                </c:pt>
                <c:pt idx="732">
                  <c:v>2.9833646630130093</c:v>
                </c:pt>
                <c:pt idx="733">
                  <c:v>3.1236364977573468</c:v>
                </c:pt>
                <c:pt idx="734">
                  <c:v>3.4410938079681999</c:v>
                </c:pt>
                <c:pt idx="735">
                  <c:v>3.6588842882291428</c:v>
                </c:pt>
                <c:pt idx="736">
                  <c:v>4.4820584763340445</c:v>
                </c:pt>
                <c:pt idx="737">
                  <c:v>4.8881085242781719</c:v>
                </c:pt>
                <c:pt idx="738">
                  <c:v>3.9320452295733639</c:v>
                </c:pt>
                <c:pt idx="739">
                  <c:v>3.238068783996142</c:v>
                </c:pt>
                <c:pt idx="740">
                  <c:v>2.9427596582185935</c:v>
                </c:pt>
                <c:pt idx="741">
                  <c:v>3.1937724151295104</c:v>
                </c:pt>
                <c:pt idx="742">
                  <c:v>4.3491693697341489</c:v>
                </c:pt>
                <c:pt idx="743">
                  <c:v>4.164601166123191</c:v>
                </c:pt>
                <c:pt idx="744">
                  <c:v>4.2162802631342542</c:v>
                </c:pt>
                <c:pt idx="745">
                  <c:v>5.8035668141885521</c:v>
                </c:pt>
                <c:pt idx="746">
                  <c:v>6.9441983125043176</c:v>
                </c:pt>
                <c:pt idx="747">
                  <c:v>6.7559387448211439</c:v>
                </c:pt>
                <c:pt idx="748">
                  <c:v>7.2468901664263079</c:v>
                </c:pt>
                <c:pt idx="749">
                  <c:v>7.0660133268875658</c:v>
                </c:pt>
                <c:pt idx="750">
                  <c:v>4.3787002823119074</c:v>
                </c:pt>
                <c:pt idx="751">
                  <c:v>4.5042066607673599</c:v>
                </c:pt>
                <c:pt idx="752">
                  <c:v>5.1575781015501772</c:v>
                </c:pt>
                <c:pt idx="753">
                  <c:v>4.2679593601453281</c:v>
                </c:pt>
                <c:pt idx="754">
                  <c:v>4.2421198116397854</c:v>
                </c:pt>
                <c:pt idx="755">
                  <c:v>4.810589878761566</c:v>
                </c:pt>
                <c:pt idx="756">
                  <c:v>3.8914402247789592</c:v>
                </c:pt>
                <c:pt idx="757">
                  <c:v>4.4525275637562975</c:v>
                </c:pt>
                <c:pt idx="758">
                  <c:v>3.5407606379181211</c:v>
                </c:pt>
                <c:pt idx="759">
                  <c:v>3.4484765361126426</c:v>
                </c:pt>
                <c:pt idx="760">
                  <c:v>2.8024878234742672</c:v>
                </c:pt>
                <c:pt idx="761">
                  <c:v>3.1420933181184365</c:v>
                </c:pt>
                <c:pt idx="762">
                  <c:v>3.5407606379181211</c:v>
                </c:pt>
                <c:pt idx="763">
                  <c:v>2.8172532797631407</c:v>
                </c:pt>
                <c:pt idx="764">
                  <c:v>3.9394279577178062</c:v>
                </c:pt>
                <c:pt idx="765">
                  <c:v>5.1391212811890883</c:v>
                </c:pt>
                <c:pt idx="766">
                  <c:v>7.608643845503793</c:v>
                </c:pt>
                <c:pt idx="767">
                  <c:v>7.9371752479313153</c:v>
                </c:pt>
                <c:pt idx="768">
                  <c:v>8.2583239222143945</c:v>
                </c:pt>
                <c:pt idx="769">
                  <c:v>9.9969564002296885</c:v>
                </c:pt>
                <c:pt idx="770">
                  <c:v>9.0999549306803971</c:v>
                </c:pt>
                <c:pt idx="771">
                  <c:v>10.222129608635074</c:v>
                </c:pt>
                <c:pt idx="772">
                  <c:v>9.8714500217742245</c:v>
                </c:pt>
                <c:pt idx="773">
                  <c:v>10.620796928434757</c:v>
                </c:pt>
                <c:pt idx="774">
                  <c:v>9.8972895702797672</c:v>
                </c:pt>
                <c:pt idx="775">
                  <c:v>10.247969157140604</c:v>
                </c:pt>
                <c:pt idx="776">
                  <c:v>9.5982890804300016</c:v>
                </c:pt>
                <c:pt idx="777">
                  <c:v>8.3764475725254162</c:v>
                </c:pt>
                <c:pt idx="778">
                  <c:v>8.3100030192254675</c:v>
                </c:pt>
                <c:pt idx="779">
                  <c:v>7.734150223959257</c:v>
                </c:pt>
                <c:pt idx="780">
                  <c:v>9.631511357079976</c:v>
                </c:pt>
                <c:pt idx="781">
                  <c:v>6.9294328562154446</c:v>
                </c:pt>
                <c:pt idx="782">
                  <c:v>7.0327910502375817</c:v>
                </c:pt>
                <c:pt idx="783">
                  <c:v>9.1405599354748119</c:v>
                </c:pt>
                <c:pt idx="784">
                  <c:v>7.0807787831764397</c:v>
                </c:pt>
                <c:pt idx="785">
                  <c:v>9.5318445271300565</c:v>
                </c:pt>
                <c:pt idx="786">
                  <c:v>7.4019274574595197</c:v>
                </c:pt>
                <c:pt idx="787">
                  <c:v>7.4942115592649978</c:v>
                </c:pt>
                <c:pt idx="788">
                  <c:v>7.4056188215317347</c:v>
                </c:pt>
                <c:pt idx="789">
                  <c:v>7.029099686165365</c:v>
                </c:pt>
                <c:pt idx="790">
                  <c:v>8.3284598395865572</c:v>
                </c:pt>
                <c:pt idx="791">
                  <c:v>7.3391742682317878</c:v>
                </c:pt>
                <c:pt idx="792">
                  <c:v>5.762961809394147</c:v>
                </c:pt>
                <c:pt idx="793">
                  <c:v>7.5864956610704883</c:v>
                </c:pt>
                <c:pt idx="794">
                  <c:v>5.4861095039776995</c:v>
                </c:pt>
                <c:pt idx="795">
                  <c:v>6.6193582741490227</c:v>
                </c:pt>
                <c:pt idx="796">
                  <c:v>6.9848033172987334</c:v>
                </c:pt>
                <c:pt idx="797">
                  <c:v>6.9257414921432288</c:v>
                </c:pt>
                <c:pt idx="798">
                  <c:v>7.4277670059650509</c:v>
                </c:pt>
                <c:pt idx="799">
                  <c:v>7.3760879089539868</c:v>
                </c:pt>
                <c:pt idx="800">
                  <c:v>7.5421992922038568</c:v>
                </c:pt>
                <c:pt idx="801">
                  <c:v>8.8489421737694798</c:v>
                </c:pt>
                <c:pt idx="802">
                  <c:v>7.3170260837984706</c:v>
                </c:pt>
                <c:pt idx="803">
                  <c:v>7.3650138167373189</c:v>
                </c:pt>
                <c:pt idx="804">
                  <c:v>7.1619887927652606</c:v>
                </c:pt>
                <c:pt idx="805">
                  <c:v>5.9253818285718003</c:v>
                </c:pt>
                <c:pt idx="806">
                  <c:v>4.3085643649397332</c:v>
                </c:pt>
                <c:pt idx="807">
                  <c:v>4.5485030296339914</c:v>
                </c:pt>
                <c:pt idx="808">
                  <c:v>4.4894412044784868</c:v>
                </c:pt>
                <c:pt idx="809">
                  <c:v>3.8508352199845426</c:v>
                </c:pt>
                <c:pt idx="810">
                  <c:v>3.8656006762734165</c:v>
                </c:pt>
                <c:pt idx="811">
                  <c:v>3.3488097061627209</c:v>
                </c:pt>
                <c:pt idx="812">
                  <c:v>3.2823651528627731</c:v>
                </c:pt>
                <c:pt idx="813">
                  <c:v>3.2602169684294573</c:v>
                </c:pt>
                <c:pt idx="814">
                  <c:v>2.9538337504352512</c:v>
                </c:pt>
                <c:pt idx="815">
                  <c:v>2.8320187360520146</c:v>
                </c:pt>
                <c:pt idx="816">
                  <c:v>2.4038205036745821</c:v>
                </c:pt>
                <c:pt idx="817">
                  <c:v>2.5846973432133247</c:v>
                </c:pt>
                <c:pt idx="818">
                  <c:v>2.9538337504352512</c:v>
                </c:pt>
                <c:pt idx="819">
                  <c:v>2.6326850761521716</c:v>
                </c:pt>
                <c:pt idx="820">
                  <c:v>2.7840310031131672</c:v>
                </c:pt>
                <c:pt idx="821">
                  <c:v>2.6400678042966144</c:v>
                </c:pt>
                <c:pt idx="822">
                  <c:v>2.7212778138854352</c:v>
                </c:pt>
                <c:pt idx="823">
                  <c:v>2.4776477851189611</c:v>
                </c:pt>
                <c:pt idx="824">
                  <c:v>2.4444255084689872</c:v>
                </c:pt>
                <c:pt idx="825">
                  <c:v>2.3705982270245975</c:v>
                </c:pt>
                <c:pt idx="826">
                  <c:v>2.0494495527415291</c:v>
                </c:pt>
                <c:pt idx="827">
                  <c:v>2.0125359120193282</c:v>
                </c:pt>
                <c:pt idx="828">
                  <c:v>2.2709313970746874</c:v>
                </c:pt>
                <c:pt idx="829">
                  <c:v>2.141733654547008</c:v>
                </c:pt>
                <c:pt idx="830">
                  <c:v>1.905486353924976</c:v>
                </c:pt>
                <c:pt idx="831">
                  <c:v>2.20448684377474</c:v>
                </c:pt>
                <c:pt idx="832">
                  <c:v>2.374289591096824</c:v>
                </c:pt>
                <c:pt idx="833">
                  <c:v>2.374289591096824</c:v>
                </c:pt>
                <c:pt idx="834">
                  <c:v>2.4739564210467453</c:v>
                </c:pt>
                <c:pt idx="835">
                  <c:v>2.6695987168743724</c:v>
                </c:pt>
                <c:pt idx="836">
                  <c:v>2.2155609359913977</c:v>
                </c:pt>
                <c:pt idx="837">
                  <c:v>3.6884152008069009</c:v>
                </c:pt>
                <c:pt idx="838">
                  <c:v>3.1642415025517519</c:v>
                </c:pt>
                <c:pt idx="839">
                  <c:v>3.3155874295127474</c:v>
                </c:pt>
                <c:pt idx="840">
                  <c:v>3.6108965552902843</c:v>
                </c:pt>
                <c:pt idx="841">
                  <c:v>2.6843641731632459</c:v>
                </c:pt>
                <c:pt idx="842">
                  <c:v>2.9427596582185935</c:v>
                </c:pt>
                <c:pt idx="843">
                  <c:v>1.9719309072249236</c:v>
                </c:pt>
                <c:pt idx="844">
                  <c:v>2.3632154988801664</c:v>
                </c:pt>
                <c:pt idx="845">
                  <c:v>3.17531559476841</c:v>
                </c:pt>
                <c:pt idx="846">
                  <c:v>3.8582179481289849</c:v>
                </c:pt>
                <c:pt idx="847">
                  <c:v>3.2712910606461154</c:v>
                </c:pt>
                <c:pt idx="848">
                  <c:v>1.8279677084083594</c:v>
                </c:pt>
                <c:pt idx="849">
                  <c:v>2.5071786976967192</c:v>
                </c:pt>
                <c:pt idx="850">
                  <c:v>2.2229436641358289</c:v>
                </c:pt>
                <c:pt idx="851">
                  <c:v>2.2303263922802712</c:v>
                </c:pt>
                <c:pt idx="852">
                  <c:v>2.049449552741518</c:v>
                </c:pt>
                <c:pt idx="853">
                  <c:v>1.8611899850583331</c:v>
                </c:pt>
                <c:pt idx="854">
                  <c:v>2.0715977371748449</c:v>
                </c:pt>
                <c:pt idx="855">
                  <c:v>2.3447586785190659</c:v>
                </c:pt>
                <c:pt idx="856">
                  <c:v>2.7471173623909668</c:v>
                </c:pt>
                <c:pt idx="857">
                  <c:v>3.6551929241569159</c:v>
                </c:pt>
                <c:pt idx="858">
                  <c:v>4.0206379673066381</c:v>
                </c:pt>
                <c:pt idx="859">
                  <c:v>3.7548597541068371</c:v>
                </c:pt>
                <c:pt idx="860">
                  <c:v>3.9172797732844904</c:v>
                </c:pt>
                <c:pt idx="861">
                  <c:v>5.0468371793835978</c:v>
                </c:pt>
                <c:pt idx="862">
                  <c:v>5.8552459111996269</c:v>
                </c:pt>
                <c:pt idx="863">
                  <c:v>4.8401207913393236</c:v>
                </c:pt>
                <c:pt idx="864">
                  <c:v>4.0760084283899172</c:v>
                </c:pt>
                <c:pt idx="865">
                  <c:v>3.8545265840567589</c:v>
                </c:pt>
                <c:pt idx="866">
                  <c:v>5.3901340380999931</c:v>
                </c:pt>
                <c:pt idx="867">
                  <c:v>3.9505020499344643</c:v>
                </c:pt>
                <c:pt idx="868">
                  <c:v>4.8991826164948291</c:v>
                </c:pt>
                <c:pt idx="869">
                  <c:v>4.1129220691121171</c:v>
                </c:pt>
                <c:pt idx="870">
                  <c:v>4.6592439518005708</c:v>
                </c:pt>
                <c:pt idx="871">
                  <c:v>4.1461443457620906</c:v>
                </c:pt>
                <c:pt idx="872">
                  <c:v>3.4706247205459584</c:v>
                </c:pt>
                <c:pt idx="873">
                  <c:v>4.4303793793229707</c:v>
                </c:pt>
                <c:pt idx="874">
                  <c:v>4.0538602439566116</c:v>
                </c:pt>
                <c:pt idx="875">
                  <c:v>3.1900810510572835</c:v>
                </c:pt>
                <c:pt idx="876">
                  <c:v>5.194491742272378</c:v>
                </c:pt>
                <c:pt idx="877">
                  <c:v>7.9519407042201991</c:v>
                </c:pt>
                <c:pt idx="878">
                  <c:v>6.6415064585823389</c:v>
                </c:pt>
                <c:pt idx="879">
                  <c:v>7.2764210790040549</c:v>
                </c:pt>
                <c:pt idx="880">
                  <c:v>5.6300727027942523</c:v>
                </c:pt>
                <c:pt idx="881">
                  <c:v>4.3417866415897182</c:v>
                </c:pt>
                <c:pt idx="882">
                  <c:v>5.224022654850125</c:v>
                </c:pt>
                <c:pt idx="883">
                  <c:v>4.6813921362338871</c:v>
                </c:pt>
                <c:pt idx="884">
                  <c:v>3.2565256043572419</c:v>
                </c:pt>
                <c:pt idx="885">
                  <c:v>3.3672665265238213</c:v>
                </c:pt>
                <c:pt idx="886">
                  <c:v>3.4263283516793264</c:v>
                </c:pt>
                <c:pt idx="887">
                  <c:v>3.6699583804458005</c:v>
                </c:pt>
                <c:pt idx="888">
                  <c:v>4.1055393409676748</c:v>
                </c:pt>
                <c:pt idx="889">
                  <c:v>6.5418396286324167</c:v>
                </c:pt>
                <c:pt idx="890">
                  <c:v>5.1649608296946194</c:v>
                </c:pt>
                <c:pt idx="891">
                  <c:v>6.3757282453825486</c:v>
                </c:pt>
                <c:pt idx="892">
                  <c:v>8.9855226444416019</c:v>
                </c:pt>
                <c:pt idx="893">
                  <c:v>7.9593234323646307</c:v>
                </c:pt>
                <c:pt idx="894">
                  <c:v>7.2136678897763336</c:v>
                </c:pt>
                <c:pt idx="895">
                  <c:v>4.7146144128838605</c:v>
                </c:pt>
                <c:pt idx="896">
                  <c:v>6.4901605316213429</c:v>
                </c:pt>
                <c:pt idx="897">
                  <c:v>8.1549657281922574</c:v>
                </c:pt>
                <c:pt idx="898">
                  <c:v>10.148302327190684</c:v>
                </c:pt>
                <c:pt idx="899">
                  <c:v>9.074115382174865</c:v>
                </c:pt>
                <c:pt idx="900">
                  <c:v>5.6669863435164407</c:v>
                </c:pt>
                <c:pt idx="901">
                  <c:v>3.9578847780789066</c:v>
                </c:pt>
                <c:pt idx="902">
                  <c:v>2.4038205036745821</c:v>
                </c:pt>
                <c:pt idx="903">
                  <c:v>4.0206379673066381</c:v>
                </c:pt>
                <c:pt idx="904">
                  <c:v>7.8264343257647351</c:v>
                </c:pt>
                <c:pt idx="905">
                  <c:v>7.2358160742096507</c:v>
                </c:pt>
                <c:pt idx="906">
                  <c:v>6.7928523855433331</c:v>
                </c:pt>
                <c:pt idx="907">
                  <c:v>7.1952110694152349</c:v>
                </c:pt>
                <c:pt idx="908">
                  <c:v>7.0733960550319974</c:v>
                </c:pt>
                <c:pt idx="909">
                  <c:v>6.8223832981210917</c:v>
                </c:pt>
                <c:pt idx="910">
                  <c:v>5.3421463051611466</c:v>
                </c:pt>
                <c:pt idx="911">
                  <c:v>4.744145325461619</c:v>
                </c:pt>
                <c:pt idx="912">
                  <c:v>4.2199716272064816</c:v>
                </c:pt>
                <c:pt idx="913">
                  <c:v>3.9209711373567173</c:v>
                </c:pt>
                <c:pt idx="914">
                  <c:v>3.8729834044178588</c:v>
                </c:pt>
                <c:pt idx="915">
                  <c:v>4.2864161805064285</c:v>
                </c:pt>
                <c:pt idx="916">
                  <c:v>4.1313788894732069</c:v>
                </c:pt>
                <c:pt idx="917">
                  <c:v>3.1937724151295104</c:v>
                </c:pt>
                <c:pt idx="918">
                  <c:v>4.2901075445786443</c:v>
                </c:pt>
                <c:pt idx="919">
                  <c:v>4.4303793793229813</c:v>
                </c:pt>
                <c:pt idx="920">
                  <c:v>3.8249956714790114</c:v>
                </c:pt>
                <c:pt idx="921">
                  <c:v>3.6994892930235586</c:v>
                </c:pt>
                <c:pt idx="922">
                  <c:v>3.7806993026123799</c:v>
                </c:pt>
                <c:pt idx="923">
                  <c:v>4.1498357098343064</c:v>
                </c:pt>
                <c:pt idx="924">
                  <c:v>3.5259951816292476</c:v>
                </c:pt>
                <c:pt idx="925">
                  <c:v>4.7072316847394289</c:v>
                </c:pt>
                <c:pt idx="926">
                  <c:v>5.607924518360937</c:v>
                </c:pt>
                <c:pt idx="927">
                  <c:v>5.1575781015501772</c:v>
                </c:pt>
                <c:pt idx="928">
                  <c:v>4.4045398308174386</c:v>
                </c:pt>
                <c:pt idx="929">
                  <c:v>7.5569647484927298</c:v>
                </c:pt>
                <c:pt idx="930">
                  <c:v>3.7179461133846474</c:v>
                </c:pt>
                <c:pt idx="931">
                  <c:v>4.3787002823119074</c:v>
                </c:pt>
                <c:pt idx="932">
                  <c:v>5.4861095039776995</c:v>
                </c:pt>
                <c:pt idx="933">
                  <c:v>8.0220766215923618</c:v>
                </c:pt>
                <c:pt idx="934">
                  <c:v>6.4938518956935702</c:v>
                </c:pt>
                <c:pt idx="935">
                  <c:v>4.3344039134452759</c:v>
                </c:pt>
                <c:pt idx="936">
                  <c:v>5.6965172560942001</c:v>
                </c:pt>
                <c:pt idx="937">
                  <c:v>5.7924927219719056</c:v>
                </c:pt>
                <c:pt idx="938">
                  <c:v>3.869292040345643</c:v>
                </c:pt>
                <c:pt idx="939">
                  <c:v>3.8139215792623533</c:v>
                </c:pt>
                <c:pt idx="940">
                  <c:v>3.9357365936455908</c:v>
                </c:pt>
                <c:pt idx="941">
                  <c:v>5.4455044991832837</c:v>
                </c:pt>
                <c:pt idx="942">
                  <c:v>4.3085643649397332</c:v>
                </c:pt>
                <c:pt idx="943">
                  <c:v>6.3277405124437003</c:v>
                </c:pt>
                <c:pt idx="944">
                  <c:v>4.8991826164948291</c:v>
                </c:pt>
                <c:pt idx="945">
                  <c:v>3.6994892930235586</c:v>
                </c:pt>
                <c:pt idx="946">
                  <c:v>4.515280752984018</c:v>
                </c:pt>
                <c:pt idx="947">
                  <c:v>3.5038469971959318</c:v>
                </c:pt>
                <c:pt idx="948">
                  <c:v>4.0760084283899172</c:v>
                </c:pt>
                <c:pt idx="949">
                  <c:v>4.4193052871063125</c:v>
                </c:pt>
                <c:pt idx="950">
                  <c:v>4.9213308009281453</c:v>
                </c:pt>
                <c:pt idx="951">
                  <c:v>6.0250486585217109</c:v>
                </c:pt>
                <c:pt idx="952">
                  <c:v>5.8183322704774367</c:v>
                </c:pt>
                <c:pt idx="953">
                  <c:v>5.2387881111390096</c:v>
                </c:pt>
                <c:pt idx="954">
                  <c:v>6.5160000801268856</c:v>
                </c:pt>
                <c:pt idx="955">
                  <c:v>6.7005682837378551</c:v>
                </c:pt>
                <c:pt idx="956">
                  <c:v>5.1981831063445938</c:v>
                </c:pt>
                <c:pt idx="957">
                  <c:v>4.3491693697341489</c:v>
                </c:pt>
                <c:pt idx="958">
                  <c:v>3.7327115696735325</c:v>
                </c:pt>
                <c:pt idx="959">
                  <c:v>3.51492108941259</c:v>
                </c:pt>
                <c:pt idx="960">
                  <c:v>3.544452001990348</c:v>
                </c:pt>
                <c:pt idx="961">
                  <c:v>2.4296600521801137</c:v>
                </c:pt>
                <c:pt idx="962">
                  <c:v>1.5769549514974541</c:v>
                </c:pt>
                <c:pt idx="963">
                  <c:v>1.9017949898527495</c:v>
                </c:pt>
                <c:pt idx="964">
                  <c:v>1.1376826269033598</c:v>
                </c:pt>
                <c:pt idx="965">
                  <c:v>0.85344759334247378</c:v>
                </c:pt>
                <c:pt idx="966">
                  <c:v>1.1192258065422627</c:v>
                </c:pt>
                <c:pt idx="967">
                  <c:v>1.0712380736034119</c:v>
                </c:pt>
                <c:pt idx="968">
                  <c:v>1.1487567191200174</c:v>
                </c:pt>
                <c:pt idx="969">
                  <c:v>1.1192258065422638</c:v>
                </c:pt>
                <c:pt idx="970">
                  <c:v>1.089694893964509</c:v>
                </c:pt>
                <c:pt idx="971">
                  <c:v>1.5068190341252801</c:v>
                </c:pt>
                <c:pt idx="972">
                  <c:v>3.1273278618295626</c:v>
                </c:pt>
                <c:pt idx="973">
                  <c:v>21.148567262404146</c:v>
                </c:pt>
                <c:pt idx="974">
                  <c:v>19.291811134077907</c:v>
                </c:pt>
                <c:pt idx="975">
                  <c:v>14.17927189405413</c:v>
                </c:pt>
                <c:pt idx="976">
                  <c:v>10.513747370340393</c:v>
                </c:pt>
                <c:pt idx="977">
                  <c:v>6.7227164681711704</c:v>
                </c:pt>
                <c:pt idx="978">
                  <c:v>3.8877488607067323</c:v>
                </c:pt>
                <c:pt idx="979">
                  <c:v>3.729020205601306</c:v>
                </c:pt>
                <c:pt idx="980">
                  <c:v>2.5034873336245034</c:v>
                </c:pt>
                <c:pt idx="981">
                  <c:v>2.466573692902303</c:v>
                </c:pt>
                <c:pt idx="982">
                  <c:v>2.326301858157966</c:v>
                </c:pt>
                <c:pt idx="983">
                  <c:v>2.8283273719797988</c:v>
                </c:pt>
                <c:pt idx="984">
                  <c:v>4.7146144128838605</c:v>
                </c:pt>
                <c:pt idx="985">
                  <c:v>4.4082311948896544</c:v>
                </c:pt>
                <c:pt idx="986">
                  <c:v>3.5333779097736793</c:v>
                </c:pt>
                <c:pt idx="987">
                  <c:v>4.0944652487510176</c:v>
                </c:pt>
                <c:pt idx="988">
                  <c:v>4.2310457194231272</c:v>
                </c:pt>
                <c:pt idx="989">
                  <c:v>4.5226634811284603</c:v>
                </c:pt>
                <c:pt idx="990">
                  <c:v>2.6216109839355139</c:v>
                </c:pt>
                <c:pt idx="991">
                  <c:v>2.3669068629523817</c:v>
                </c:pt>
                <c:pt idx="992">
                  <c:v>2.7471173623909779</c:v>
                </c:pt>
                <c:pt idx="993">
                  <c:v>2.437042780324556</c:v>
                </c:pt>
                <c:pt idx="994">
                  <c:v>1.905486353924976</c:v>
                </c:pt>
                <c:pt idx="995">
                  <c:v>2.2118695719191708</c:v>
                </c:pt>
                <c:pt idx="996">
                  <c:v>2.5477837024911349</c:v>
                </c:pt>
                <c:pt idx="997">
                  <c:v>2.9353769300741623</c:v>
                </c:pt>
                <c:pt idx="998">
                  <c:v>2.2856968533635609</c:v>
                </c:pt>
                <c:pt idx="999">
                  <c:v>1.6360167766529592</c:v>
                </c:pt>
                <c:pt idx="1000">
                  <c:v>2.1343509264025657</c:v>
                </c:pt>
                <c:pt idx="1001">
                  <c:v>6.2945182357937277</c:v>
                </c:pt>
                <c:pt idx="1002">
                  <c:v>5.3384549410889193</c:v>
                </c:pt>
                <c:pt idx="1003">
                  <c:v>5.7998754501163363</c:v>
                </c:pt>
                <c:pt idx="1004">
                  <c:v>5.0579112716002559</c:v>
                </c:pt>
                <c:pt idx="1005">
                  <c:v>2.2450918485691447</c:v>
                </c:pt>
                <c:pt idx="1006">
                  <c:v>1.628634048508528</c:v>
                </c:pt>
                <c:pt idx="1007">
                  <c:v>1.3037940101532284</c:v>
                </c:pt>
                <c:pt idx="1008">
                  <c:v>1.7430663347473228</c:v>
                </c:pt>
                <c:pt idx="1009">
                  <c:v>2.4075118677467979</c:v>
                </c:pt>
                <c:pt idx="1010">
                  <c:v>3.1273278618295626</c:v>
                </c:pt>
                <c:pt idx="1011">
                  <c:v>1.5142017622697221</c:v>
                </c:pt>
                <c:pt idx="1012">
                  <c:v>1.4477572089697746</c:v>
                </c:pt>
                <c:pt idx="1013">
                  <c:v>2.1380422904747922</c:v>
                </c:pt>
                <c:pt idx="1014">
                  <c:v>1.5621894952085804</c:v>
                </c:pt>
                <c:pt idx="1015">
                  <c:v>1.7393749706750963</c:v>
                </c:pt>
                <c:pt idx="1016">
                  <c:v>2.1195854701136918</c:v>
                </c:pt>
                <c:pt idx="1017">
                  <c:v>2.2561659407858023</c:v>
                </c:pt>
                <c:pt idx="1018">
                  <c:v>2.4222773240356714</c:v>
                </c:pt>
                <c:pt idx="1019">
                  <c:v>1.6138685922196436</c:v>
                </c:pt>
                <c:pt idx="1020">
                  <c:v>1.8611899850583442</c:v>
                </c:pt>
                <c:pt idx="1021">
                  <c:v>2.2598573048580297</c:v>
                </c:pt>
                <c:pt idx="1022">
                  <c:v>2.1675732030525392</c:v>
                </c:pt>
                <c:pt idx="1023">
                  <c:v>3.437402443895984</c:v>
                </c:pt>
                <c:pt idx="1024">
                  <c:v>3.9209711373567173</c:v>
                </c:pt>
                <c:pt idx="1025">
                  <c:v>4.33071254937306</c:v>
                </c:pt>
                <c:pt idx="1026">
                  <c:v>4.9988494464447504</c:v>
                </c:pt>
                <c:pt idx="1027">
                  <c:v>3.4632419924015156</c:v>
                </c:pt>
                <c:pt idx="1028">
                  <c:v>4.0464775158121702</c:v>
                </c:pt>
                <c:pt idx="1029">
                  <c:v>5.0099235386614094</c:v>
                </c:pt>
                <c:pt idx="1030">
                  <c:v>4.4414534715396279</c:v>
                </c:pt>
                <c:pt idx="1031">
                  <c:v>4.1535270739065222</c:v>
                </c:pt>
                <c:pt idx="1032">
                  <c:v>4.4525275637562975</c:v>
                </c:pt>
                <c:pt idx="1033">
                  <c:v>4.4525275637562975</c:v>
                </c:pt>
                <c:pt idx="1034">
                  <c:v>4.1424529816898756</c:v>
                </c:pt>
                <c:pt idx="1035">
                  <c:v>4.6813921362338871</c:v>
                </c:pt>
                <c:pt idx="1036">
                  <c:v>4.8216639709782241</c:v>
                </c:pt>
                <c:pt idx="1037">
                  <c:v>5.0394544512391555</c:v>
                </c:pt>
                <c:pt idx="1038">
                  <c:v>3.9098970451400588</c:v>
                </c:pt>
                <c:pt idx="1039">
                  <c:v>3.8102302151901379</c:v>
                </c:pt>
                <c:pt idx="1040">
                  <c:v>5.3458376692333625</c:v>
                </c:pt>
                <c:pt idx="1041">
                  <c:v>5.829406362694094</c:v>
                </c:pt>
                <c:pt idx="1042">
                  <c:v>6.719025104098943</c:v>
                </c:pt>
                <c:pt idx="1043">
                  <c:v>6.8740623951321549</c:v>
                </c:pt>
                <c:pt idx="1044">
                  <c:v>7.3687051808095454</c:v>
                </c:pt>
                <c:pt idx="1045">
                  <c:v>4.8032071506171237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5A-46EB-97A0-CBC0F9DD808E}"/>
            </c:ext>
          </c:extLst>
        </c:ser>
        <c:ser>
          <c:idx val="2"/>
          <c:order val="2"/>
          <c:tx>
            <c:v>PM10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Correction!$A$1:$A$1046</c:f>
              <c:strCache>
                <c:ptCount val="1046"/>
                <c:pt idx="0">
                  <c:v>Corrigé</c:v>
                </c:pt>
                <c:pt idx="1">
                  <c:v>26/01/2026 16:00</c:v>
                </c:pt>
                <c:pt idx="2">
                  <c:v>26/01/2026 16:15</c:v>
                </c:pt>
                <c:pt idx="3">
                  <c:v>26/01/2026 16:30</c:v>
                </c:pt>
                <c:pt idx="4">
                  <c:v>26/01/2026 16:45</c:v>
                </c:pt>
                <c:pt idx="5">
                  <c:v>26/01/2026 17:00</c:v>
                </c:pt>
                <c:pt idx="6">
                  <c:v>26/01/2026 17:15</c:v>
                </c:pt>
                <c:pt idx="7">
                  <c:v>26/01/2026 17:30</c:v>
                </c:pt>
                <c:pt idx="8">
                  <c:v>26/01/2026 17:45</c:v>
                </c:pt>
                <c:pt idx="9">
                  <c:v>26/01/2026 18:00</c:v>
                </c:pt>
                <c:pt idx="10">
                  <c:v>26/01/2026 18:15</c:v>
                </c:pt>
                <c:pt idx="11">
                  <c:v>26/01/2026 18:30</c:v>
                </c:pt>
                <c:pt idx="12">
                  <c:v>26/01/2026 18:45</c:v>
                </c:pt>
                <c:pt idx="13">
                  <c:v>26/01/2026 19:00</c:v>
                </c:pt>
                <c:pt idx="14">
                  <c:v>26/01/2026 19:15</c:v>
                </c:pt>
                <c:pt idx="15">
                  <c:v>26/01/2026 19:30</c:v>
                </c:pt>
                <c:pt idx="16">
                  <c:v>26/01/2026 19:45</c:v>
                </c:pt>
                <c:pt idx="17">
                  <c:v>26/01/2026 20:00</c:v>
                </c:pt>
                <c:pt idx="18">
                  <c:v>26/01/2026 20:15</c:v>
                </c:pt>
                <c:pt idx="19">
                  <c:v>26/01/2026 20:30</c:v>
                </c:pt>
                <c:pt idx="20">
                  <c:v>26/01/2026 20:45</c:v>
                </c:pt>
                <c:pt idx="21">
                  <c:v>26/01/2026 21:00</c:v>
                </c:pt>
                <c:pt idx="22">
                  <c:v>26/01/2026 21:15</c:v>
                </c:pt>
                <c:pt idx="23">
                  <c:v>26/01/2026 21:30</c:v>
                </c:pt>
                <c:pt idx="24">
                  <c:v>26/01/2026 21:45</c:v>
                </c:pt>
                <c:pt idx="25">
                  <c:v>26/01/2026 22:00</c:v>
                </c:pt>
                <c:pt idx="26">
                  <c:v>26/01/2026 22:15</c:v>
                </c:pt>
                <c:pt idx="27">
                  <c:v>26/01/2026 22:30</c:v>
                </c:pt>
                <c:pt idx="28">
                  <c:v>26/01/2026 22:45</c:v>
                </c:pt>
                <c:pt idx="29">
                  <c:v>26/01/2026 23:00</c:v>
                </c:pt>
                <c:pt idx="30">
                  <c:v>26/01/2026 23:15</c:v>
                </c:pt>
                <c:pt idx="31">
                  <c:v>26/01/2026 23:30</c:v>
                </c:pt>
                <c:pt idx="32">
                  <c:v>26/01/2026 23:45</c:v>
                </c:pt>
                <c:pt idx="33">
                  <c:v>26/01/2026 24:00</c:v>
                </c:pt>
                <c:pt idx="34">
                  <c:v>27/01/2026 00:15</c:v>
                </c:pt>
                <c:pt idx="35">
                  <c:v>27/01/2026 00:30</c:v>
                </c:pt>
                <c:pt idx="36">
                  <c:v>27/01/2026 00:45</c:v>
                </c:pt>
                <c:pt idx="37">
                  <c:v>27/01/2026 01:00</c:v>
                </c:pt>
                <c:pt idx="38">
                  <c:v>27/01/2026 01:15</c:v>
                </c:pt>
                <c:pt idx="39">
                  <c:v>27/01/2026 01:30</c:v>
                </c:pt>
                <c:pt idx="40">
                  <c:v>27/01/2026 01:45</c:v>
                </c:pt>
                <c:pt idx="41">
                  <c:v>27/01/2026 02:00</c:v>
                </c:pt>
                <c:pt idx="42">
                  <c:v>27/01/2026 02:15</c:v>
                </c:pt>
                <c:pt idx="43">
                  <c:v>27/01/2026 02:30</c:v>
                </c:pt>
                <c:pt idx="44">
                  <c:v>27/01/2026 02:45</c:v>
                </c:pt>
                <c:pt idx="45">
                  <c:v>27/01/2026 03:00</c:v>
                </c:pt>
                <c:pt idx="46">
                  <c:v>27/01/2026 03:15</c:v>
                </c:pt>
                <c:pt idx="47">
                  <c:v>27/01/2026 03:30</c:v>
                </c:pt>
                <c:pt idx="48">
                  <c:v>27/01/2026 03:45</c:v>
                </c:pt>
                <c:pt idx="49">
                  <c:v>27/01/2026 04:00</c:v>
                </c:pt>
                <c:pt idx="50">
                  <c:v>27/01/2026 04:15</c:v>
                </c:pt>
                <c:pt idx="51">
                  <c:v>27/01/2026 04:30</c:v>
                </c:pt>
                <c:pt idx="52">
                  <c:v>27/01/2026 04:45</c:v>
                </c:pt>
                <c:pt idx="53">
                  <c:v>27/01/2026 05:00</c:v>
                </c:pt>
                <c:pt idx="54">
                  <c:v>27/01/2026 05:15</c:v>
                </c:pt>
                <c:pt idx="55">
                  <c:v>27/01/2026 05:30</c:v>
                </c:pt>
                <c:pt idx="56">
                  <c:v>27/01/2026 05:45</c:v>
                </c:pt>
                <c:pt idx="57">
                  <c:v>27/01/2026 06:00</c:v>
                </c:pt>
                <c:pt idx="58">
                  <c:v>27/01/2026 06:15</c:v>
                </c:pt>
                <c:pt idx="59">
                  <c:v>27/01/2026 06:30</c:v>
                </c:pt>
                <c:pt idx="60">
                  <c:v>27/01/2026 06:45</c:v>
                </c:pt>
                <c:pt idx="61">
                  <c:v>27/01/2026 07:00</c:v>
                </c:pt>
                <c:pt idx="62">
                  <c:v>27/01/2026 07:15</c:v>
                </c:pt>
                <c:pt idx="63">
                  <c:v>27/01/2026 07:30</c:v>
                </c:pt>
                <c:pt idx="64">
                  <c:v>27/01/2026 07:45</c:v>
                </c:pt>
                <c:pt idx="65">
                  <c:v>27/01/2026 08:00</c:v>
                </c:pt>
                <c:pt idx="66">
                  <c:v>27/01/2026 08:15</c:v>
                </c:pt>
                <c:pt idx="67">
                  <c:v>27/01/2026 08:30</c:v>
                </c:pt>
                <c:pt idx="68">
                  <c:v>27/01/2026 08:45</c:v>
                </c:pt>
                <c:pt idx="69">
                  <c:v>27/01/2026 09:00</c:v>
                </c:pt>
                <c:pt idx="70">
                  <c:v>27/01/2026 09:15</c:v>
                </c:pt>
                <c:pt idx="71">
                  <c:v>27/01/2026 09:30</c:v>
                </c:pt>
                <c:pt idx="72">
                  <c:v>27/01/2026 09:45</c:v>
                </c:pt>
                <c:pt idx="73">
                  <c:v>27/01/2026 10:00</c:v>
                </c:pt>
                <c:pt idx="74">
                  <c:v>27/01/2026 10:15</c:v>
                </c:pt>
                <c:pt idx="75">
                  <c:v>27/01/2026 10:30</c:v>
                </c:pt>
                <c:pt idx="76">
                  <c:v>27/01/2026 10:45</c:v>
                </c:pt>
                <c:pt idx="77">
                  <c:v>27/01/2026 11:00</c:v>
                </c:pt>
                <c:pt idx="78">
                  <c:v>27/01/2026 11:15</c:v>
                </c:pt>
                <c:pt idx="79">
                  <c:v>27/01/2026 11:30</c:v>
                </c:pt>
                <c:pt idx="80">
                  <c:v>27/01/2026 11:45</c:v>
                </c:pt>
                <c:pt idx="81">
                  <c:v>27/01/2026 12:00</c:v>
                </c:pt>
                <c:pt idx="82">
                  <c:v>27/01/2026 12:15</c:v>
                </c:pt>
                <c:pt idx="83">
                  <c:v>27/01/2026 12:30</c:v>
                </c:pt>
                <c:pt idx="84">
                  <c:v>27/01/2026 12:45</c:v>
                </c:pt>
                <c:pt idx="85">
                  <c:v>27/01/2026 13:00</c:v>
                </c:pt>
                <c:pt idx="86">
                  <c:v>27/01/2026 13:15</c:v>
                </c:pt>
                <c:pt idx="87">
                  <c:v>27/01/2026 13:30</c:v>
                </c:pt>
                <c:pt idx="88">
                  <c:v>27/01/2026 13:45</c:v>
                </c:pt>
                <c:pt idx="89">
                  <c:v>27/01/2026 14:00</c:v>
                </c:pt>
                <c:pt idx="90">
                  <c:v>27/01/2026 14:15</c:v>
                </c:pt>
                <c:pt idx="91">
                  <c:v>27/01/2026 14:30</c:v>
                </c:pt>
                <c:pt idx="92">
                  <c:v>27/01/2026 14:45</c:v>
                </c:pt>
                <c:pt idx="93">
                  <c:v>27/01/2026 15:00</c:v>
                </c:pt>
                <c:pt idx="94">
                  <c:v>27/01/2026 15:15</c:v>
                </c:pt>
                <c:pt idx="95">
                  <c:v>27/01/2026 15:30</c:v>
                </c:pt>
                <c:pt idx="96">
                  <c:v>27/01/2026 15:45</c:v>
                </c:pt>
                <c:pt idx="97">
                  <c:v>27/01/2026 16:00</c:v>
                </c:pt>
                <c:pt idx="98">
                  <c:v>27/01/2026 16:15</c:v>
                </c:pt>
                <c:pt idx="99">
                  <c:v>27/01/2026 16:30</c:v>
                </c:pt>
                <c:pt idx="100">
                  <c:v>27/01/2026 16:45</c:v>
                </c:pt>
                <c:pt idx="101">
                  <c:v>27/01/2026 17:00</c:v>
                </c:pt>
                <c:pt idx="102">
                  <c:v>27/01/2026 17:15</c:v>
                </c:pt>
                <c:pt idx="103">
                  <c:v>27/01/2026 17:30</c:v>
                </c:pt>
                <c:pt idx="104">
                  <c:v>27/01/2026 17:45</c:v>
                </c:pt>
                <c:pt idx="105">
                  <c:v>27/01/2026 18:00</c:v>
                </c:pt>
                <c:pt idx="106">
                  <c:v>27/01/2026 18:15</c:v>
                </c:pt>
                <c:pt idx="107">
                  <c:v>27/01/2026 18:30</c:v>
                </c:pt>
                <c:pt idx="108">
                  <c:v>27/01/2026 18:45</c:v>
                </c:pt>
                <c:pt idx="109">
                  <c:v>27/01/2026 19:00</c:v>
                </c:pt>
                <c:pt idx="110">
                  <c:v>27/01/2026 19:15</c:v>
                </c:pt>
                <c:pt idx="111">
                  <c:v>27/01/2026 19:30</c:v>
                </c:pt>
                <c:pt idx="112">
                  <c:v>27/01/2026 19:45</c:v>
                </c:pt>
                <c:pt idx="113">
                  <c:v>27/01/2026 20:00</c:v>
                </c:pt>
                <c:pt idx="114">
                  <c:v>27/01/2026 20:15</c:v>
                </c:pt>
                <c:pt idx="115">
                  <c:v>27/01/2026 20:30</c:v>
                </c:pt>
                <c:pt idx="116">
                  <c:v>27/01/2026 20:45</c:v>
                </c:pt>
                <c:pt idx="117">
                  <c:v>27/01/2026 21:00</c:v>
                </c:pt>
                <c:pt idx="118">
                  <c:v>27/01/2026 21:15</c:v>
                </c:pt>
                <c:pt idx="119">
                  <c:v>27/01/2026 21:30</c:v>
                </c:pt>
                <c:pt idx="120">
                  <c:v>27/01/2026 21:45</c:v>
                </c:pt>
                <c:pt idx="121">
                  <c:v>27/01/2026 22:00</c:v>
                </c:pt>
                <c:pt idx="122">
                  <c:v>27/01/2026 22:15</c:v>
                </c:pt>
                <c:pt idx="123">
                  <c:v>27/01/2026 22:30</c:v>
                </c:pt>
                <c:pt idx="124">
                  <c:v>27/01/2026 22:45</c:v>
                </c:pt>
                <c:pt idx="125">
                  <c:v>27/01/2026 23:00</c:v>
                </c:pt>
                <c:pt idx="126">
                  <c:v>27/01/2026 23:15</c:v>
                </c:pt>
                <c:pt idx="127">
                  <c:v>27/01/2026 23:30</c:v>
                </c:pt>
                <c:pt idx="128">
                  <c:v>27/01/2026 23:45</c:v>
                </c:pt>
                <c:pt idx="129">
                  <c:v>27/01/2026 24:00</c:v>
                </c:pt>
                <c:pt idx="130">
                  <c:v>28/01/2026 00:15</c:v>
                </c:pt>
                <c:pt idx="131">
                  <c:v>28/01/2026 00:30</c:v>
                </c:pt>
                <c:pt idx="132">
                  <c:v>28/01/2026 00:45</c:v>
                </c:pt>
                <c:pt idx="133">
                  <c:v>28/01/2026 01:00</c:v>
                </c:pt>
                <c:pt idx="134">
                  <c:v>28/01/2026 01:15</c:v>
                </c:pt>
                <c:pt idx="135">
                  <c:v>28/01/2026 01:30</c:v>
                </c:pt>
                <c:pt idx="136">
                  <c:v>28/01/2026 01:45</c:v>
                </c:pt>
                <c:pt idx="137">
                  <c:v>28/01/2026 02:00</c:v>
                </c:pt>
                <c:pt idx="138">
                  <c:v>28/01/2026 02:15</c:v>
                </c:pt>
                <c:pt idx="139">
                  <c:v>28/01/2026 02:30</c:v>
                </c:pt>
                <c:pt idx="140">
                  <c:v>28/01/2026 02:45</c:v>
                </c:pt>
                <c:pt idx="141">
                  <c:v>28/01/2026 03:00</c:v>
                </c:pt>
                <c:pt idx="142">
                  <c:v>28/01/2026 03:15</c:v>
                </c:pt>
                <c:pt idx="143">
                  <c:v>28/01/2026 03:30</c:v>
                </c:pt>
                <c:pt idx="144">
                  <c:v>28/01/2026 03:45</c:v>
                </c:pt>
                <c:pt idx="145">
                  <c:v>28/01/2026 04:00</c:v>
                </c:pt>
                <c:pt idx="146">
                  <c:v>28/01/2026 04:15</c:v>
                </c:pt>
                <c:pt idx="147">
                  <c:v>28/01/2026 04:30</c:v>
                </c:pt>
                <c:pt idx="148">
                  <c:v>28/01/2026 04:45</c:v>
                </c:pt>
                <c:pt idx="149">
                  <c:v>28/01/2026 05:00</c:v>
                </c:pt>
                <c:pt idx="150">
                  <c:v>28/01/2026 05:15</c:v>
                </c:pt>
                <c:pt idx="151">
                  <c:v>28/01/2026 05:30</c:v>
                </c:pt>
                <c:pt idx="152">
                  <c:v>28/01/2026 05:45</c:v>
                </c:pt>
                <c:pt idx="153">
                  <c:v>28/01/2026 06:00</c:v>
                </c:pt>
                <c:pt idx="154">
                  <c:v>28/01/2026 06:15</c:v>
                </c:pt>
                <c:pt idx="155">
                  <c:v>28/01/2026 06:30</c:v>
                </c:pt>
                <c:pt idx="156">
                  <c:v>28/01/2026 06:45</c:v>
                </c:pt>
                <c:pt idx="157">
                  <c:v>28/01/2026 07:00</c:v>
                </c:pt>
                <c:pt idx="158">
                  <c:v>28/01/2026 07:15</c:v>
                </c:pt>
                <c:pt idx="159">
                  <c:v>28/01/2026 07:30</c:v>
                </c:pt>
                <c:pt idx="160">
                  <c:v>28/01/2026 07:45</c:v>
                </c:pt>
                <c:pt idx="161">
                  <c:v>28/01/2026 08:00</c:v>
                </c:pt>
                <c:pt idx="162">
                  <c:v>28/01/2026 08:15</c:v>
                </c:pt>
                <c:pt idx="163">
                  <c:v>28/01/2026 08:30</c:v>
                </c:pt>
                <c:pt idx="164">
                  <c:v>28/01/2026 08:45</c:v>
                </c:pt>
                <c:pt idx="165">
                  <c:v>28/01/2026 09:00</c:v>
                </c:pt>
                <c:pt idx="166">
                  <c:v>28/01/2026 09:15</c:v>
                </c:pt>
                <c:pt idx="167">
                  <c:v>28/01/2026 09:30</c:v>
                </c:pt>
                <c:pt idx="168">
                  <c:v>28/01/2026 09:45</c:v>
                </c:pt>
                <c:pt idx="169">
                  <c:v>28/01/2026 10:00</c:v>
                </c:pt>
                <c:pt idx="170">
                  <c:v>28/01/2026 10:15</c:v>
                </c:pt>
                <c:pt idx="171">
                  <c:v>28/01/2026 10:30</c:v>
                </c:pt>
                <c:pt idx="172">
                  <c:v>28/01/2026 10:45</c:v>
                </c:pt>
                <c:pt idx="173">
                  <c:v>28/01/2026 11:00</c:v>
                </c:pt>
                <c:pt idx="174">
                  <c:v>28/01/2026 11:15</c:v>
                </c:pt>
                <c:pt idx="175">
                  <c:v>28/01/2026 11:30</c:v>
                </c:pt>
                <c:pt idx="176">
                  <c:v>28/01/2026 11:45</c:v>
                </c:pt>
                <c:pt idx="177">
                  <c:v>28/01/2026 12:00</c:v>
                </c:pt>
                <c:pt idx="178">
                  <c:v>28/01/2026 12:15</c:v>
                </c:pt>
                <c:pt idx="179">
                  <c:v>28/01/2026 12:30</c:v>
                </c:pt>
                <c:pt idx="180">
                  <c:v>28/01/2026 12:45</c:v>
                </c:pt>
                <c:pt idx="181">
                  <c:v>28/01/2026 13:00</c:v>
                </c:pt>
                <c:pt idx="182">
                  <c:v>28/01/2026 13:15</c:v>
                </c:pt>
                <c:pt idx="183">
                  <c:v>28/01/2026 13:30</c:v>
                </c:pt>
                <c:pt idx="184">
                  <c:v>28/01/2026 13:45</c:v>
                </c:pt>
                <c:pt idx="185">
                  <c:v>28/01/2026 14:00</c:v>
                </c:pt>
                <c:pt idx="186">
                  <c:v>28/01/2026 14:15</c:v>
                </c:pt>
                <c:pt idx="187">
                  <c:v>28/01/2026 14:30</c:v>
                </c:pt>
                <c:pt idx="188">
                  <c:v>28/01/2026 14:45</c:v>
                </c:pt>
                <c:pt idx="189">
                  <c:v>28/01/2026 15:00</c:v>
                </c:pt>
                <c:pt idx="190">
                  <c:v>28/01/2026 15:15</c:v>
                </c:pt>
                <c:pt idx="191">
                  <c:v>28/01/2026 15:30</c:v>
                </c:pt>
                <c:pt idx="192">
                  <c:v>28/01/2026 15:45</c:v>
                </c:pt>
                <c:pt idx="193">
                  <c:v>28/01/2026 16:00</c:v>
                </c:pt>
                <c:pt idx="194">
                  <c:v>28/01/2026 16:15</c:v>
                </c:pt>
                <c:pt idx="195">
                  <c:v>28/01/2026 16:30</c:v>
                </c:pt>
                <c:pt idx="196">
                  <c:v>28/01/2026 16:45</c:v>
                </c:pt>
                <c:pt idx="197">
                  <c:v>28/01/2026 17:00</c:v>
                </c:pt>
                <c:pt idx="198">
                  <c:v>28/01/2026 17:15</c:v>
                </c:pt>
                <c:pt idx="199">
                  <c:v>28/01/2026 17:30</c:v>
                </c:pt>
                <c:pt idx="200">
                  <c:v>28/01/2026 17:45</c:v>
                </c:pt>
                <c:pt idx="201">
                  <c:v>28/01/2026 18:00</c:v>
                </c:pt>
                <c:pt idx="202">
                  <c:v>28/01/2026 18:15</c:v>
                </c:pt>
                <c:pt idx="203">
                  <c:v>28/01/2026 18:30</c:v>
                </c:pt>
                <c:pt idx="204">
                  <c:v>28/01/2026 18:45</c:v>
                </c:pt>
                <c:pt idx="205">
                  <c:v>28/01/2026 19:00</c:v>
                </c:pt>
                <c:pt idx="206">
                  <c:v>28/01/2026 19:15</c:v>
                </c:pt>
                <c:pt idx="207">
                  <c:v>28/01/2026 19:30</c:v>
                </c:pt>
                <c:pt idx="208">
                  <c:v>28/01/2026 19:45</c:v>
                </c:pt>
                <c:pt idx="209">
                  <c:v>28/01/2026 20:00</c:v>
                </c:pt>
                <c:pt idx="210">
                  <c:v>28/01/2026 20:15</c:v>
                </c:pt>
                <c:pt idx="211">
                  <c:v>28/01/2026 20:30</c:v>
                </c:pt>
                <c:pt idx="212">
                  <c:v>28/01/2026 20:45</c:v>
                </c:pt>
                <c:pt idx="213">
                  <c:v>28/01/2026 21:00</c:v>
                </c:pt>
                <c:pt idx="214">
                  <c:v>28/01/2026 21:15</c:v>
                </c:pt>
                <c:pt idx="215">
                  <c:v>28/01/2026 21:30</c:v>
                </c:pt>
                <c:pt idx="216">
                  <c:v>28/01/2026 21:45</c:v>
                </c:pt>
                <c:pt idx="217">
                  <c:v>28/01/2026 22:00</c:v>
                </c:pt>
                <c:pt idx="218">
                  <c:v>28/01/2026 22:15</c:v>
                </c:pt>
                <c:pt idx="219">
                  <c:v>28/01/2026 22:30</c:v>
                </c:pt>
                <c:pt idx="220">
                  <c:v>28/01/2026 22:45</c:v>
                </c:pt>
                <c:pt idx="221">
                  <c:v>28/01/2026 23:00</c:v>
                </c:pt>
                <c:pt idx="222">
                  <c:v>28/01/2026 23:15</c:v>
                </c:pt>
                <c:pt idx="223">
                  <c:v>28/01/2026 23:30</c:v>
                </c:pt>
                <c:pt idx="224">
                  <c:v>28/01/2026 23:45</c:v>
                </c:pt>
                <c:pt idx="225">
                  <c:v>28/01/2026 24:00</c:v>
                </c:pt>
                <c:pt idx="226">
                  <c:v>29/01/2026 00:15</c:v>
                </c:pt>
                <c:pt idx="227">
                  <c:v>29/01/2026 00:30</c:v>
                </c:pt>
                <c:pt idx="228">
                  <c:v>29/01/2026 00:45</c:v>
                </c:pt>
                <c:pt idx="229">
                  <c:v>29/01/2026 01:00</c:v>
                </c:pt>
                <c:pt idx="230">
                  <c:v>29/01/2026 01:15</c:v>
                </c:pt>
                <c:pt idx="231">
                  <c:v>29/01/2026 01:30</c:v>
                </c:pt>
                <c:pt idx="232">
                  <c:v>29/01/2026 01:45</c:v>
                </c:pt>
                <c:pt idx="233">
                  <c:v>29/01/2026 02:00</c:v>
                </c:pt>
                <c:pt idx="234">
                  <c:v>29/01/2026 02:15</c:v>
                </c:pt>
                <c:pt idx="235">
                  <c:v>29/01/2026 02:30</c:v>
                </c:pt>
                <c:pt idx="236">
                  <c:v>29/01/2026 02:45</c:v>
                </c:pt>
                <c:pt idx="237">
                  <c:v>29/01/2026 03:00</c:v>
                </c:pt>
                <c:pt idx="238">
                  <c:v>29/01/2026 03:15</c:v>
                </c:pt>
                <c:pt idx="239">
                  <c:v>29/01/2026 03:30</c:v>
                </c:pt>
                <c:pt idx="240">
                  <c:v>29/01/2026 03:45</c:v>
                </c:pt>
                <c:pt idx="241">
                  <c:v>29/01/2026 04:00</c:v>
                </c:pt>
                <c:pt idx="242">
                  <c:v>29/01/2026 04:15</c:v>
                </c:pt>
                <c:pt idx="243">
                  <c:v>29/01/2026 04:30</c:v>
                </c:pt>
                <c:pt idx="244">
                  <c:v>29/01/2026 04:45</c:v>
                </c:pt>
                <c:pt idx="245">
                  <c:v>29/01/2026 05:00</c:v>
                </c:pt>
                <c:pt idx="246">
                  <c:v>29/01/2026 05:15</c:v>
                </c:pt>
                <c:pt idx="247">
                  <c:v>29/01/2026 05:30</c:v>
                </c:pt>
                <c:pt idx="248">
                  <c:v>29/01/2026 05:45</c:v>
                </c:pt>
                <c:pt idx="249">
                  <c:v>29/01/2026 06:00</c:v>
                </c:pt>
                <c:pt idx="250">
                  <c:v>29/01/2026 06:15</c:v>
                </c:pt>
                <c:pt idx="251">
                  <c:v>29/01/2026 06:30</c:v>
                </c:pt>
                <c:pt idx="252">
                  <c:v>29/01/2026 06:45</c:v>
                </c:pt>
                <c:pt idx="253">
                  <c:v>29/01/2026 07:00</c:v>
                </c:pt>
                <c:pt idx="254">
                  <c:v>29/01/2026 07:15</c:v>
                </c:pt>
                <c:pt idx="255">
                  <c:v>29/01/2026 07:30</c:v>
                </c:pt>
                <c:pt idx="256">
                  <c:v>29/01/2026 07:45</c:v>
                </c:pt>
                <c:pt idx="257">
                  <c:v>29/01/2026 08:00</c:v>
                </c:pt>
                <c:pt idx="258">
                  <c:v>29/01/2026 08:15</c:v>
                </c:pt>
                <c:pt idx="259">
                  <c:v>29/01/2026 08:30</c:v>
                </c:pt>
                <c:pt idx="260">
                  <c:v>29/01/2026 08:45</c:v>
                </c:pt>
                <c:pt idx="261">
                  <c:v>29/01/2026 09:00</c:v>
                </c:pt>
                <c:pt idx="262">
                  <c:v>29/01/2026 09:15</c:v>
                </c:pt>
                <c:pt idx="263">
                  <c:v>29/01/2026 09:30</c:v>
                </c:pt>
                <c:pt idx="264">
                  <c:v>29/01/2026 09:45</c:v>
                </c:pt>
                <c:pt idx="265">
                  <c:v>29/01/2026 10:00</c:v>
                </c:pt>
                <c:pt idx="266">
                  <c:v>29/01/2026 10:15</c:v>
                </c:pt>
                <c:pt idx="267">
                  <c:v>29/01/2026 10:30</c:v>
                </c:pt>
                <c:pt idx="268">
                  <c:v>29/01/2026 10:45</c:v>
                </c:pt>
                <c:pt idx="269">
                  <c:v>29/01/2026 11:00</c:v>
                </c:pt>
                <c:pt idx="270">
                  <c:v>29/01/2026 11:15</c:v>
                </c:pt>
                <c:pt idx="271">
                  <c:v>29/01/2026 11:30</c:v>
                </c:pt>
                <c:pt idx="272">
                  <c:v>29/01/2026 11:45</c:v>
                </c:pt>
                <c:pt idx="273">
                  <c:v>29/01/2026 12:00</c:v>
                </c:pt>
                <c:pt idx="274">
                  <c:v>29/01/2026 12:15</c:v>
                </c:pt>
                <c:pt idx="275">
                  <c:v>29/01/2026 12:30</c:v>
                </c:pt>
                <c:pt idx="276">
                  <c:v>29/01/2026 12:45</c:v>
                </c:pt>
                <c:pt idx="277">
                  <c:v>29/01/2026 13:00</c:v>
                </c:pt>
                <c:pt idx="278">
                  <c:v>29/01/2026 13:15</c:v>
                </c:pt>
                <c:pt idx="279">
                  <c:v>29/01/2026 13:30</c:v>
                </c:pt>
                <c:pt idx="280">
                  <c:v>29/01/2026 13:45</c:v>
                </c:pt>
                <c:pt idx="281">
                  <c:v>29/01/2026 14:00</c:v>
                </c:pt>
                <c:pt idx="282">
                  <c:v>29/01/2026 14:15</c:v>
                </c:pt>
                <c:pt idx="283">
                  <c:v>29/01/2026 14:30</c:v>
                </c:pt>
                <c:pt idx="284">
                  <c:v>29/01/2026 14:45</c:v>
                </c:pt>
                <c:pt idx="285">
                  <c:v>29/01/2026 15:00</c:v>
                </c:pt>
                <c:pt idx="286">
                  <c:v>29/01/2026 15:15</c:v>
                </c:pt>
                <c:pt idx="287">
                  <c:v>29/01/2026 15:30</c:v>
                </c:pt>
                <c:pt idx="288">
                  <c:v>29/01/2026 15:45</c:v>
                </c:pt>
                <c:pt idx="289">
                  <c:v>29/01/2026 16:00</c:v>
                </c:pt>
                <c:pt idx="290">
                  <c:v>29/01/2026 16:15</c:v>
                </c:pt>
                <c:pt idx="291">
                  <c:v>29/01/2026 16:30</c:v>
                </c:pt>
                <c:pt idx="292">
                  <c:v>29/01/2026 16:45</c:v>
                </c:pt>
                <c:pt idx="293">
                  <c:v>29/01/2026 17:00</c:v>
                </c:pt>
                <c:pt idx="294">
                  <c:v>29/01/2026 17:15</c:v>
                </c:pt>
                <c:pt idx="295">
                  <c:v>29/01/2026 17:30</c:v>
                </c:pt>
                <c:pt idx="296">
                  <c:v>29/01/2026 17:45</c:v>
                </c:pt>
                <c:pt idx="297">
                  <c:v>29/01/2026 18:00</c:v>
                </c:pt>
                <c:pt idx="298">
                  <c:v>29/01/2026 18:15</c:v>
                </c:pt>
                <c:pt idx="299">
                  <c:v>29/01/2026 18:30</c:v>
                </c:pt>
                <c:pt idx="300">
                  <c:v>29/01/2026 18:45</c:v>
                </c:pt>
                <c:pt idx="301">
                  <c:v>29/01/2026 19:00</c:v>
                </c:pt>
                <c:pt idx="302">
                  <c:v>29/01/2026 19:15</c:v>
                </c:pt>
                <c:pt idx="303">
                  <c:v>29/01/2026 19:30</c:v>
                </c:pt>
                <c:pt idx="304">
                  <c:v>29/01/2026 19:45</c:v>
                </c:pt>
                <c:pt idx="305">
                  <c:v>29/01/2026 20:00</c:v>
                </c:pt>
                <c:pt idx="306">
                  <c:v>29/01/2026 20:15</c:v>
                </c:pt>
                <c:pt idx="307">
                  <c:v>29/01/2026 20:30</c:v>
                </c:pt>
                <c:pt idx="308">
                  <c:v>29/01/2026 20:45</c:v>
                </c:pt>
                <c:pt idx="309">
                  <c:v>29/01/2026 21:00</c:v>
                </c:pt>
                <c:pt idx="310">
                  <c:v>29/01/2026 21:15</c:v>
                </c:pt>
                <c:pt idx="311">
                  <c:v>29/01/2026 21:30</c:v>
                </c:pt>
                <c:pt idx="312">
                  <c:v>29/01/2026 21:45</c:v>
                </c:pt>
                <c:pt idx="313">
                  <c:v>29/01/2026 22:00</c:v>
                </c:pt>
                <c:pt idx="314">
                  <c:v>29/01/2026 22:15</c:v>
                </c:pt>
                <c:pt idx="315">
                  <c:v>29/01/2026 22:30</c:v>
                </c:pt>
                <c:pt idx="316">
                  <c:v>29/01/2026 22:45</c:v>
                </c:pt>
                <c:pt idx="317">
                  <c:v>29/01/2026 23:00</c:v>
                </c:pt>
                <c:pt idx="318">
                  <c:v>29/01/2026 23:15</c:v>
                </c:pt>
                <c:pt idx="319">
                  <c:v>29/01/2026 23:30</c:v>
                </c:pt>
                <c:pt idx="320">
                  <c:v>29/01/2026 23:45</c:v>
                </c:pt>
                <c:pt idx="321">
                  <c:v>29/01/2026 24:00</c:v>
                </c:pt>
                <c:pt idx="322">
                  <c:v>30/01/2026 00:15</c:v>
                </c:pt>
                <c:pt idx="323">
                  <c:v>30/01/2026 00:30</c:v>
                </c:pt>
                <c:pt idx="324">
                  <c:v>30/01/2026 00:45</c:v>
                </c:pt>
                <c:pt idx="325">
                  <c:v>30/01/2026 01:00</c:v>
                </c:pt>
                <c:pt idx="326">
                  <c:v>30/01/2026 01:15</c:v>
                </c:pt>
                <c:pt idx="327">
                  <c:v>30/01/2026 01:30</c:v>
                </c:pt>
                <c:pt idx="328">
                  <c:v>30/01/2026 01:45</c:v>
                </c:pt>
                <c:pt idx="329">
                  <c:v>30/01/2026 02:00</c:v>
                </c:pt>
                <c:pt idx="330">
                  <c:v>30/01/2026 02:15</c:v>
                </c:pt>
                <c:pt idx="331">
                  <c:v>30/01/2026 02:30</c:v>
                </c:pt>
                <c:pt idx="332">
                  <c:v>30/01/2026 02:45</c:v>
                </c:pt>
                <c:pt idx="333">
                  <c:v>30/01/2026 03:00</c:v>
                </c:pt>
                <c:pt idx="334">
                  <c:v>30/01/2026 03:15</c:v>
                </c:pt>
                <c:pt idx="335">
                  <c:v>30/01/2026 03:30</c:v>
                </c:pt>
                <c:pt idx="336">
                  <c:v>30/01/2026 03:45</c:v>
                </c:pt>
                <c:pt idx="337">
                  <c:v>30/01/2026 04:00</c:v>
                </c:pt>
                <c:pt idx="338">
                  <c:v>30/01/2026 04:15</c:v>
                </c:pt>
                <c:pt idx="339">
                  <c:v>30/01/2026 04:30</c:v>
                </c:pt>
                <c:pt idx="340">
                  <c:v>30/01/2026 04:45</c:v>
                </c:pt>
                <c:pt idx="341">
                  <c:v>30/01/2026 05:00</c:v>
                </c:pt>
                <c:pt idx="342">
                  <c:v>30/01/2026 05:15</c:v>
                </c:pt>
                <c:pt idx="343">
                  <c:v>30/01/2026 05:30</c:v>
                </c:pt>
                <c:pt idx="344">
                  <c:v>30/01/2026 05:45</c:v>
                </c:pt>
                <c:pt idx="345">
                  <c:v>30/01/2026 06:00</c:v>
                </c:pt>
                <c:pt idx="346">
                  <c:v>30/01/2026 06:15</c:v>
                </c:pt>
                <c:pt idx="347">
                  <c:v>30/01/2026 06:30</c:v>
                </c:pt>
                <c:pt idx="348">
                  <c:v>30/01/2026 06:45</c:v>
                </c:pt>
                <c:pt idx="349">
                  <c:v>30/01/2026 07:00</c:v>
                </c:pt>
                <c:pt idx="350">
                  <c:v>30/01/2026 07:15</c:v>
                </c:pt>
                <c:pt idx="351">
                  <c:v>30/01/2026 07:30</c:v>
                </c:pt>
                <c:pt idx="352">
                  <c:v>30/01/2026 07:45</c:v>
                </c:pt>
                <c:pt idx="353">
                  <c:v>30/01/2026 08:00</c:v>
                </c:pt>
                <c:pt idx="354">
                  <c:v>30/01/2026 08:15</c:v>
                </c:pt>
                <c:pt idx="355">
                  <c:v>30/01/2026 08:30</c:v>
                </c:pt>
                <c:pt idx="356">
                  <c:v>30/01/2026 08:45</c:v>
                </c:pt>
                <c:pt idx="357">
                  <c:v>30/01/2026 09:00</c:v>
                </c:pt>
                <c:pt idx="358">
                  <c:v>30/01/2026 09:15</c:v>
                </c:pt>
                <c:pt idx="359">
                  <c:v>30/01/2026 09:30</c:v>
                </c:pt>
                <c:pt idx="360">
                  <c:v>30/01/2026 09:45</c:v>
                </c:pt>
                <c:pt idx="361">
                  <c:v>30/01/2026 10:00</c:v>
                </c:pt>
                <c:pt idx="362">
                  <c:v>30/01/2026 10:15</c:v>
                </c:pt>
                <c:pt idx="363">
                  <c:v>30/01/2026 10:30</c:v>
                </c:pt>
                <c:pt idx="364">
                  <c:v>30/01/2026 10:45</c:v>
                </c:pt>
                <c:pt idx="365">
                  <c:v>30/01/2026 11:00</c:v>
                </c:pt>
                <c:pt idx="366">
                  <c:v>30/01/2026 11:15</c:v>
                </c:pt>
                <c:pt idx="367">
                  <c:v>30/01/2026 11:30</c:v>
                </c:pt>
                <c:pt idx="368">
                  <c:v>30/01/2026 11:45</c:v>
                </c:pt>
                <c:pt idx="369">
                  <c:v>30/01/2026 12:00</c:v>
                </c:pt>
                <c:pt idx="370">
                  <c:v>30/01/2026 12:15</c:v>
                </c:pt>
                <c:pt idx="371">
                  <c:v>30/01/2026 12:30</c:v>
                </c:pt>
                <c:pt idx="372">
                  <c:v>30/01/2026 12:45</c:v>
                </c:pt>
                <c:pt idx="373">
                  <c:v>30/01/2026 13:00</c:v>
                </c:pt>
                <c:pt idx="374">
                  <c:v>30/01/2026 13:15</c:v>
                </c:pt>
                <c:pt idx="375">
                  <c:v>30/01/2026 13:30</c:v>
                </c:pt>
                <c:pt idx="376">
                  <c:v>30/01/2026 13:45</c:v>
                </c:pt>
                <c:pt idx="377">
                  <c:v>30/01/2026 14:00</c:v>
                </c:pt>
                <c:pt idx="378">
                  <c:v>30/01/2026 14:15</c:v>
                </c:pt>
                <c:pt idx="379">
                  <c:v>30/01/2026 14:30</c:v>
                </c:pt>
                <c:pt idx="380">
                  <c:v>30/01/2026 14:45</c:v>
                </c:pt>
                <c:pt idx="381">
                  <c:v>30/01/2026 15:00</c:v>
                </c:pt>
                <c:pt idx="382">
                  <c:v>30/01/2026 15:15</c:v>
                </c:pt>
                <c:pt idx="383">
                  <c:v>30/01/2026 15:30</c:v>
                </c:pt>
                <c:pt idx="384">
                  <c:v>30/01/2026 15:45</c:v>
                </c:pt>
                <c:pt idx="385">
                  <c:v>30/01/2026 16:00</c:v>
                </c:pt>
                <c:pt idx="386">
                  <c:v>30/01/2026 16:15</c:v>
                </c:pt>
                <c:pt idx="387">
                  <c:v>30/01/2026 16:30</c:v>
                </c:pt>
                <c:pt idx="388">
                  <c:v>30/01/2026 16:45</c:v>
                </c:pt>
                <c:pt idx="389">
                  <c:v>30/01/2026 17:00</c:v>
                </c:pt>
                <c:pt idx="390">
                  <c:v>30/01/2026 17:15</c:v>
                </c:pt>
                <c:pt idx="391">
                  <c:v>30/01/2026 17:30</c:v>
                </c:pt>
                <c:pt idx="392">
                  <c:v>30/01/2026 17:45</c:v>
                </c:pt>
                <c:pt idx="393">
                  <c:v>30/01/2026 18:00</c:v>
                </c:pt>
                <c:pt idx="394">
                  <c:v>30/01/2026 18:15</c:v>
                </c:pt>
                <c:pt idx="395">
                  <c:v>30/01/2026 18:30</c:v>
                </c:pt>
                <c:pt idx="396">
                  <c:v>30/01/2026 18:45</c:v>
                </c:pt>
                <c:pt idx="397">
                  <c:v>30/01/2026 19:00</c:v>
                </c:pt>
                <c:pt idx="398">
                  <c:v>30/01/2026 19:15</c:v>
                </c:pt>
                <c:pt idx="399">
                  <c:v>30/01/2026 19:30</c:v>
                </c:pt>
                <c:pt idx="400">
                  <c:v>30/01/2026 19:45</c:v>
                </c:pt>
                <c:pt idx="401">
                  <c:v>30/01/2026 20:00</c:v>
                </c:pt>
                <c:pt idx="402">
                  <c:v>30/01/2026 20:15</c:v>
                </c:pt>
                <c:pt idx="403">
                  <c:v>30/01/2026 20:30</c:v>
                </c:pt>
                <c:pt idx="404">
                  <c:v>30/01/2026 20:45</c:v>
                </c:pt>
                <c:pt idx="405">
                  <c:v>30/01/2026 21:00</c:v>
                </c:pt>
                <c:pt idx="406">
                  <c:v>30/01/2026 21:15</c:v>
                </c:pt>
                <c:pt idx="407">
                  <c:v>30/01/2026 21:30</c:v>
                </c:pt>
                <c:pt idx="408">
                  <c:v>30/01/2026 21:45</c:v>
                </c:pt>
                <c:pt idx="409">
                  <c:v>30/01/2026 22:00</c:v>
                </c:pt>
                <c:pt idx="410">
                  <c:v>30/01/2026 22:15</c:v>
                </c:pt>
                <c:pt idx="411">
                  <c:v>30/01/2026 22:30</c:v>
                </c:pt>
                <c:pt idx="412">
                  <c:v>30/01/2026 22:45</c:v>
                </c:pt>
                <c:pt idx="413">
                  <c:v>30/01/2026 23:00</c:v>
                </c:pt>
                <c:pt idx="414">
                  <c:v>30/01/2026 23:15</c:v>
                </c:pt>
                <c:pt idx="415">
                  <c:v>30/01/2026 23:30</c:v>
                </c:pt>
                <c:pt idx="416">
                  <c:v>30/01/2026 23:45</c:v>
                </c:pt>
                <c:pt idx="417">
                  <c:v>30/01/2026 24:00</c:v>
                </c:pt>
                <c:pt idx="418">
                  <c:v>31/01/2026 00:15</c:v>
                </c:pt>
                <c:pt idx="419">
                  <c:v>31/01/2026 00:30</c:v>
                </c:pt>
                <c:pt idx="420">
                  <c:v>31/01/2026 00:45</c:v>
                </c:pt>
                <c:pt idx="421">
                  <c:v>31/01/2026 01:00</c:v>
                </c:pt>
                <c:pt idx="422">
                  <c:v>31/01/2026 01:15</c:v>
                </c:pt>
                <c:pt idx="423">
                  <c:v>31/01/2026 01:30</c:v>
                </c:pt>
                <c:pt idx="424">
                  <c:v>31/01/2026 01:45</c:v>
                </c:pt>
                <c:pt idx="425">
                  <c:v>31/01/2026 02:00</c:v>
                </c:pt>
                <c:pt idx="426">
                  <c:v>31/01/2026 02:15</c:v>
                </c:pt>
                <c:pt idx="427">
                  <c:v>31/01/2026 02:30</c:v>
                </c:pt>
                <c:pt idx="428">
                  <c:v>31/01/2026 02:45</c:v>
                </c:pt>
                <c:pt idx="429">
                  <c:v>31/01/2026 03:00</c:v>
                </c:pt>
                <c:pt idx="430">
                  <c:v>31/01/2026 03:15</c:v>
                </c:pt>
                <c:pt idx="431">
                  <c:v>31/01/2026 03:30</c:v>
                </c:pt>
                <c:pt idx="432">
                  <c:v>31/01/2026 03:45</c:v>
                </c:pt>
                <c:pt idx="433">
                  <c:v>31/01/2026 04:00</c:v>
                </c:pt>
                <c:pt idx="434">
                  <c:v>31/01/2026 04:15</c:v>
                </c:pt>
                <c:pt idx="435">
                  <c:v>31/01/2026 04:30</c:v>
                </c:pt>
                <c:pt idx="436">
                  <c:v>31/01/2026 04:45</c:v>
                </c:pt>
                <c:pt idx="437">
                  <c:v>31/01/2026 05:00</c:v>
                </c:pt>
                <c:pt idx="438">
                  <c:v>31/01/2026 05:15</c:v>
                </c:pt>
                <c:pt idx="439">
                  <c:v>31/01/2026 05:30</c:v>
                </c:pt>
                <c:pt idx="440">
                  <c:v>31/01/2026 05:45</c:v>
                </c:pt>
                <c:pt idx="441">
                  <c:v>31/01/2026 06:00</c:v>
                </c:pt>
                <c:pt idx="442">
                  <c:v>31/01/2026 06:15</c:v>
                </c:pt>
                <c:pt idx="443">
                  <c:v>31/01/2026 06:30</c:v>
                </c:pt>
                <c:pt idx="444">
                  <c:v>31/01/2026 06:45</c:v>
                </c:pt>
                <c:pt idx="445">
                  <c:v>31/01/2026 07:00</c:v>
                </c:pt>
                <c:pt idx="446">
                  <c:v>31/01/2026 07:15</c:v>
                </c:pt>
                <c:pt idx="447">
                  <c:v>31/01/2026 07:30</c:v>
                </c:pt>
                <c:pt idx="448">
                  <c:v>31/01/2026 07:45</c:v>
                </c:pt>
                <c:pt idx="449">
                  <c:v>31/01/2026 08:00</c:v>
                </c:pt>
                <c:pt idx="450">
                  <c:v>31/01/2026 08:15</c:v>
                </c:pt>
                <c:pt idx="451">
                  <c:v>31/01/2026 08:30</c:v>
                </c:pt>
                <c:pt idx="452">
                  <c:v>31/01/2026 08:45</c:v>
                </c:pt>
                <c:pt idx="453">
                  <c:v>31/01/2026 09:00</c:v>
                </c:pt>
                <c:pt idx="454">
                  <c:v>31/01/2026 09:15</c:v>
                </c:pt>
                <c:pt idx="455">
                  <c:v>31/01/2026 09:30</c:v>
                </c:pt>
                <c:pt idx="456">
                  <c:v>31/01/2026 09:45</c:v>
                </c:pt>
                <c:pt idx="457">
                  <c:v>31/01/2026 10:00</c:v>
                </c:pt>
                <c:pt idx="458">
                  <c:v>31/01/2026 10:15</c:v>
                </c:pt>
                <c:pt idx="459">
                  <c:v>31/01/2026 10:30</c:v>
                </c:pt>
                <c:pt idx="460">
                  <c:v>31/01/2026 10:45</c:v>
                </c:pt>
                <c:pt idx="461">
                  <c:v>31/01/2026 11:00</c:v>
                </c:pt>
                <c:pt idx="462">
                  <c:v>31/01/2026 11:15</c:v>
                </c:pt>
                <c:pt idx="463">
                  <c:v>31/01/2026 11:30</c:v>
                </c:pt>
                <c:pt idx="464">
                  <c:v>31/01/2026 11:45</c:v>
                </c:pt>
                <c:pt idx="465">
                  <c:v>31/01/2026 12:00</c:v>
                </c:pt>
                <c:pt idx="466">
                  <c:v>31/01/2026 12:15</c:v>
                </c:pt>
                <c:pt idx="467">
                  <c:v>31/01/2026 12:30</c:v>
                </c:pt>
                <c:pt idx="468">
                  <c:v>31/01/2026 12:45</c:v>
                </c:pt>
                <c:pt idx="469">
                  <c:v>31/01/2026 13:00</c:v>
                </c:pt>
                <c:pt idx="470">
                  <c:v>31/01/2026 13:15</c:v>
                </c:pt>
                <c:pt idx="471">
                  <c:v>31/01/2026 13:30</c:v>
                </c:pt>
                <c:pt idx="472">
                  <c:v>31/01/2026 13:45</c:v>
                </c:pt>
                <c:pt idx="473">
                  <c:v>31/01/2026 14:00</c:v>
                </c:pt>
                <c:pt idx="474">
                  <c:v>31/01/2026 14:15</c:v>
                </c:pt>
                <c:pt idx="475">
                  <c:v>31/01/2026 14:30</c:v>
                </c:pt>
                <c:pt idx="476">
                  <c:v>31/01/2026 14:45</c:v>
                </c:pt>
                <c:pt idx="477">
                  <c:v>31/01/2026 15:00</c:v>
                </c:pt>
                <c:pt idx="478">
                  <c:v>31/01/2026 15:15</c:v>
                </c:pt>
                <c:pt idx="479">
                  <c:v>31/01/2026 15:30</c:v>
                </c:pt>
                <c:pt idx="480">
                  <c:v>31/01/2026 15:45</c:v>
                </c:pt>
                <c:pt idx="481">
                  <c:v>31/01/2026 16:00</c:v>
                </c:pt>
                <c:pt idx="482">
                  <c:v>31/01/2026 16:15</c:v>
                </c:pt>
                <c:pt idx="483">
                  <c:v>31/01/2026 16:30</c:v>
                </c:pt>
                <c:pt idx="484">
                  <c:v>31/01/2026 16:45</c:v>
                </c:pt>
                <c:pt idx="485">
                  <c:v>31/01/2026 17:00</c:v>
                </c:pt>
                <c:pt idx="486">
                  <c:v>31/01/2026 17:15</c:v>
                </c:pt>
                <c:pt idx="487">
                  <c:v>31/01/2026 17:30</c:v>
                </c:pt>
                <c:pt idx="488">
                  <c:v>31/01/2026 17:45</c:v>
                </c:pt>
                <c:pt idx="489">
                  <c:v>31/01/2026 18:00</c:v>
                </c:pt>
                <c:pt idx="490">
                  <c:v>31/01/2026 18:15</c:v>
                </c:pt>
                <c:pt idx="491">
                  <c:v>31/01/2026 18:30</c:v>
                </c:pt>
                <c:pt idx="492">
                  <c:v>31/01/2026 18:45</c:v>
                </c:pt>
                <c:pt idx="493">
                  <c:v>31/01/2026 19:00</c:v>
                </c:pt>
                <c:pt idx="494">
                  <c:v>31/01/2026 19:15</c:v>
                </c:pt>
                <c:pt idx="495">
                  <c:v>31/01/2026 19:30</c:v>
                </c:pt>
                <c:pt idx="496">
                  <c:v>31/01/2026 19:45</c:v>
                </c:pt>
                <c:pt idx="497">
                  <c:v>31/01/2026 20:00</c:v>
                </c:pt>
                <c:pt idx="498">
                  <c:v>31/01/2026 20:15</c:v>
                </c:pt>
                <c:pt idx="499">
                  <c:v>31/01/2026 20:30</c:v>
                </c:pt>
                <c:pt idx="500">
                  <c:v>31/01/2026 20:45</c:v>
                </c:pt>
                <c:pt idx="501">
                  <c:v>31/01/2026 21:00</c:v>
                </c:pt>
                <c:pt idx="502">
                  <c:v>31/01/2026 21:15</c:v>
                </c:pt>
                <c:pt idx="503">
                  <c:v>31/01/2026 21:30</c:v>
                </c:pt>
                <c:pt idx="504">
                  <c:v>31/01/2026 21:45</c:v>
                </c:pt>
                <c:pt idx="505">
                  <c:v>31/01/2026 22:00</c:v>
                </c:pt>
                <c:pt idx="506">
                  <c:v>31/01/2026 22:15</c:v>
                </c:pt>
                <c:pt idx="507">
                  <c:v>31/01/2026 22:30</c:v>
                </c:pt>
                <c:pt idx="508">
                  <c:v>31/01/2026 22:45</c:v>
                </c:pt>
                <c:pt idx="509">
                  <c:v>31/01/2026 23:00</c:v>
                </c:pt>
                <c:pt idx="510">
                  <c:v>31/01/2026 23:15</c:v>
                </c:pt>
                <c:pt idx="511">
                  <c:v>31/01/2026 23:30</c:v>
                </c:pt>
                <c:pt idx="512">
                  <c:v>31/01/2026 23:45</c:v>
                </c:pt>
                <c:pt idx="513">
                  <c:v>31/01/2026 24:00</c:v>
                </c:pt>
                <c:pt idx="514">
                  <c:v>01/02/2026 00:15</c:v>
                </c:pt>
                <c:pt idx="515">
                  <c:v>01/02/2026 00:30</c:v>
                </c:pt>
                <c:pt idx="516">
                  <c:v>01/02/2026 00:45</c:v>
                </c:pt>
                <c:pt idx="517">
                  <c:v>01/02/2026 01:00</c:v>
                </c:pt>
                <c:pt idx="518">
                  <c:v>01/02/2026 01:15</c:v>
                </c:pt>
                <c:pt idx="519">
                  <c:v>01/02/2026 01:30</c:v>
                </c:pt>
                <c:pt idx="520">
                  <c:v>01/02/2026 01:45</c:v>
                </c:pt>
                <c:pt idx="521">
                  <c:v>01/02/2026 02:00</c:v>
                </c:pt>
                <c:pt idx="522">
                  <c:v>01/02/2026 02:15</c:v>
                </c:pt>
                <c:pt idx="523">
                  <c:v>01/02/2026 02:30</c:v>
                </c:pt>
                <c:pt idx="524">
                  <c:v>01/02/2026 02:45</c:v>
                </c:pt>
                <c:pt idx="525">
                  <c:v>01/02/2026 03:00</c:v>
                </c:pt>
                <c:pt idx="526">
                  <c:v>01/02/2026 03:15</c:v>
                </c:pt>
                <c:pt idx="527">
                  <c:v>01/02/2026 03:30</c:v>
                </c:pt>
                <c:pt idx="528">
                  <c:v>01/02/2026 03:45</c:v>
                </c:pt>
                <c:pt idx="529">
                  <c:v>01/02/2026 04:00</c:v>
                </c:pt>
                <c:pt idx="530">
                  <c:v>01/02/2026 04:15</c:v>
                </c:pt>
                <c:pt idx="531">
                  <c:v>01/02/2026 04:30</c:v>
                </c:pt>
                <c:pt idx="532">
                  <c:v>01/02/2026 04:45</c:v>
                </c:pt>
                <c:pt idx="533">
                  <c:v>01/02/2026 05:00</c:v>
                </c:pt>
                <c:pt idx="534">
                  <c:v>01/02/2026 05:15</c:v>
                </c:pt>
                <c:pt idx="535">
                  <c:v>01/02/2026 05:30</c:v>
                </c:pt>
                <c:pt idx="536">
                  <c:v>01/02/2026 05:45</c:v>
                </c:pt>
                <c:pt idx="537">
                  <c:v>01/02/2026 06:00</c:v>
                </c:pt>
                <c:pt idx="538">
                  <c:v>01/02/2026 06:15</c:v>
                </c:pt>
                <c:pt idx="539">
                  <c:v>01/02/2026 06:30</c:v>
                </c:pt>
                <c:pt idx="540">
                  <c:v>01/02/2026 06:45</c:v>
                </c:pt>
                <c:pt idx="541">
                  <c:v>01/02/2026 07:00</c:v>
                </c:pt>
                <c:pt idx="542">
                  <c:v>01/02/2026 07:15</c:v>
                </c:pt>
                <c:pt idx="543">
                  <c:v>01/02/2026 07:30</c:v>
                </c:pt>
                <c:pt idx="544">
                  <c:v>01/02/2026 07:45</c:v>
                </c:pt>
                <c:pt idx="545">
                  <c:v>01/02/2026 08:00</c:v>
                </c:pt>
                <c:pt idx="546">
                  <c:v>01/02/2026 08:15</c:v>
                </c:pt>
                <c:pt idx="547">
                  <c:v>01/02/2026 08:30</c:v>
                </c:pt>
                <c:pt idx="548">
                  <c:v>01/02/2026 08:45</c:v>
                </c:pt>
                <c:pt idx="549">
                  <c:v>01/02/2026 09:00</c:v>
                </c:pt>
                <c:pt idx="550">
                  <c:v>01/02/2026 09:15</c:v>
                </c:pt>
                <c:pt idx="551">
                  <c:v>01/02/2026 09:30</c:v>
                </c:pt>
                <c:pt idx="552">
                  <c:v>01/02/2026 09:45</c:v>
                </c:pt>
                <c:pt idx="553">
                  <c:v>01/02/2026 10:00</c:v>
                </c:pt>
                <c:pt idx="554">
                  <c:v>01/02/2026 10:15</c:v>
                </c:pt>
                <c:pt idx="555">
                  <c:v>01/02/2026 10:30</c:v>
                </c:pt>
                <c:pt idx="556">
                  <c:v>01/02/2026 10:45</c:v>
                </c:pt>
                <c:pt idx="557">
                  <c:v>01/02/2026 11:00</c:v>
                </c:pt>
                <c:pt idx="558">
                  <c:v>01/02/2026 11:15</c:v>
                </c:pt>
                <c:pt idx="559">
                  <c:v>01/02/2026 11:30</c:v>
                </c:pt>
                <c:pt idx="560">
                  <c:v>01/02/2026 11:45</c:v>
                </c:pt>
                <c:pt idx="561">
                  <c:v>01/02/2026 12:00</c:v>
                </c:pt>
                <c:pt idx="562">
                  <c:v>01/02/2026 12:15</c:v>
                </c:pt>
                <c:pt idx="563">
                  <c:v>01/02/2026 12:30</c:v>
                </c:pt>
                <c:pt idx="564">
                  <c:v>01/02/2026 12:45</c:v>
                </c:pt>
                <c:pt idx="565">
                  <c:v>01/02/2026 13:00</c:v>
                </c:pt>
                <c:pt idx="566">
                  <c:v>01/02/2026 13:15</c:v>
                </c:pt>
                <c:pt idx="567">
                  <c:v>01/02/2026 13:30</c:v>
                </c:pt>
                <c:pt idx="568">
                  <c:v>01/02/2026 13:45</c:v>
                </c:pt>
                <c:pt idx="569">
                  <c:v>01/02/2026 14:00</c:v>
                </c:pt>
                <c:pt idx="570">
                  <c:v>01/02/2026 14:15</c:v>
                </c:pt>
                <c:pt idx="571">
                  <c:v>01/02/2026 14:30</c:v>
                </c:pt>
                <c:pt idx="572">
                  <c:v>01/02/2026 14:45</c:v>
                </c:pt>
                <c:pt idx="573">
                  <c:v>01/02/2026 15:00</c:v>
                </c:pt>
                <c:pt idx="574">
                  <c:v>01/02/2026 15:15</c:v>
                </c:pt>
                <c:pt idx="575">
                  <c:v>01/02/2026 15:30</c:v>
                </c:pt>
                <c:pt idx="576">
                  <c:v>01/02/2026 15:45</c:v>
                </c:pt>
                <c:pt idx="577">
                  <c:v>01/02/2026 16:00</c:v>
                </c:pt>
                <c:pt idx="578">
                  <c:v>01/02/2026 16:15</c:v>
                </c:pt>
                <c:pt idx="579">
                  <c:v>01/02/2026 16:30</c:v>
                </c:pt>
                <c:pt idx="580">
                  <c:v>01/02/2026 16:45</c:v>
                </c:pt>
                <c:pt idx="581">
                  <c:v>01/02/2026 17:00</c:v>
                </c:pt>
                <c:pt idx="582">
                  <c:v>01/02/2026 17:15</c:v>
                </c:pt>
                <c:pt idx="583">
                  <c:v>01/02/2026 17:30</c:v>
                </c:pt>
                <c:pt idx="584">
                  <c:v>01/02/2026 17:45</c:v>
                </c:pt>
                <c:pt idx="585">
                  <c:v>01/02/2026 18:00</c:v>
                </c:pt>
                <c:pt idx="586">
                  <c:v>01/02/2026 18:15</c:v>
                </c:pt>
                <c:pt idx="587">
                  <c:v>01/02/2026 18:30</c:v>
                </c:pt>
                <c:pt idx="588">
                  <c:v>01/02/2026 18:45</c:v>
                </c:pt>
                <c:pt idx="589">
                  <c:v>01/02/2026 19:00</c:v>
                </c:pt>
                <c:pt idx="590">
                  <c:v>01/02/2026 19:15</c:v>
                </c:pt>
                <c:pt idx="591">
                  <c:v>01/02/2026 19:30</c:v>
                </c:pt>
                <c:pt idx="592">
                  <c:v>01/02/2026 19:45</c:v>
                </c:pt>
                <c:pt idx="593">
                  <c:v>01/02/2026 20:00</c:v>
                </c:pt>
                <c:pt idx="594">
                  <c:v>01/02/2026 20:15</c:v>
                </c:pt>
                <c:pt idx="595">
                  <c:v>01/02/2026 20:30</c:v>
                </c:pt>
                <c:pt idx="596">
                  <c:v>01/02/2026 20:45</c:v>
                </c:pt>
                <c:pt idx="597">
                  <c:v>01/02/2026 21:00</c:v>
                </c:pt>
                <c:pt idx="598">
                  <c:v>01/02/2026 21:15</c:v>
                </c:pt>
                <c:pt idx="599">
                  <c:v>01/02/2026 21:30</c:v>
                </c:pt>
                <c:pt idx="600">
                  <c:v>01/02/2026 21:45</c:v>
                </c:pt>
                <c:pt idx="601">
                  <c:v>01/02/2026 22:00</c:v>
                </c:pt>
                <c:pt idx="602">
                  <c:v>01/02/2026 22:15</c:v>
                </c:pt>
                <c:pt idx="603">
                  <c:v>01/02/2026 22:30</c:v>
                </c:pt>
                <c:pt idx="604">
                  <c:v>01/02/2026 22:45</c:v>
                </c:pt>
                <c:pt idx="605">
                  <c:v>01/02/2026 23:00</c:v>
                </c:pt>
                <c:pt idx="606">
                  <c:v>01/02/2026 23:15</c:v>
                </c:pt>
                <c:pt idx="607">
                  <c:v>01/02/2026 23:30</c:v>
                </c:pt>
                <c:pt idx="608">
                  <c:v>01/02/2026 23:45</c:v>
                </c:pt>
                <c:pt idx="609">
                  <c:v>01/02/2026 24:00</c:v>
                </c:pt>
                <c:pt idx="610">
                  <c:v>02/02/2026 00:15</c:v>
                </c:pt>
                <c:pt idx="611">
                  <c:v>02/02/2026 00:30</c:v>
                </c:pt>
                <c:pt idx="612">
                  <c:v>02/02/2026 00:45</c:v>
                </c:pt>
                <c:pt idx="613">
                  <c:v>02/02/2026 01:00</c:v>
                </c:pt>
                <c:pt idx="614">
                  <c:v>02/02/2026 01:15</c:v>
                </c:pt>
                <c:pt idx="615">
                  <c:v>02/02/2026 01:30</c:v>
                </c:pt>
                <c:pt idx="616">
                  <c:v>02/02/2026 01:45</c:v>
                </c:pt>
                <c:pt idx="617">
                  <c:v>02/02/2026 02:00</c:v>
                </c:pt>
                <c:pt idx="618">
                  <c:v>02/02/2026 02:15</c:v>
                </c:pt>
                <c:pt idx="619">
                  <c:v>02/02/2026 02:30</c:v>
                </c:pt>
                <c:pt idx="620">
                  <c:v>02/02/2026 02:45</c:v>
                </c:pt>
                <c:pt idx="621">
                  <c:v>02/02/2026 03:00</c:v>
                </c:pt>
                <c:pt idx="622">
                  <c:v>02/02/2026 03:15</c:v>
                </c:pt>
                <c:pt idx="623">
                  <c:v>02/02/2026 03:30</c:v>
                </c:pt>
                <c:pt idx="624">
                  <c:v>02/02/2026 03:45</c:v>
                </c:pt>
                <c:pt idx="625">
                  <c:v>02/02/2026 04:00</c:v>
                </c:pt>
                <c:pt idx="626">
                  <c:v>02/02/2026 04:15</c:v>
                </c:pt>
                <c:pt idx="627">
                  <c:v>02/02/2026 04:30</c:v>
                </c:pt>
                <c:pt idx="628">
                  <c:v>02/02/2026 04:45</c:v>
                </c:pt>
                <c:pt idx="629">
                  <c:v>02/02/2026 05:00</c:v>
                </c:pt>
                <c:pt idx="630">
                  <c:v>02/02/2026 05:15</c:v>
                </c:pt>
                <c:pt idx="631">
                  <c:v>02/02/2026 05:30</c:v>
                </c:pt>
                <c:pt idx="632">
                  <c:v>02/02/2026 05:45</c:v>
                </c:pt>
                <c:pt idx="633">
                  <c:v>02/02/2026 06:00</c:v>
                </c:pt>
                <c:pt idx="634">
                  <c:v>02/02/2026 06:15</c:v>
                </c:pt>
                <c:pt idx="635">
                  <c:v>02/02/2026 06:30</c:v>
                </c:pt>
                <c:pt idx="636">
                  <c:v>02/02/2026 06:45</c:v>
                </c:pt>
                <c:pt idx="637">
                  <c:v>02/02/2026 07:00</c:v>
                </c:pt>
                <c:pt idx="638">
                  <c:v>02/02/2026 07:15</c:v>
                </c:pt>
                <c:pt idx="639">
                  <c:v>02/02/2026 07:30</c:v>
                </c:pt>
                <c:pt idx="640">
                  <c:v>02/02/2026 07:45</c:v>
                </c:pt>
                <c:pt idx="641">
                  <c:v>02/02/2026 08:00</c:v>
                </c:pt>
                <c:pt idx="642">
                  <c:v>02/02/2026 08:15</c:v>
                </c:pt>
                <c:pt idx="643">
                  <c:v>02/02/2026 08:30</c:v>
                </c:pt>
                <c:pt idx="644">
                  <c:v>02/02/2026 08:45</c:v>
                </c:pt>
                <c:pt idx="645">
                  <c:v>02/02/2026 09:00</c:v>
                </c:pt>
                <c:pt idx="646">
                  <c:v>02/02/2026 09:15</c:v>
                </c:pt>
                <c:pt idx="647">
                  <c:v>02/02/2026 09:30</c:v>
                </c:pt>
                <c:pt idx="648">
                  <c:v>02/02/2026 09:45</c:v>
                </c:pt>
                <c:pt idx="649">
                  <c:v>02/02/2026 10:00</c:v>
                </c:pt>
                <c:pt idx="650">
                  <c:v>02/02/2026 10:15</c:v>
                </c:pt>
                <c:pt idx="651">
                  <c:v>02/02/2026 10:30</c:v>
                </c:pt>
                <c:pt idx="652">
                  <c:v>02/02/2026 10:45</c:v>
                </c:pt>
                <c:pt idx="653">
                  <c:v>02/02/2026 11:00</c:v>
                </c:pt>
                <c:pt idx="654">
                  <c:v>02/02/2026 11:15</c:v>
                </c:pt>
                <c:pt idx="655">
                  <c:v>02/02/2026 11:30</c:v>
                </c:pt>
                <c:pt idx="656">
                  <c:v>02/02/2026 11:45</c:v>
                </c:pt>
                <c:pt idx="657">
                  <c:v>02/02/2026 12:00</c:v>
                </c:pt>
                <c:pt idx="658">
                  <c:v>02/02/2026 12:15</c:v>
                </c:pt>
                <c:pt idx="659">
                  <c:v>02/02/2026 12:30</c:v>
                </c:pt>
                <c:pt idx="660">
                  <c:v>02/02/2026 12:45</c:v>
                </c:pt>
                <c:pt idx="661">
                  <c:v>02/02/2026 13:00</c:v>
                </c:pt>
                <c:pt idx="662">
                  <c:v>02/02/2026 13:15</c:v>
                </c:pt>
                <c:pt idx="663">
                  <c:v>02/02/2026 13:30</c:v>
                </c:pt>
                <c:pt idx="664">
                  <c:v>02/02/2026 13:45</c:v>
                </c:pt>
                <c:pt idx="665">
                  <c:v>02/02/2026 14:00</c:v>
                </c:pt>
                <c:pt idx="666">
                  <c:v>02/02/2026 14:15</c:v>
                </c:pt>
                <c:pt idx="667">
                  <c:v>02/02/2026 14:30</c:v>
                </c:pt>
                <c:pt idx="668">
                  <c:v>02/02/2026 14:45</c:v>
                </c:pt>
                <c:pt idx="669">
                  <c:v>02/02/2026 15:00</c:v>
                </c:pt>
                <c:pt idx="670">
                  <c:v>02/02/2026 15:15</c:v>
                </c:pt>
                <c:pt idx="671">
                  <c:v>02/02/2026 15:30</c:v>
                </c:pt>
                <c:pt idx="672">
                  <c:v>02/02/2026 15:45</c:v>
                </c:pt>
                <c:pt idx="673">
                  <c:v>02/02/2026 16:00</c:v>
                </c:pt>
                <c:pt idx="674">
                  <c:v>02/02/2026 16:15</c:v>
                </c:pt>
                <c:pt idx="675">
                  <c:v>02/02/2026 16:30</c:v>
                </c:pt>
                <c:pt idx="676">
                  <c:v>02/02/2026 16:45</c:v>
                </c:pt>
                <c:pt idx="677">
                  <c:v>02/02/2026 17:00</c:v>
                </c:pt>
                <c:pt idx="678">
                  <c:v>02/02/2026 17:15</c:v>
                </c:pt>
                <c:pt idx="679">
                  <c:v>02/02/2026 17:30</c:v>
                </c:pt>
                <c:pt idx="680">
                  <c:v>02/02/2026 17:45</c:v>
                </c:pt>
                <c:pt idx="681">
                  <c:v>02/02/2026 18:00</c:v>
                </c:pt>
                <c:pt idx="682">
                  <c:v>02/02/2026 18:15</c:v>
                </c:pt>
                <c:pt idx="683">
                  <c:v>02/02/2026 18:30</c:v>
                </c:pt>
                <c:pt idx="684">
                  <c:v>02/02/2026 18:45</c:v>
                </c:pt>
                <c:pt idx="685">
                  <c:v>02/02/2026 19:00</c:v>
                </c:pt>
                <c:pt idx="686">
                  <c:v>02/02/2026 19:15</c:v>
                </c:pt>
                <c:pt idx="687">
                  <c:v>02/02/2026 19:30</c:v>
                </c:pt>
                <c:pt idx="688">
                  <c:v>02/02/2026 19:45</c:v>
                </c:pt>
                <c:pt idx="689">
                  <c:v>02/02/2026 20:00</c:v>
                </c:pt>
                <c:pt idx="690">
                  <c:v>02/02/2026 20:15</c:v>
                </c:pt>
                <c:pt idx="691">
                  <c:v>02/02/2026 20:30</c:v>
                </c:pt>
                <c:pt idx="692">
                  <c:v>02/02/2026 20:45</c:v>
                </c:pt>
                <c:pt idx="693">
                  <c:v>02/02/2026 21:00</c:v>
                </c:pt>
                <c:pt idx="694">
                  <c:v>02/02/2026 21:15</c:v>
                </c:pt>
                <c:pt idx="695">
                  <c:v>02/02/2026 21:30</c:v>
                </c:pt>
                <c:pt idx="696">
                  <c:v>02/02/2026 21:45</c:v>
                </c:pt>
                <c:pt idx="697">
                  <c:v>02/02/2026 22:00</c:v>
                </c:pt>
                <c:pt idx="698">
                  <c:v>02/02/2026 22:15</c:v>
                </c:pt>
                <c:pt idx="699">
                  <c:v>02/02/2026 22:30</c:v>
                </c:pt>
                <c:pt idx="700">
                  <c:v>02/02/2026 22:45</c:v>
                </c:pt>
                <c:pt idx="701">
                  <c:v>02/02/2026 23:00</c:v>
                </c:pt>
                <c:pt idx="702">
                  <c:v>02/02/2026 23:15</c:v>
                </c:pt>
                <c:pt idx="703">
                  <c:v>02/02/2026 23:30</c:v>
                </c:pt>
                <c:pt idx="704">
                  <c:v>02/02/2026 23:45</c:v>
                </c:pt>
                <c:pt idx="705">
                  <c:v>02/02/2026 24:00</c:v>
                </c:pt>
                <c:pt idx="706">
                  <c:v>03/02/2026 00:15</c:v>
                </c:pt>
                <c:pt idx="707">
                  <c:v>03/02/2026 00:30</c:v>
                </c:pt>
                <c:pt idx="708">
                  <c:v>03/02/2026 00:45</c:v>
                </c:pt>
                <c:pt idx="709">
                  <c:v>03/02/2026 01:00</c:v>
                </c:pt>
                <c:pt idx="710">
                  <c:v>03/02/2026 01:15</c:v>
                </c:pt>
                <c:pt idx="711">
                  <c:v>03/02/2026 01:30</c:v>
                </c:pt>
                <c:pt idx="712">
                  <c:v>03/02/2026 01:45</c:v>
                </c:pt>
                <c:pt idx="713">
                  <c:v>03/02/2026 02:00</c:v>
                </c:pt>
                <c:pt idx="714">
                  <c:v>03/02/2026 02:15</c:v>
                </c:pt>
                <c:pt idx="715">
                  <c:v>03/02/2026 02:30</c:v>
                </c:pt>
                <c:pt idx="716">
                  <c:v>03/02/2026 02:45</c:v>
                </c:pt>
                <c:pt idx="717">
                  <c:v>03/02/2026 03:00</c:v>
                </c:pt>
                <c:pt idx="718">
                  <c:v>03/02/2026 03:15</c:v>
                </c:pt>
                <c:pt idx="719">
                  <c:v>03/02/2026 03:30</c:v>
                </c:pt>
                <c:pt idx="720">
                  <c:v>03/02/2026 03:45</c:v>
                </c:pt>
                <c:pt idx="721">
                  <c:v>03/02/2026 04:00</c:v>
                </c:pt>
                <c:pt idx="722">
                  <c:v>03/02/2026 04:15</c:v>
                </c:pt>
                <c:pt idx="723">
                  <c:v>03/02/2026 04:30</c:v>
                </c:pt>
                <c:pt idx="724">
                  <c:v>03/02/2026 04:45</c:v>
                </c:pt>
                <c:pt idx="725">
                  <c:v>03/02/2026 05:00</c:v>
                </c:pt>
                <c:pt idx="726">
                  <c:v>03/02/2026 05:15</c:v>
                </c:pt>
                <c:pt idx="727">
                  <c:v>03/02/2026 05:30</c:v>
                </c:pt>
                <c:pt idx="728">
                  <c:v>03/02/2026 05:45</c:v>
                </c:pt>
                <c:pt idx="729">
                  <c:v>03/02/2026 06:00</c:v>
                </c:pt>
                <c:pt idx="730">
                  <c:v>03/02/2026 06:15</c:v>
                </c:pt>
                <c:pt idx="731">
                  <c:v>03/02/2026 06:30</c:v>
                </c:pt>
                <c:pt idx="732">
                  <c:v>03/02/2026 06:45</c:v>
                </c:pt>
                <c:pt idx="733">
                  <c:v>03/02/2026 07:00</c:v>
                </c:pt>
                <c:pt idx="734">
                  <c:v>03/02/2026 07:15</c:v>
                </c:pt>
                <c:pt idx="735">
                  <c:v>03/02/2026 07:30</c:v>
                </c:pt>
                <c:pt idx="736">
                  <c:v>03/02/2026 07:45</c:v>
                </c:pt>
                <c:pt idx="737">
                  <c:v>03/02/2026 08:00</c:v>
                </c:pt>
                <c:pt idx="738">
                  <c:v>03/02/2026 08:15</c:v>
                </c:pt>
                <c:pt idx="739">
                  <c:v>03/02/2026 08:30</c:v>
                </c:pt>
                <c:pt idx="740">
                  <c:v>03/02/2026 08:45</c:v>
                </c:pt>
                <c:pt idx="741">
                  <c:v>03/02/2026 09:00</c:v>
                </c:pt>
                <c:pt idx="742">
                  <c:v>03/02/2026 09:15</c:v>
                </c:pt>
                <c:pt idx="743">
                  <c:v>03/02/2026 09:30</c:v>
                </c:pt>
                <c:pt idx="744">
                  <c:v>03/02/2026 09:45</c:v>
                </c:pt>
                <c:pt idx="745">
                  <c:v>03/02/2026 10:00</c:v>
                </c:pt>
                <c:pt idx="746">
                  <c:v>03/02/2026 10:15</c:v>
                </c:pt>
                <c:pt idx="747">
                  <c:v>03/02/2026 10:30</c:v>
                </c:pt>
                <c:pt idx="748">
                  <c:v>03/02/2026 10:45</c:v>
                </c:pt>
                <c:pt idx="749">
                  <c:v>03/02/2026 11:00</c:v>
                </c:pt>
                <c:pt idx="750">
                  <c:v>03/02/2026 11:15</c:v>
                </c:pt>
                <c:pt idx="751">
                  <c:v>03/02/2026 11:30</c:v>
                </c:pt>
                <c:pt idx="752">
                  <c:v>03/02/2026 11:45</c:v>
                </c:pt>
                <c:pt idx="753">
                  <c:v>03/02/2026 12:00</c:v>
                </c:pt>
                <c:pt idx="754">
                  <c:v>03/02/2026 12:15</c:v>
                </c:pt>
                <c:pt idx="755">
                  <c:v>03/02/2026 12:30</c:v>
                </c:pt>
                <c:pt idx="756">
                  <c:v>03/02/2026 12:45</c:v>
                </c:pt>
                <c:pt idx="757">
                  <c:v>03/02/2026 13:00</c:v>
                </c:pt>
                <c:pt idx="758">
                  <c:v>03/02/2026 13:15</c:v>
                </c:pt>
                <c:pt idx="759">
                  <c:v>03/02/2026 13:30</c:v>
                </c:pt>
                <c:pt idx="760">
                  <c:v>03/02/2026 13:45</c:v>
                </c:pt>
                <c:pt idx="761">
                  <c:v>03/02/2026 14:00</c:v>
                </c:pt>
                <c:pt idx="762">
                  <c:v>03/02/2026 14:15</c:v>
                </c:pt>
                <c:pt idx="763">
                  <c:v>03/02/2026 14:30</c:v>
                </c:pt>
                <c:pt idx="764">
                  <c:v>03/02/2026 14:45</c:v>
                </c:pt>
                <c:pt idx="765">
                  <c:v>03/02/2026 15:00</c:v>
                </c:pt>
                <c:pt idx="766">
                  <c:v>03/02/2026 15:15</c:v>
                </c:pt>
                <c:pt idx="767">
                  <c:v>03/02/2026 15:30</c:v>
                </c:pt>
                <c:pt idx="768">
                  <c:v>03/02/2026 15:45</c:v>
                </c:pt>
                <c:pt idx="769">
                  <c:v>03/02/2026 16:00</c:v>
                </c:pt>
                <c:pt idx="770">
                  <c:v>03/02/2026 16:15</c:v>
                </c:pt>
                <c:pt idx="771">
                  <c:v>03/02/2026 16:30</c:v>
                </c:pt>
                <c:pt idx="772">
                  <c:v>03/02/2026 16:45</c:v>
                </c:pt>
                <c:pt idx="773">
                  <c:v>03/02/2026 17:00</c:v>
                </c:pt>
                <c:pt idx="774">
                  <c:v>03/02/2026 17:15</c:v>
                </c:pt>
                <c:pt idx="775">
                  <c:v>03/02/2026 17:30</c:v>
                </c:pt>
                <c:pt idx="776">
                  <c:v>03/02/2026 17:45</c:v>
                </c:pt>
                <c:pt idx="777">
                  <c:v>03/02/2026 18:00</c:v>
                </c:pt>
                <c:pt idx="778">
                  <c:v>03/02/2026 18:15</c:v>
                </c:pt>
                <c:pt idx="779">
                  <c:v>03/02/2026 18:30</c:v>
                </c:pt>
                <c:pt idx="780">
                  <c:v>03/02/2026 18:45</c:v>
                </c:pt>
                <c:pt idx="781">
                  <c:v>03/02/2026 19:00</c:v>
                </c:pt>
                <c:pt idx="782">
                  <c:v>03/02/2026 19:15</c:v>
                </c:pt>
                <c:pt idx="783">
                  <c:v>03/02/2026 19:30</c:v>
                </c:pt>
                <c:pt idx="784">
                  <c:v>03/02/2026 19:45</c:v>
                </c:pt>
                <c:pt idx="785">
                  <c:v>03/02/2026 20:00</c:v>
                </c:pt>
                <c:pt idx="786">
                  <c:v>03/02/2026 20:15</c:v>
                </c:pt>
                <c:pt idx="787">
                  <c:v>03/02/2026 20:30</c:v>
                </c:pt>
                <c:pt idx="788">
                  <c:v>03/02/2026 20:45</c:v>
                </c:pt>
                <c:pt idx="789">
                  <c:v>03/02/2026 21:00</c:v>
                </c:pt>
                <c:pt idx="790">
                  <c:v>03/02/2026 21:15</c:v>
                </c:pt>
                <c:pt idx="791">
                  <c:v>03/02/2026 21:30</c:v>
                </c:pt>
                <c:pt idx="792">
                  <c:v>03/02/2026 21:45</c:v>
                </c:pt>
                <c:pt idx="793">
                  <c:v>03/02/2026 22:00</c:v>
                </c:pt>
                <c:pt idx="794">
                  <c:v>03/02/2026 22:15</c:v>
                </c:pt>
                <c:pt idx="795">
                  <c:v>03/02/2026 22:30</c:v>
                </c:pt>
                <c:pt idx="796">
                  <c:v>03/02/2026 22:45</c:v>
                </c:pt>
                <c:pt idx="797">
                  <c:v>03/02/2026 23:00</c:v>
                </c:pt>
                <c:pt idx="798">
                  <c:v>03/02/2026 23:15</c:v>
                </c:pt>
                <c:pt idx="799">
                  <c:v>03/02/2026 23:30</c:v>
                </c:pt>
                <c:pt idx="800">
                  <c:v>03/02/2026 23:45</c:v>
                </c:pt>
                <c:pt idx="801">
                  <c:v>03/02/2026 24:00</c:v>
                </c:pt>
                <c:pt idx="802">
                  <c:v>04/02/2026 00:15</c:v>
                </c:pt>
                <c:pt idx="803">
                  <c:v>04/02/2026 00:30</c:v>
                </c:pt>
                <c:pt idx="804">
                  <c:v>04/02/2026 00:45</c:v>
                </c:pt>
                <c:pt idx="805">
                  <c:v>04/02/2026 01:00</c:v>
                </c:pt>
                <c:pt idx="806">
                  <c:v>04/02/2026 01:15</c:v>
                </c:pt>
                <c:pt idx="807">
                  <c:v>04/02/2026 01:30</c:v>
                </c:pt>
                <c:pt idx="808">
                  <c:v>04/02/2026 01:45</c:v>
                </c:pt>
                <c:pt idx="809">
                  <c:v>04/02/2026 02:00</c:v>
                </c:pt>
                <c:pt idx="810">
                  <c:v>04/02/2026 02:15</c:v>
                </c:pt>
                <c:pt idx="811">
                  <c:v>04/02/2026 02:30</c:v>
                </c:pt>
                <c:pt idx="812">
                  <c:v>04/02/2026 02:45</c:v>
                </c:pt>
                <c:pt idx="813">
                  <c:v>04/02/2026 03:00</c:v>
                </c:pt>
                <c:pt idx="814">
                  <c:v>04/02/2026 03:15</c:v>
                </c:pt>
                <c:pt idx="815">
                  <c:v>04/02/2026 03:30</c:v>
                </c:pt>
                <c:pt idx="816">
                  <c:v>04/02/2026 03:45</c:v>
                </c:pt>
                <c:pt idx="817">
                  <c:v>04/02/2026 04:00</c:v>
                </c:pt>
                <c:pt idx="818">
                  <c:v>04/02/2026 04:15</c:v>
                </c:pt>
                <c:pt idx="819">
                  <c:v>04/02/2026 04:30</c:v>
                </c:pt>
                <c:pt idx="820">
                  <c:v>04/02/2026 04:45</c:v>
                </c:pt>
                <c:pt idx="821">
                  <c:v>04/02/2026 05:00</c:v>
                </c:pt>
                <c:pt idx="822">
                  <c:v>04/02/2026 05:15</c:v>
                </c:pt>
                <c:pt idx="823">
                  <c:v>04/02/2026 05:30</c:v>
                </c:pt>
                <c:pt idx="824">
                  <c:v>04/02/2026 05:45</c:v>
                </c:pt>
                <c:pt idx="825">
                  <c:v>04/02/2026 06:00</c:v>
                </c:pt>
                <c:pt idx="826">
                  <c:v>04/02/2026 06:15</c:v>
                </c:pt>
                <c:pt idx="827">
                  <c:v>04/02/2026 06:30</c:v>
                </c:pt>
                <c:pt idx="828">
                  <c:v>04/02/2026 06:45</c:v>
                </c:pt>
                <c:pt idx="829">
                  <c:v>04/02/2026 07:00</c:v>
                </c:pt>
                <c:pt idx="830">
                  <c:v>04/02/2026 07:15</c:v>
                </c:pt>
                <c:pt idx="831">
                  <c:v>04/02/2026 07:30</c:v>
                </c:pt>
                <c:pt idx="832">
                  <c:v>04/02/2026 07:45</c:v>
                </c:pt>
                <c:pt idx="833">
                  <c:v>04/02/2026 08:00</c:v>
                </c:pt>
                <c:pt idx="834">
                  <c:v>04/02/2026 08:15</c:v>
                </c:pt>
                <c:pt idx="835">
                  <c:v>04/02/2026 08:30</c:v>
                </c:pt>
                <c:pt idx="836">
                  <c:v>04/02/2026 08:45</c:v>
                </c:pt>
                <c:pt idx="837">
                  <c:v>04/02/2026 09:00</c:v>
                </c:pt>
                <c:pt idx="838">
                  <c:v>04/02/2026 09:15</c:v>
                </c:pt>
                <c:pt idx="839">
                  <c:v>04/02/2026 09:30</c:v>
                </c:pt>
                <c:pt idx="840">
                  <c:v>04/02/2026 09:45</c:v>
                </c:pt>
                <c:pt idx="841">
                  <c:v>04/02/2026 10:00</c:v>
                </c:pt>
                <c:pt idx="842">
                  <c:v>04/02/2026 10:15</c:v>
                </c:pt>
                <c:pt idx="843">
                  <c:v>04/02/2026 10:30</c:v>
                </c:pt>
                <c:pt idx="844">
                  <c:v>04/02/2026 10:45</c:v>
                </c:pt>
                <c:pt idx="845">
                  <c:v>04/02/2026 11:00</c:v>
                </c:pt>
                <c:pt idx="846">
                  <c:v>04/02/2026 11:15</c:v>
                </c:pt>
                <c:pt idx="847">
                  <c:v>04/02/2026 11:30</c:v>
                </c:pt>
                <c:pt idx="848">
                  <c:v>04/02/2026 11:45</c:v>
                </c:pt>
                <c:pt idx="849">
                  <c:v>04/02/2026 12:00</c:v>
                </c:pt>
                <c:pt idx="850">
                  <c:v>04/02/2026 12:15</c:v>
                </c:pt>
                <c:pt idx="851">
                  <c:v>04/02/2026 12:30</c:v>
                </c:pt>
                <c:pt idx="852">
                  <c:v>04/02/2026 12:45</c:v>
                </c:pt>
                <c:pt idx="853">
                  <c:v>04/02/2026 13:00</c:v>
                </c:pt>
                <c:pt idx="854">
                  <c:v>04/02/2026 13:15</c:v>
                </c:pt>
                <c:pt idx="855">
                  <c:v>04/02/2026 13:30</c:v>
                </c:pt>
                <c:pt idx="856">
                  <c:v>04/02/2026 13:45</c:v>
                </c:pt>
                <c:pt idx="857">
                  <c:v>04/02/2026 14:00</c:v>
                </c:pt>
                <c:pt idx="858">
                  <c:v>04/02/2026 14:15</c:v>
                </c:pt>
                <c:pt idx="859">
                  <c:v>04/02/2026 14:30</c:v>
                </c:pt>
                <c:pt idx="860">
                  <c:v>04/02/2026 14:45</c:v>
                </c:pt>
                <c:pt idx="861">
                  <c:v>04/02/2026 15:00</c:v>
                </c:pt>
                <c:pt idx="862">
                  <c:v>04/02/2026 15:15</c:v>
                </c:pt>
                <c:pt idx="863">
                  <c:v>04/02/2026 15:30</c:v>
                </c:pt>
                <c:pt idx="864">
                  <c:v>04/02/2026 15:45</c:v>
                </c:pt>
                <c:pt idx="865">
                  <c:v>04/02/2026 16:00</c:v>
                </c:pt>
                <c:pt idx="866">
                  <c:v>04/02/2026 16:15</c:v>
                </c:pt>
                <c:pt idx="867">
                  <c:v>04/02/2026 16:30</c:v>
                </c:pt>
                <c:pt idx="868">
                  <c:v>04/02/2026 16:45</c:v>
                </c:pt>
                <c:pt idx="869">
                  <c:v>04/02/2026 17:00</c:v>
                </c:pt>
                <c:pt idx="870">
                  <c:v>04/02/2026 17:15</c:v>
                </c:pt>
                <c:pt idx="871">
                  <c:v>04/02/2026 17:30</c:v>
                </c:pt>
                <c:pt idx="872">
                  <c:v>04/02/2026 17:45</c:v>
                </c:pt>
                <c:pt idx="873">
                  <c:v>04/02/2026 18:00</c:v>
                </c:pt>
                <c:pt idx="874">
                  <c:v>04/02/2026 18:15</c:v>
                </c:pt>
                <c:pt idx="875">
                  <c:v>04/02/2026 18:30</c:v>
                </c:pt>
                <c:pt idx="876">
                  <c:v>04/02/2026 18:45</c:v>
                </c:pt>
                <c:pt idx="877">
                  <c:v>04/02/2026 19:00</c:v>
                </c:pt>
                <c:pt idx="878">
                  <c:v>04/02/2026 19:15</c:v>
                </c:pt>
                <c:pt idx="879">
                  <c:v>04/02/2026 19:30</c:v>
                </c:pt>
                <c:pt idx="880">
                  <c:v>04/02/2026 19:45</c:v>
                </c:pt>
                <c:pt idx="881">
                  <c:v>04/02/2026 20:00</c:v>
                </c:pt>
                <c:pt idx="882">
                  <c:v>04/02/2026 20:15</c:v>
                </c:pt>
                <c:pt idx="883">
                  <c:v>04/02/2026 20:30</c:v>
                </c:pt>
                <c:pt idx="884">
                  <c:v>04/02/2026 20:45</c:v>
                </c:pt>
                <c:pt idx="885">
                  <c:v>04/02/2026 21:00</c:v>
                </c:pt>
                <c:pt idx="886">
                  <c:v>04/02/2026 21:15</c:v>
                </c:pt>
                <c:pt idx="887">
                  <c:v>04/02/2026 21:30</c:v>
                </c:pt>
                <c:pt idx="888">
                  <c:v>04/02/2026 21:45</c:v>
                </c:pt>
                <c:pt idx="889">
                  <c:v>04/02/2026 22:00</c:v>
                </c:pt>
                <c:pt idx="890">
                  <c:v>04/02/2026 22:15</c:v>
                </c:pt>
                <c:pt idx="891">
                  <c:v>04/02/2026 22:30</c:v>
                </c:pt>
                <c:pt idx="892">
                  <c:v>04/02/2026 22:45</c:v>
                </c:pt>
                <c:pt idx="893">
                  <c:v>04/02/2026 23:00</c:v>
                </c:pt>
                <c:pt idx="894">
                  <c:v>04/02/2026 23:15</c:v>
                </c:pt>
                <c:pt idx="895">
                  <c:v>04/02/2026 23:30</c:v>
                </c:pt>
                <c:pt idx="896">
                  <c:v>04/02/2026 23:45</c:v>
                </c:pt>
                <c:pt idx="897">
                  <c:v>04/02/2026 24:00</c:v>
                </c:pt>
                <c:pt idx="898">
                  <c:v>05/02/2026 00:15</c:v>
                </c:pt>
                <c:pt idx="899">
                  <c:v>05/02/2026 00:30</c:v>
                </c:pt>
                <c:pt idx="900">
                  <c:v>05/02/2026 00:45</c:v>
                </c:pt>
                <c:pt idx="901">
                  <c:v>05/02/2026 01:00</c:v>
                </c:pt>
                <c:pt idx="902">
                  <c:v>05/02/2026 01:15</c:v>
                </c:pt>
                <c:pt idx="903">
                  <c:v>05/02/2026 01:30</c:v>
                </c:pt>
                <c:pt idx="904">
                  <c:v>05/02/2026 01:45</c:v>
                </c:pt>
                <c:pt idx="905">
                  <c:v>05/02/2026 02:00</c:v>
                </c:pt>
                <c:pt idx="906">
                  <c:v>05/02/2026 02:15</c:v>
                </c:pt>
                <c:pt idx="907">
                  <c:v>05/02/2026 02:30</c:v>
                </c:pt>
                <c:pt idx="908">
                  <c:v>05/02/2026 02:45</c:v>
                </c:pt>
                <c:pt idx="909">
                  <c:v>05/02/2026 03:00</c:v>
                </c:pt>
                <c:pt idx="910">
                  <c:v>05/02/2026 03:15</c:v>
                </c:pt>
                <c:pt idx="911">
                  <c:v>05/02/2026 03:30</c:v>
                </c:pt>
                <c:pt idx="912">
                  <c:v>05/02/2026 03:45</c:v>
                </c:pt>
                <c:pt idx="913">
                  <c:v>05/02/2026 04:00</c:v>
                </c:pt>
                <c:pt idx="914">
                  <c:v>05/02/2026 04:15</c:v>
                </c:pt>
                <c:pt idx="915">
                  <c:v>05/02/2026 04:30</c:v>
                </c:pt>
                <c:pt idx="916">
                  <c:v>05/02/2026 04:45</c:v>
                </c:pt>
                <c:pt idx="917">
                  <c:v>05/02/2026 05:00</c:v>
                </c:pt>
                <c:pt idx="918">
                  <c:v>05/02/2026 05:15</c:v>
                </c:pt>
                <c:pt idx="919">
                  <c:v>05/02/2026 05:30</c:v>
                </c:pt>
                <c:pt idx="920">
                  <c:v>05/02/2026 05:45</c:v>
                </c:pt>
                <c:pt idx="921">
                  <c:v>05/02/2026 06:00</c:v>
                </c:pt>
                <c:pt idx="922">
                  <c:v>05/02/2026 06:15</c:v>
                </c:pt>
                <c:pt idx="923">
                  <c:v>05/02/2026 06:30</c:v>
                </c:pt>
                <c:pt idx="924">
                  <c:v>05/02/2026 06:45</c:v>
                </c:pt>
                <c:pt idx="925">
                  <c:v>05/02/2026 07:00</c:v>
                </c:pt>
                <c:pt idx="926">
                  <c:v>05/02/2026 07:15</c:v>
                </c:pt>
                <c:pt idx="927">
                  <c:v>05/02/2026 07:30</c:v>
                </c:pt>
                <c:pt idx="928">
                  <c:v>05/02/2026 07:45</c:v>
                </c:pt>
                <c:pt idx="929">
                  <c:v>05/02/2026 08:00</c:v>
                </c:pt>
                <c:pt idx="930">
                  <c:v>05/02/2026 08:15</c:v>
                </c:pt>
                <c:pt idx="931">
                  <c:v>05/02/2026 08:30</c:v>
                </c:pt>
                <c:pt idx="932">
                  <c:v>05/02/2026 08:45</c:v>
                </c:pt>
                <c:pt idx="933">
                  <c:v>05/02/2026 09:00</c:v>
                </c:pt>
                <c:pt idx="934">
                  <c:v>05/02/2026 09:15</c:v>
                </c:pt>
                <c:pt idx="935">
                  <c:v>05/02/2026 09:30</c:v>
                </c:pt>
                <c:pt idx="936">
                  <c:v>05/02/2026 09:45</c:v>
                </c:pt>
                <c:pt idx="937">
                  <c:v>05/02/2026 10:00</c:v>
                </c:pt>
                <c:pt idx="938">
                  <c:v>05/02/2026 10:15</c:v>
                </c:pt>
                <c:pt idx="939">
                  <c:v>05/02/2026 10:30</c:v>
                </c:pt>
                <c:pt idx="940">
                  <c:v>05/02/2026 10:45</c:v>
                </c:pt>
                <c:pt idx="941">
                  <c:v>05/02/2026 11:00</c:v>
                </c:pt>
                <c:pt idx="942">
                  <c:v>05/02/2026 11:15</c:v>
                </c:pt>
                <c:pt idx="943">
                  <c:v>05/02/2026 11:30</c:v>
                </c:pt>
                <c:pt idx="944">
                  <c:v>05/02/2026 11:45</c:v>
                </c:pt>
                <c:pt idx="945">
                  <c:v>05/02/2026 12:00</c:v>
                </c:pt>
                <c:pt idx="946">
                  <c:v>05/02/2026 12:15</c:v>
                </c:pt>
                <c:pt idx="947">
                  <c:v>05/02/2026 12:30</c:v>
                </c:pt>
                <c:pt idx="948">
                  <c:v>05/02/2026 12:45</c:v>
                </c:pt>
                <c:pt idx="949">
                  <c:v>05/02/2026 13:00</c:v>
                </c:pt>
                <c:pt idx="950">
                  <c:v>05/02/2026 13:15</c:v>
                </c:pt>
                <c:pt idx="951">
                  <c:v>05/02/2026 13:30</c:v>
                </c:pt>
                <c:pt idx="952">
                  <c:v>05/02/2026 13:45</c:v>
                </c:pt>
                <c:pt idx="953">
                  <c:v>05/02/2026 14:00</c:v>
                </c:pt>
                <c:pt idx="954">
                  <c:v>05/02/2026 14:15</c:v>
                </c:pt>
                <c:pt idx="955">
                  <c:v>05/02/2026 14:30</c:v>
                </c:pt>
                <c:pt idx="956">
                  <c:v>05/02/2026 14:45</c:v>
                </c:pt>
                <c:pt idx="957">
                  <c:v>05/02/2026 15:00</c:v>
                </c:pt>
                <c:pt idx="958">
                  <c:v>05/02/2026 15:15</c:v>
                </c:pt>
                <c:pt idx="959">
                  <c:v>05/02/2026 15:30</c:v>
                </c:pt>
                <c:pt idx="960">
                  <c:v>05/02/2026 15:45</c:v>
                </c:pt>
                <c:pt idx="961">
                  <c:v>05/02/2026 16:00</c:v>
                </c:pt>
                <c:pt idx="962">
                  <c:v>05/02/2026 16:15</c:v>
                </c:pt>
                <c:pt idx="963">
                  <c:v>05/02/2026 16:30</c:v>
                </c:pt>
                <c:pt idx="964">
                  <c:v>05/02/2026 16:45</c:v>
                </c:pt>
                <c:pt idx="965">
                  <c:v>05/02/2026 17:00</c:v>
                </c:pt>
                <c:pt idx="966">
                  <c:v>05/02/2026 17:15</c:v>
                </c:pt>
                <c:pt idx="967">
                  <c:v>05/02/2026 17:30</c:v>
                </c:pt>
                <c:pt idx="968">
                  <c:v>05/02/2026 17:45</c:v>
                </c:pt>
                <c:pt idx="969">
                  <c:v>05/02/2026 18:00</c:v>
                </c:pt>
                <c:pt idx="970">
                  <c:v>05/02/2026 18:15</c:v>
                </c:pt>
                <c:pt idx="971">
                  <c:v>05/02/2026 18:30</c:v>
                </c:pt>
                <c:pt idx="972">
                  <c:v>05/02/2026 18:45</c:v>
                </c:pt>
                <c:pt idx="973">
                  <c:v>05/02/2026 19:00</c:v>
                </c:pt>
                <c:pt idx="974">
                  <c:v>05/02/2026 19:15</c:v>
                </c:pt>
                <c:pt idx="975">
                  <c:v>05/02/2026 19:30</c:v>
                </c:pt>
                <c:pt idx="976">
                  <c:v>05/02/2026 19:45</c:v>
                </c:pt>
                <c:pt idx="977">
                  <c:v>05/02/2026 20:00</c:v>
                </c:pt>
                <c:pt idx="978">
                  <c:v>05/02/2026 20:15</c:v>
                </c:pt>
                <c:pt idx="979">
                  <c:v>05/02/2026 20:30</c:v>
                </c:pt>
                <c:pt idx="980">
                  <c:v>05/02/2026 20:45</c:v>
                </c:pt>
                <c:pt idx="981">
                  <c:v>05/02/2026 21:00</c:v>
                </c:pt>
                <c:pt idx="982">
                  <c:v>05/02/2026 21:15</c:v>
                </c:pt>
                <c:pt idx="983">
                  <c:v>05/02/2026 21:30</c:v>
                </c:pt>
                <c:pt idx="984">
                  <c:v>05/02/2026 21:45</c:v>
                </c:pt>
                <c:pt idx="985">
                  <c:v>05/02/2026 22:00</c:v>
                </c:pt>
                <c:pt idx="986">
                  <c:v>05/02/2026 22:15</c:v>
                </c:pt>
                <c:pt idx="987">
                  <c:v>05/02/2026 22:30</c:v>
                </c:pt>
                <c:pt idx="988">
                  <c:v>05/02/2026 22:45</c:v>
                </c:pt>
                <c:pt idx="989">
                  <c:v>05/02/2026 23:00</c:v>
                </c:pt>
                <c:pt idx="990">
                  <c:v>05/02/2026 23:15</c:v>
                </c:pt>
                <c:pt idx="991">
                  <c:v>05/02/2026 23:30</c:v>
                </c:pt>
                <c:pt idx="992">
                  <c:v>05/02/2026 23:45</c:v>
                </c:pt>
                <c:pt idx="993">
                  <c:v>05/02/2026 24:00</c:v>
                </c:pt>
                <c:pt idx="994">
                  <c:v>06/02/2026 00:15</c:v>
                </c:pt>
                <c:pt idx="995">
                  <c:v>06/02/2026 00:30</c:v>
                </c:pt>
                <c:pt idx="996">
                  <c:v>06/02/2026 00:45</c:v>
                </c:pt>
                <c:pt idx="997">
                  <c:v>06/02/2026 01:00</c:v>
                </c:pt>
                <c:pt idx="998">
                  <c:v>06/02/2026 01:15</c:v>
                </c:pt>
                <c:pt idx="999">
                  <c:v>06/02/2026 01:30</c:v>
                </c:pt>
                <c:pt idx="1000">
                  <c:v>06/02/2026 01:45</c:v>
                </c:pt>
                <c:pt idx="1001">
                  <c:v>06/02/2026 02:00</c:v>
                </c:pt>
                <c:pt idx="1002">
                  <c:v>06/02/2026 02:15</c:v>
                </c:pt>
                <c:pt idx="1003">
                  <c:v>06/02/2026 02:30</c:v>
                </c:pt>
                <c:pt idx="1004">
                  <c:v>06/02/2026 02:45</c:v>
                </c:pt>
                <c:pt idx="1005">
                  <c:v>06/02/2026 03:00</c:v>
                </c:pt>
                <c:pt idx="1006">
                  <c:v>06/02/2026 03:15</c:v>
                </c:pt>
                <c:pt idx="1007">
                  <c:v>06/02/2026 03:30</c:v>
                </c:pt>
                <c:pt idx="1008">
                  <c:v>06/02/2026 03:45</c:v>
                </c:pt>
                <c:pt idx="1009">
                  <c:v>06/02/2026 04:00</c:v>
                </c:pt>
                <c:pt idx="1010">
                  <c:v>06/02/2026 04:15</c:v>
                </c:pt>
                <c:pt idx="1011">
                  <c:v>06/02/2026 04:30</c:v>
                </c:pt>
                <c:pt idx="1012">
                  <c:v>06/02/2026 04:45</c:v>
                </c:pt>
                <c:pt idx="1013">
                  <c:v>06/02/2026 05:00</c:v>
                </c:pt>
                <c:pt idx="1014">
                  <c:v>06/02/2026 05:15</c:v>
                </c:pt>
                <c:pt idx="1015">
                  <c:v>06/02/2026 05:30</c:v>
                </c:pt>
                <c:pt idx="1016">
                  <c:v>06/02/2026 05:45</c:v>
                </c:pt>
                <c:pt idx="1017">
                  <c:v>06/02/2026 06:00</c:v>
                </c:pt>
                <c:pt idx="1018">
                  <c:v>06/02/2026 06:15</c:v>
                </c:pt>
                <c:pt idx="1019">
                  <c:v>06/02/2026 06:30</c:v>
                </c:pt>
                <c:pt idx="1020">
                  <c:v>06/02/2026 06:45</c:v>
                </c:pt>
                <c:pt idx="1021">
                  <c:v>06/02/2026 07:00</c:v>
                </c:pt>
                <c:pt idx="1022">
                  <c:v>06/02/2026 07:15</c:v>
                </c:pt>
                <c:pt idx="1023">
                  <c:v>06/02/2026 07:30</c:v>
                </c:pt>
                <c:pt idx="1024">
                  <c:v>06/02/2026 07:45</c:v>
                </c:pt>
                <c:pt idx="1025">
                  <c:v>06/02/2026 08:00</c:v>
                </c:pt>
                <c:pt idx="1026">
                  <c:v>06/02/2026 08:15</c:v>
                </c:pt>
                <c:pt idx="1027">
                  <c:v>06/02/2026 08:30</c:v>
                </c:pt>
                <c:pt idx="1028">
                  <c:v>06/02/2026 08:45</c:v>
                </c:pt>
                <c:pt idx="1029">
                  <c:v>06/02/2026 09:00</c:v>
                </c:pt>
                <c:pt idx="1030">
                  <c:v>06/02/2026 09:15</c:v>
                </c:pt>
                <c:pt idx="1031">
                  <c:v>06/02/2026 09:30</c:v>
                </c:pt>
                <c:pt idx="1032">
                  <c:v>06/02/2026 09:45</c:v>
                </c:pt>
                <c:pt idx="1033">
                  <c:v>06/02/2026 10:00</c:v>
                </c:pt>
                <c:pt idx="1034">
                  <c:v>06/02/2026 10:15</c:v>
                </c:pt>
                <c:pt idx="1035">
                  <c:v>06/02/2026 10:30</c:v>
                </c:pt>
                <c:pt idx="1036">
                  <c:v>06/02/2026 10:45</c:v>
                </c:pt>
                <c:pt idx="1037">
                  <c:v>06/02/2026 11:00</c:v>
                </c:pt>
                <c:pt idx="1038">
                  <c:v>06/02/2026 11:15</c:v>
                </c:pt>
                <c:pt idx="1039">
                  <c:v>06/02/2026 11:30</c:v>
                </c:pt>
                <c:pt idx="1040">
                  <c:v>06/02/2026 11:45</c:v>
                </c:pt>
                <c:pt idx="1041">
                  <c:v>06/02/2026 12:00</c:v>
                </c:pt>
                <c:pt idx="1042">
                  <c:v>06/02/2026 12:15</c:v>
                </c:pt>
                <c:pt idx="1043">
                  <c:v>06/02/2026 12:30</c:v>
                </c:pt>
                <c:pt idx="1044">
                  <c:v>06/02/2026 12:45</c:v>
                </c:pt>
                <c:pt idx="1045">
                  <c:v>06/02/2026 13:00</c:v>
                </c:pt>
              </c:strCache>
            </c:strRef>
          </c:xVal>
          <c:yVal>
            <c:numRef>
              <c:f>Correction!$D:$D</c:f>
              <c:numCache>
                <c:formatCode>General</c:formatCode>
                <c:ptCount val="1048576"/>
                <c:pt idx="0" formatCode="0.00">
                  <c:v>0</c:v>
                </c:pt>
                <c:pt idx="1">
                  <c:v>6.1668292756460676</c:v>
                </c:pt>
                <c:pt idx="2">
                  <c:v>7.1392595868034245</c:v>
                </c:pt>
                <c:pt idx="3">
                  <c:v>5.3000979113536362</c:v>
                </c:pt>
                <c:pt idx="4">
                  <c:v>5.2004389043095589</c:v>
                </c:pt>
                <c:pt idx="5">
                  <c:v>5.1068198370863378</c:v>
                </c:pt>
                <c:pt idx="6">
                  <c:v>6.450706447226163</c:v>
                </c:pt>
                <c:pt idx="7">
                  <c:v>6.5111058454346979</c:v>
                </c:pt>
                <c:pt idx="8">
                  <c:v>7.6405745919342429</c:v>
                </c:pt>
                <c:pt idx="9">
                  <c:v>8.4167068589138694</c:v>
                </c:pt>
                <c:pt idx="10">
                  <c:v>7.0184607903863645</c:v>
                </c:pt>
                <c:pt idx="11">
                  <c:v>6.9792011815508213</c:v>
                </c:pt>
                <c:pt idx="12">
                  <c:v>6.9610813620882626</c:v>
                </c:pt>
                <c:pt idx="13">
                  <c:v>7.1754992257285437</c:v>
                </c:pt>
                <c:pt idx="14">
                  <c:v>9.4012170497129368</c:v>
                </c:pt>
                <c:pt idx="15">
                  <c:v>10.116949918484035</c:v>
                </c:pt>
                <c:pt idx="16">
                  <c:v>7.9788112219020171</c:v>
                </c:pt>
                <c:pt idx="17">
                  <c:v>18.754063862304001</c:v>
                </c:pt>
                <c:pt idx="18">
                  <c:v>22.719284354694139</c:v>
                </c:pt>
                <c:pt idx="19">
                  <c:v>25.594295709420209</c:v>
                </c:pt>
                <c:pt idx="20">
                  <c:v>23.444077133196515</c:v>
                </c:pt>
                <c:pt idx="21">
                  <c:v>23.903112559581295</c:v>
                </c:pt>
                <c:pt idx="22">
                  <c:v>15.885092447398812</c:v>
                </c:pt>
                <c:pt idx="23">
                  <c:v>19.246318957703501</c:v>
                </c:pt>
                <c:pt idx="24">
                  <c:v>22.417287363651418</c:v>
                </c:pt>
                <c:pt idx="25">
                  <c:v>21.704574464790802</c:v>
                </c:pt>
                <c:pt idx="26">
                  <c:v>21.296878526883219</c:v>
                </c:pt>
                <c:pt idx="27">
                  <c:v>21.758933923178482</c:v>
                </c:pt>
                <c:pt idx="28">
                  <c:v>23.845733131283218</c:v>
                </c:pt>
                <c:pt idx="29">
                  <c:v>17.772573641415395</c:v>
                </c:pt>
                <c:pt idx="30">
                  <c:v>21.553575969269446</c:v>
                </c:pt>
                <c:pt idx="31">
                  <c:v>17.479636560104044</c:v>
                </c:pt>
                <c:pt idx="32">
                  <c:v>18.539645998663776</c:v>
                </c:pt>
                <c:pt idx="33">
                  <c:v>12.931561875001522</c:v>
                </c:pt>
                <c:pt idx="34">
                  <c:v>10.672624382002525</c:v>
                </c:pt>
                <c:pt idx="35">
                  <c:v>13.315098053625759</c:v>
                </c:pt>
                <c:pt idx="36">
                  <c:v>12.726203921092576</c:v>
                </c:pt>
                <c:pt idx="37">
                  <c:v>12.022550931963153</c:v>
                </c:pt>
                <c:pt idx="38">
                  <c:v>12.11315002927595</c:v>
                </c:pt>
                <c:pt idx="39">
                  <c:v>9.5854352142489549</c:v>
                </c:pt>
                <c:pt idx="40">
                  <c:v>8.5797852340769047</c:v>
                </c:pt>
                <c:pt idx="41">
                  <c:v>8.2415486041091306</c:v>
                </c:pt>
                <c:pt idx="42">
                  <c:v>6.329907650809103</c:v>
                </c:pt>
                <c:pt idx="43">
                  <c:v>7.1060399177887286</c:v>
                </c:pt>
                <c:pt idx="44">
                  <c:v>7.8006329971868453</c:v>
                </c:pt>
                <c:pt idx="45">
                  <c:v>6.5654653038223767</c:v>
                </c:pt>
                <c:pt idx="46">
                  <c:v>5.813492796126158</c:v>
                </c:pt>
                <c:pt idx="47">
                  <c:v>5.2729181821597972</c:v>
                </c:pt>
                <c:pt idx="48">
                  <c:v>5.0917199875342014</c:v>
                </c:pt>
                <c:pt idx="49">
                  <c:v>6.0460304792290076</c:v>
                </c:pt>
                <c:pt idx="50">
                  <c:v>5.9010719235285318</c:v>
                </c:pt>
                <c:pt idx="51">
                  <c:v>6.7617633480000983</c:v>
                </c:pt>
                <c:pt idx="52">
                  <c:v>6.3057478915256873</c:v>
                </c:pt>
                <c:pt idx="53">
                  <c:v>5.9463714721849303</c:v>
                </c:pt>
                <c:pt idx="54">
                  <c:v>7.124159737251297</c:v>
                </c:pt>
                <c:pt idx="55">
                  <c:v>6.9671213019091089</c:v>
                </c:pt>
                <c:pt idx="56">
                  <c:v>7.2842181425039003</c:v>
                </c:pt>
                <c:pt idx="57">
                  <c:v>7.9576714325290245</c:v>
                </c:pt>
                <c:pt idx="58">
                  <c:v>8.2626883934821116</c:v>
                </c:pt>
                <c:pt idx="59">
                  <c:v>8.951241533059374</c:v>
                </c:pt>
                <c:pt idx="60">
                  <c:v>6.9278616930735666</c:v>
                </c:pt>
                <c:pt idx="61">
                  <c:v>7.4472965176669357</c:v>
                </c:pt>
                <c:pt idx="62">
                  <c:v>6.8976619939692947</c:v>
                </c:pt>
                <c:pt idx="63">
                  <c:v>7.5892351034569883</c:v>
                </c:pt>
                <c:pt idx="64">
                  <c:v>6.8523624453129051</c:v>
                </c:pt>
                <c:pt idx="65">
                  <c:v>6.7949830170147942</c:v>
                </c:pt>
                <c:pt idx="66">
                  <c:v>6.3661472897342222</c:v>
                </c:pt>
                <c:pt idx="67">
                  <c:v>4.9407214920128695</c:v>
                </c:pt>
                <c:pt idx="68">
                  <c:v>4.4333665470612038</c:v>
                </c:pt>
                <c:pt idx="69">
                  <c:v>4.8440824548792252</c:v>
                </c:pt>
                <c:pt idx="70">
                  <c:v>4.5783251027616885</c:v>
                </c:pt>
                <c:pt idx="71">
                  <c:v>4.7444234478351479</c:v>
                </c:pt>
                <c:pt idx="72">
                  <c:v>4.4424264567924929</c:v>
                </c:pt>
                <c:pt idx="73">
                  <c:v>4.4575263063446195</c:v>
                </c:pt>
                <c:pt idx="74">
                  <c:v>5.0434004689673797</c:v>
                </c:pt>
                <c:pt idx="75">
                  <c:v>5.7772531572010388</c:v>
                </c:pt>
                <c:pt idx="76">
                  <c:v>5.6594743306944029</c:v>
                </c:pt>
                <c:pt idx="77">
                  <c:v>6.3540674100925099</c:v>
                </c:pt>
                <c:pt idx="78">
                  <c:v>6.7527034382688278</c:v>
                </c:pt>
                <c:pt idx="79">
                  <c:v>8.7066239703148192</c:v>
                </c:pt>
                <c:pt idx="80">
                  <c:v>7.7130538697844813</c:v>
                </c:pt>
                <c:pt idx="81">
                  <c:v>8.5405256252413615</c:v>
                </c:pt>
                <c:pt idx="82">
                  <c:v>10.183389256513419</c:v>
                </c:pt>
                <c:pt idx="83">
                  <c:v>12.566145515839937</c:v>
                </c:pt>
                <c:pt idx="84">
                  <c:v>16.33506796405231</c:v>
                </c:pt>
                <c:pt idx="85">
                  <c:v>16.588745436528143</c:v>
                </c:pt>
                <c:pt idx="86">
                  <c:v>15.90321226686128</c:v>
                </c:pt>
                <c:pt idx="87">
                  <c:v>16.347147843694078</c:v>
                </c:pt>
                <c:pt idx="88">
                  <c:v>17.171599629240443</c:v>
                </c:pt>
                <c:pt idx="89">
                  <c:v>20.097950472443891</c:v>
                </c:pt>
                <c:pt idx="90">
                  <c:v>17.020601133719175</c:v>
                </c:pt>
                <c:pt idx="91">
                  <c:v>19.161759800211591</c:v>
                </c:pt>
                <c:pt idx="92">
                  <c:v>22.752504023708859</c:v>
                </c:pt>
                <c:pt idx="93">
                  <c:v>22.652845016664777</c:v>
                </c:pt>
                <c:pt idx="94">
                  <c:v>21.369357804733454</c:v>
                </c:pt>
                <c:pt idx="95">
                  <c:v>21.786113652372322</c:v>
                </c:pt>
                <c:pt idx="96">
                  <c:v>21.728734224074245</c:v>
                </c:pt>
                <c:pt idx="97">
                  <c:v>19.101360402003124</c:v>
                </c:pt>
                <c:pt idx="98">
                  <c:v>18.741983982662326</c:v>
                </c:pt>
                <c:pt idx="99">
                  <c:v>20.418067282949082</c:v>
                </c:pt>
                <c:pt idx="100">
                  <c:v>21.097560512795063</c:v>
                </c:pt>
                <c:pt idx="101">
                  <c:v>19.031901094063279</c:v>
                </c:pt>
                <c:pt idx="102">
                  <c:v>19.309738325822551</c:v>
                </c:pt>
                <c:pt idx="103">
                  <c:v>20.122110231727241</c:v>
                </c:pt>
                <c:pt idx="104">
                  <c:v>19.949971946832932</c:v>
                </c:pt>
                <c:pt idx="105">
                  <c:v>18.467166720813445</c:v>
                </c:pt>
                <c:pt idx="106">
                  <c:v>17.648754875087874</c:v>
                </c:pt>
                <c:pt idx="107">
                  <c:v>16.467946640111109</c:v>
                </c:pt>
                <c:pt idx="108">
                  <c:v>14.797903279645151</c:v>
                </c:pt>
                <c:pt idx="109">
                  <c:v>14.689184362869794</c:v>
                </c:pt>
                <c:pt idx="110">
                  <c:v>15.730449160606199</c:v>
                </c:pt>
                <c:pt idx="111">
                  <c:v>13.142959768731444</c:v>
                </c:pt>
                <c:pt idx="112">
                  <c:v>10.612224983794</c:v>
                </c:pt>
                <c:pt idx="113">
                  <c:v>10.9911791391058</c:v>
                </c:pt>
                <c:pt idx="114">
                  <c:v>12.841255032841383</c:v>
                </c:pt>
                <c:pt idx="115">
                  <c:v>12.203749126588749</c:v>
                </c:pt>
                <c:pt idx="116">
                  <c:v>13.19127928729824</c:v>
                </c:pt>
                <c:pt idx="117">
                  <c:v>12.853042657330493</c:v>
                </c:pt>
                <c:pt idx="118">
                  <c:v>9.8693123858290512</c:v>
                </c:pt>
                <c:pt idx="119">
                  <c:v>9.8662924159186272</c:v>
                </c:pt>
                <c:pt idx="120">
                  <c:v>8.8606424357465752</c:v>
                </c:pt>
                <c:pt idx="121">
                  <c:v>8.6734043013001347</c:v>
                </c:pt>
                <c:pt idx="122">
                  <c:v>7.4684363070399273</c:v>
                </c:pt>
                <c:pt idx="123">
                  <c:v>8.344227581063631</c:v>
                </c:pt>
                <c:pt idx="124">
                  <c:v>8.4529464978389868</c:v>
                </c:pt>
                <c:pt idx="125">
                  <c:v>8.8576224658361529</c:v>
                </c:pt>
                <c:pt idx="126">
                  <c:v>8.1600094165276111</c:v>
                </c:pt>
                <c:pt idx="127">
                  <c:v>12.049730661156993</c:v>
                </c:pt>
                <c:pt idx="128">
                  <c:v>8.9119819242238307</c:v>
                </c:pt>
                <c:pt idx="129">
                  <c:v>8.4438865881077074</c:v>
                </c:pt>
                <c:pt idx="130">
                  <c:v>8.0754502590356694</c:v>
                </c:pt>
                <c:pt idx="131">
                  <c:v>9.5431556355029805</c:v>
                </c:pt>
                <c:pt idx="132">
                  <c:v>8.4076469491825883</c:v>
                </c:pt>
                <c:pt idx="133">
                  <c:v>7.8700923051266596</c:v>
                </c:pt>
                <c:pt idx="134">
                  <c:v>6.1275696668105253</c:v>
                </c:pt>
                <c:pt idx="135">
                  <c:v>5.1611792954740157</c:v>
                </c:pt>
                <c:pt idx="136">
                  <c:v>4.6749641398953337</c:v>
                </c:pt>
                <c:pt idx="137">
                  <c:v>4.0256706091536243</c:v>
                </c:pt>
                <c:pt idx="138">
                  <c:v>5.1279596264593206</c:v>
                </c:pt>
                <c:pt idx="139">
                  <c:v>5.7530933979176231</c:v>
                </c:pt>
                <c:pt idx="140">
                  <c:v>6.2332686136754489</c:v>
                </c:pt>
                <c:pt idx="141">
                  <c:v>3.7629332269465117</c:v>
                </c:pt>
                <c:pt idx="142">
                  <c:v>3.6602542499920023</c:v>
                </c:pt>
                <c:pt idx="143">
                  <c:v>3.3793970483223355</c:v>
                </c:pt>
                <c:pt idx="144">
                  <c:v>3.4971758748289723</c:v>
                </c:pt>
                <c:pt idx="145">
                  <c:v>3.4790560553664127</c:v>
                </c:pt>
                <c:pt idx="146">
                  <c:v>3.2706781315469788</c:v>
                </c:pt>
                <c:pt idx="147">
                  <c:v>3.249538342173993</c:v>
                </c:pt>
                <c:pt idx="148">
                  <c:v>3.2314185227114334</c:v>
                </c:pt>
                <c:pt idx="149">
                  <c:v>3.3642971987702031</c:v>
                </c:pt>
                <c:pt idx="150">
                  <c:v>3.5062357845602521</c:v>
                </c:pt>
                <c:pt idx="151">
                  <c:v>3.2616182218156986</c:v>
                </c:pt>
                <c:pt idx="152">
                  <c:v>3.8988318729157081</c:v>
                </c:pt>
                <c:pt idx="153">
                  <c:v>3.7961528959611983</c:v>
                </c:pt>
                <c:pt idx="154">
                  <c:v>4.046810398526608</c:v>
                </c:pt>
                <c:pt idx="155">
                  <c:v>3.5696551526792102</c:v>
                </c:pt>
                <c:pt idx="156">
                  <c:v>3.4760360854559864</c:v>
                </c:pt>
                <c:pt idx="157">
                  <c:v>4.7232836584621563</c:v>
                </c:pt>
                <c:pt idx="158">
                  <c:v>4.5179257045531545</c:v>
                </c:pt>
                <c:pt idx="159">
                  <c:v>3.6964938889171211</c:v>
                </c:pt>
                <c:pt idx="160">
                  <c:v>3.7840730163194953</c:v>
                </c:pt>
                <c:pt idx="161">
                  <c:v>3.6542143101711462</c:v>
                </c:pt>
                <c:pt idx="162">
                  <c:v>4.4967859151801708</c:v>
                </c:pt>
                <c:pt idx="163">
                  <c:v>4.7051638389996056</c:v>
                </c:pt>
                <c:pt idx="164">
                  <c:v>5.2245986635929746</c:v>
                </c:pt>
                <c:pt idx="165">
                  <c:v>5.3031178812640682</c:v>
                </c:pt>
                <c:pt idx="166">
                  <c:v>6.2272286738546025</c:v>
                </c:pt>
                <c:pt idx="167">
                  <c:v>5.5598153236503247</c:v>
                </c:pt>
                <c:pt idx="168">
                  <c:v>4.9739411610275654</c:v>
                </c:pt>
                <c:pt idx="169">
                  <c:v>5.3695572192934504</c:v>
                </c:pt>
                <c:pt idx="170">
                  <c:v>5.112859776907194</c:v>
                </c:pt>
                <c:pt idx="171">
                  <c:v>6.1124698172583898</c:v>
                </c:pt>
                <c:pt idx="172">
                  <c:v>5.1068198370863378</c:v>
                </c:pt>
                <c:pt idx="173">
                  <c:v>4.687044019537046</c:v>
                </c:pt>
                <c:pt idx="174">
                  <c:v>5.5900150227545877</c:v>
                </c:pt>
                <c:pt idx="175">
                  <c:v>6.175889185377347</c:v>
                </c:pt>
                <c:pt idx="176">
                  <c:v>6.3963469888384852</c:v>
                </c:pt>
                <c:pt idx="177">
                  <c:v>6.0460304792290076</c:v>
                </c:pt>
                <c:pt idx="178">
                  <c:v>5.8678522545138367</c:v>
                </c:pt>
                <c:pt idx="179">
                  <c:v>5.6564543607839788</c:v>
                </c:pt>
                <c:pt idx="180">
                  <c:v>5.2396985131451101</c:v>
                </c:pt>
                <c:pt idx="181">
                  <c:v>6.4929860259721384</c:v>
                </c:pt>
                <c:pt idx="182">
                  <c:v>5.146079445921881</c:v>
                </c:pt>
                <c:pt idx="183">
                  <c:v>5.4963959555313666</c:v>
                </c:pt>
                <c:pt idx="184">
                  <c:v>4.1978088940479399</c:v>
                </c:pt>
                <c:pt idx="185">
                  <c:v>4.2884079913607369</c:v>
                </c:pt>
                <c:pt idx="186">
                  <c:v>6.115489787168813</c:v>
                </c:pt>
                <c:pt idx="187">
                  <c:v>4.6810040797161898</c:v>
                </c:pt>
                <c:pt idx="188">
                  <c:v>4.7232836584621651</c:v>
                </c:pt>
                <c:pt idx="189">
                  <c:v>4.6810040797161898</c:v>
                </c:pt>
                <c:pt idx="190">
                  <c:v>5.6292746315901301</c:v>
                </c:pt>
                <c:pt idx="191">
                  <c:v>4.7867030265811223</c:v>
                </c:pt>
                <c:pt idx="192">
                  <c:v>4.777643116849843</c:v>
                </c:pt>
                <c:pt idx="193">
                  <c:v>5.873892194334692</c:v>
                </c:pt>
                <c:pt idx="194">
                  <c:v>4.8169027256853862</c:v>
                </c:pt>
                <c:pt idx="195">
                  <c:v>4.53302555410529</c:v>
                </c:pt>
                <c:pt idx="196">
                  <c:v>5.3393575201891785</c:v>
                </c:pt>
                <c:pt idx="197">
                  <c:v>5.9614713217370578</c:v>
                </c:pt>
                <c:pt idx="198">
                  <c:v>6.5292256648972575</c:v>
                </c:pt>
                <c:pt idx="199">
                  <c:v>7.0275207001176438</c:v>
                </c:pt>
                <c:pt idx="200">
                  <c:v>6.5050659056138418</c:v>
                </c:pt>
                <c:pt idx="201">
                  <c:v>7.2026789549223817</c:v>
                </c:pt>
                <c:pt idx="202">
                  <c:v>9.836092716814365</c:v>
                </c:pt>
                <c:pt idx="203">
                  <c:v>7.0335606399385</c:v>
                </c:pt>
                <c:pt idx="204">
                  <c:v>8.827422766731889</c:v>
                </c:pt>
                <c:pt idx="205">
                  <c:v>7.9033119741413467</c:v>
                </c:pt>
                <c:pt idx="206">
                  <c:v>6.0067708703934564</c:v>
                </c:pt>
                <c:pt idx="207">
                  <c:v>5.7712132173801827</c:v>
                </c:pt>
                <c:pt idx="208">
                  <c:v>5.4329765874124085</c:v>
                </c:pt>
                <c:pt idx="209">
                  <c:v>7.8368726361119645</c:v>
                </c:pt>
                <c:pt idx="210">
                  <c:v>7.667754321128073</c:v>
                </c:pt>
                <c:pt idx="211">
                  <c:v>7.9848511617228644</c:v>
                </c:pt>
                <c:pt idx="212">
                  <c:v>6.8463225054920489</c:v>
                </c:pt>
                <c:pt idx="213">
                  <c:v>7.3989769991001131</c:v>
                </c:pt>
                <c:pt idx="214">
                  <c:v>5.8316126155887176</c:v>
                </c:pt>
                <c:pt idx="215">
                  <c:v>6.2302486437650266</c:v>
                </c:pt>
                <c:pt idx="216">
                  <c:v>7.1603993761764162</c:v>
                </c:pt>
                <c:pt idx="217">
                  <c:v>5.8920120137972525</c:v>
                </c:pt>
                <c:pt idx="218">
                  <c:v>5.9705312314683372</c:v>
                </c:pt>
                <c:pt idx="219">
                  <c:v>5.6987339395299443</c:v>
                </c:pt>
                <c:pt idx="220">
                  <c:v>6.175889185377347</c:v>
                </c:pt>
                <c:pt idx="221">
                  <c:v>6.9278616930735666</c:v>
                </c:pt>
                <c:pt idx="222">
                  <c:v>6.5111058454346979</c:v>
                </c:pt>
                <c:pt idx="223">
                  <c:v>5.3091578210849155</c:v>
                </c:pt>
                <c:pt idx="224">
                  <c:v>7.5560154344422923</c:v>
                </c:pt>
                <c:pt idx="225">
                  <c:v>5.9856310810204736</c:v>
                </c:pt>
                <c:pt idx="226">
                  <c:v>5.5960549625754439</c:v>
                </c:pt>
                <c:pt idx="227">
                  <c:v>6.6500244613143185</c:v>
                </c:pt>
                <c:pt idx="228">
                  <c:v>7.9848511617228732</c:v>
                </c:pt>
                <c:pt idx="229">
                  <c:v>6.7134438294332757</c:v>
                </c:pt>
                <c:pt idx="230">
                  <c:v>5.5477354440086124</c:v>
                </c:pt>
                <c:pt idx="231">
                  <c:v>6.2755481924214251</c:v>
                </c:pt>
                <c:pt idx="232">
                  <c:v>5.9282516527223716</c:v>
                </c:pt>
                <c:pt idx="233">
                  <c:v>6.4416465374948837</c:v>
                </c:pt>
                <c:pt idx="234">
                  <c:v>8.4408666181972833</c:v>
                </c:pt>
                <c:pt idx="235">
                  <c:v>7.0184607903863645</c:v>
                </c:pt>
                <c:pt idx="236">
                  <c:v>8.7700433384337781</c:v>
                </c:pt>
                <c:pt idx="237">
                  <c:v>7.1150998275200177</c:v>
                </c:pt>
                <c:pt idx="238">
                  <c:v>7.6888941105010655</c:v>
                </c:pt>
                <c:pt idx="239">
                  <c:v>7.2962980221456029</c:v>
                </c:pt>
                <c:pt idx="240">
                  <c:v>6.4718462365991556</c:v>
                </c:pt>
                <c:pt idx="241">
                  <c:v>6.9520214523569726</c:v>
                </c:pt>
                <c:pt idx="242">
                  <c:v>6.4114468383906207</c:v>
                </c:pt>
                <c:pt idx="243">
                  <c:v>7.5590354043527155</c:v>
                </c:pt>
                <c:pt idx="244">
                  <c:v>6.7406235586271155</c:v>
                </c:pt>
                <c:pt idx="245">
                  <c:v>6.5020459357034177</c:v>
                </c:pt>
                <c:pt idx="246">
                  <c:v>7.7553334485304468</c:v>
                </c:pt>
                <c:pt idx="247">
                  <c:v>7.0154408204759404</c:v>
                </c:pt>
                <c:pt idx="248">
                  <c:v>7.0154408204759315</c:v>
                </c:pt>
                <c:pt idx="249">
                  <c:v>7.2358986239370777</c:v>
                </c:pt>
                <c:pt idx="250">
                  <c:v>7.8972720343204994</c:v>
                </c:pt>
                <c:pt idx="251">
                  <c:v>6.6288846719413357</c:v>
                </c:pt>
                <c:pt idx="252">
                  <c:v>7.9033119741413556</c:v>
                </c:pt>
                <c:pt idx="253">
                  <c:v>6.7949830170147942</c:v>
                </c:pt>
                <c:pt idx="254">
                  <c:v>7.2811981725934771</c:v>
                </c:pt>
                <c:pt idx="255">
                  <c:v>9.380077260339954</c:v>
                </c:pt>
                <c:pt idx="256">
                  <c:v>6.3933270189280611</c:v>
                </c:pt>
                <c:pt idx="257">
                  <c:v>7.5741352539048519</c:v>
                </c:pt>
                <c:pt idx="258">
                  <c:v>6.8825621444171672</c:v>
                </c:pt>
                <c:pt idx="259">
                  <c:v>7.6949340503219208</c:v>
                </c:pt>
                <c:pt idx="260">
                  <c:v>7.3113978716977392</c:v>
                </c:pt>
                <c:pt idx="261">
                  <c:v>10.107890008752758</c:v>
                </c:pt>
                <c:pt idx="262">
                  <c:v>8.3955670695408848</c:v>
                </c:pt>
                <c:pt idx="263">
                  <c:v>7.4201167884730959</c:v>
                </c:pt>
                <c:pt idx="264">
                  <c:v>7.6496345016655223</c:v>
                </c:pt>
                <c:pt idx="265">
                  <c:v>7.1603993761764162</c:v>
                </c:pt>
                <c:pt idx="266">
                  <c:v>8.6160248730020221</c:v>
                </c:pt>
                <c:pt idx="267">
                  <c:v>7.0275207001176438</c:v>
                </c:pt>
                <c:pt idx="268">
                  <c:v>7.1120798576095847</c:v>
                </c:pt>
                <c:pt idx="269">
                  <c:v>6.3540674100925099</c:v>
                </c:pt>
                <c:pt idx="270">
                  <c:v>7.335557630981155</c:v>
                </c:pt>
                <c:pt idx="271">
                  <c:v>6.3963469888384852</c:v>
                </c:pt>
                <c:pt idx="272">
                  <c:v>8.0845101687669505</c:v>
                </c:pt>
                <c:pt idx="273">
                  <c:v>7.2358986239370777</c:v>
                </c:pt>
                <c:pt idx="274">
                  <c:v>7.2509984734892043</c:v>
                </c:pt>
                <c:pt idx="275">
                  <c:v>7.486556126502478</c:v>
                </c:pt>
                <c:pt idx="276">
                  <c:v>6.2664882826901458</c:v>
                </c:pt>
                <c:pt idx="277">
                  <c:v>5.1943989644887116</c:v>
                </c:pt>
                <c:pt idx="278">
                  <c:v>6.8402825656711927</c:v>
                </c:pt>
                <c:pt idx="279">
                  <c:v>5.7017539094403773</c:v>
                </c:pt>
                <c:pt idx="280">
                  <c:v>6.5835851232849354</c:v>
                </c:pt>
                <c:pt idx="281">
                  <c:v>6.631904641851758</c:v>
                </c:pt>
                <c:pt idx="282">
                  <c:v>5.022260679594396</c:v>
                </c:pt>
                <c:pt idx="283">
                  <c:v>5.4994159254417898</c:v>
                </c:pt>
                <c:pt idx="284">
                  <c:v>5.0162207397735408</c:v>
                </c:pt>
                <c:pt idx="285">
                  <c:v>6.0822701181541179</c:v>
                </c:pt>
                <c:pt idx="286">
                  <c:v>5.2185587237721185</c:v>
                </c:pt>
                <c:pt idx="287">
                  <c:v>6.9822211514612453</c:v>
                </c:pt>
                <c:pt idx="288">
                  <c:v>5.2276186335033978</c:v>
                </c:pt>
                <c:pt idx="289">
                  <c:v>6.5896250631057836</c:v>
                </c:pt>
                <c:pt idx="290">
                  <c:v>6.3933270189280611</c:v>
                </c:pt>
                <c:pt idx="291">
                  <c:v>5.8950319837076757</c:v>
                </c:pt>
                <c:pt idx="292">
                  <c:v>7.4050169389209701</c:v>
                </c:pt>
                <c:pt idx="293">
                  <c:v>7.1483194965347039</c:v>
                </c:pt>
                <c:pt idx="294">
                  <c:v>8.1056499581399333</c:v>
                </c:pt>
                <c:pt idx="295">
                  <c:v>8.002970981185431</c:v>
                </c:pt>
                <c:pt idx="296">
                  <c:v>6.6651243108664548</c:v>
                </c:pt>
                <c:pt idx="297">
                  <c:v>7.0214807602967877</c:v>
                </c:pt>
                <c:pt idx="298">
                  <c:v>6.4476864773157399</c:v>
                </c:pt>
                <c:pt idx="299">
                  <c:v>7.6707742910385051</c:v>
                </c:pt>
                <c:pt idx="300">
                  <c:v>8.1690693262588923</c:v>
                </c:pt>
                <c:pt idx="301">
                  <c:v>12.47554641852714</c:v>
                </c:pt>
                <c:pt idx="302">
                  <c:v>20.738184093454265</c:v>
                </c:pt>
                <c:pt idx="303">
                  <c:v>15.909252206682163</c:v>
                </c:pt>
                <c:pt idx="304">
                  <c:v>8.4136868890034435</c:v>
                </c:pt>
                <c:pt idx="305">
                  <c:v>12.496686207900094</c:v>
                </c:pt>
                <c:pt idx="306">
                  <c:v>7.0607403691323389</c:v>
                </c:pt>
                <c:pt idx="307">
                  <c:v>8.3834871898991725</c:v>
                </c:pt>
                <c:pt idx="308">
                  <c:v>14.903602226510111</c:v>
                </c:pt>
                <c:pt idx="309">
                  <c:v>14.776763490272195</c:v>
                </c:pt>
                <c:pt idx="310">
                  <c:v>14.468726559408685</c:v>
                </c:pt>
                <c:pt idx="311">
                  <c:v>12.409107080497785</c:v>
                </c:pt>
                <c:pt idx="312">
                  <c:v>18.065510722726742</c:v>
                </c:pt>
                <c:pt idx="313">
                  <c:v>19.152699890480314</c:v>
                </c:pt>
                <c:pt idx="314">
                  <c:v>17.277298576105402</c:v>
                </c:pt>
                <c:pt idx="315">
                  <c:v>17.721234152938113</c:v>
                </c:pt>
                <c:pt idx="316">
                  <c:v>18.409787292515372</c:v>
                </c:pt>
                <c:pt idx="317">
                  <c:v>20.723084243902107</c:v>
                </c:pt>
                <c:pt idx="318">
                  <c:v>22.664924896306459</c:v>
                </c:pt>
                <c:pt idx="319">
                  <c:v>27.164680062842095</c:v>
                </c:pt>
                <c:pt idx="320">
                  <c:v>21.565655848911213</c:v>
                </c:pt>
                <c:pt idx="321">
                  <c:v>19.952991916743414</c:v>
                </c:pt>
                <c:pt idx="322">
                  <c:v>15.423037051103544</c:v>
                </c:pt>
                <c:pt idx="323">
                  <c:v>14.100290230336611</c:v>
                </c:pt>
                <c:pt idx="324">
                  <c:v>11.19809914641675</c:v>
                </c:pt>
                <c:pt idx="325">
                  <c:v>9.7122739504868711</c:v>
                </c:pt>
                <c:pt idx="326">
                  <c:v>12.206769096499235</c:v>
                </c:pt>
                <c:pt idx="327">
                  <c:v>18.225569127979384</c:v>
                </c:pt>
                <c:pt idx="328">
                  <c:v>10.530685796212472</c:v>
                </c:pt>
                <c:pt idx="329">
                  <c:v>12.300388163722427</c:v>
                </c:pt>
                <c:pt idx="330">
                  <c:v>10.280028293647071</c:v>
                </c:pt>
                <c:pt idx="331">
                  <c:v>11.466876468444719</c:v>
                </c:pt>
                <c:pt idx="332">
                  <c:v>8.1237697776024937</c:v>
                </c:pt>
                <c:pt idx="333">
                  <c:v>13.420797000490721</c:v>
                </c:pt>
                <c:pt idx="334">
                  <c:v>11.182999296864622</c:v>
                </c:pt>
                <c:pt idx="335">
                  <c:v>10.364587451139013</c:v>
                </c:pt>
                <c:pt idx="336">
                  <c:v>9.7605934690537026</c:v>
                </c:pt>
                <c:pt idx="337">
                  <c:v>8.5375056553309392</c:v>
                </c:pt>
                <c:pt idx="338">
                  <c:v>9.0871401790285695</c:v>
                </c:pt>
                <c:pt idx="339">
                  <c:v>9.6095949735323707</c:v>
                </c:pt>
                <c:pt idx="340">
                  <c:v>7.2660983230413407</c:v>
                </c:pt>
                <c:pt idx="341">
                  <c:v>8.5314657155100804</c:v>
                </c:pt>
                <c:pt idx="342">
                  <c:v>7.0607403691323389</c:v>
                </c:pt>
                <c:pt idx="343">
                  <c:v>7.0758402186844664</c:v>
                </c:pt>
                <c:pt idx="344">
                  <c:v>9.5793952744281086</c:v>
                </c:pt>
                <c:pt idx="345">
                  <c:v>8.4106669190930212</c:v>
                </c:pt>
                <c:pt idx="346">
                  <c:v>7.459376397308648</c:v>
                </c:pt>
                <c:pt idx="347">
                  <c:v>7.7613733883513039</c:v>
                </c:pt>
                <c:pt idx="348">
                  <c:v>5.7863130669323191</c:v>
                </c:pt>
                <c:pt idx="349">
                  <c:v>7.8429125759328207</c:v>
                </c:pt>
                <c:pt idx="350">
                  <c:v>9.0237208109096123</c:v>
                </c:pt>
                <c:pt idx="351">
                  <c:v>8.797223067627618</c:v>
                </c:pt>
                <c:pt idx="352">
                  <c:v>6.6017049427474959</c:v>
                </c:pt>
                <c:pt idx="353">
                  <c:v>8.0814901988565175</c:v>
                </c:pt>
                <c:pt idx="354">
                  <c:v>9.7938131380683906</c:v>
                </c:pt>
                <c:pt idx="355">
                  <c:v>12.602385154765056</c:v>
                </c:pt>
                <c:pt idx="356">
                  <c:v>9.0478805701930263</c:v>
                </c:pt>
                <c:pt idx="357">
                  <c:v>9.3226978320418432</c:v>
                </c:pt>
                <c:pt idx="358">
                  <c:v>9.8149529274413716</c:v>
                </c:pt>
                <c:pt idx="359">
                  <c:v>8.9965410817157725</c:v>
                </c:pt>
                <c:pt idx="360">
                  <c:v>7.4291766982043761</c:v>
                </c:pt>
                <c:pt idx="361">
                  <c:v>10.675644351912958</c:v>
                </c:pt>
                <c:pt idx="362">
                  <c:v>6.9641013319986849</c:v>
                </c:pt>
                <c:pt idx="363">
                  <c:v>7.5348756450693095</c:v>
                </c:pt>
                <c:pt idx="364">
                  <c:v>6.1215297269896691</c:v>
                </c:pt>
                <c:pt idx="365">
                  <c:v>7.3144178416081722</c:v>
                </c:pt>
                <c:pt idx="366">
                  <c:v>5.4299566175019844</c:v>
                </c:pt>
                <c:pt idx="367">
                  <c:v>6.091330027885407</c:v>
                </c:pt>
                <c:pt idx="368">
                  <c:v>5.4359965573228326</c:v>
                </c:pt>
                <c:pt idx="369">
                  <c:v>6.2634683127797128</c:v>
                </c:pt>
                <c:pt idx="370">
                  <c:v>4.8893820035356246</c:v>
                </c:pt>
                <c:pt idx="371">
                  <c:v>5.2094988140408383</c:v>
                </c:pt>
                <c:pt idx="372">
                  <c:v>6.2121288243024662</c:v>
                </c:pt>
                <c:pt idx="373">
                  <c:v>7.8338526662015413</c:v>
                </c:pt>
                <c:pt idx="374">
                  <c:v>6.695324009970717</c:v>
                </c:pt>
                <c:pt idx="375">
                  <c:v>7.5167558256067499</c:v>
                </c:pt>
                <c:pt idx="376">
                  <c:v>12.273208434528589</c:v>
                </c:pt>
                <c:pt idx="377">
                  <c:v>11.40345710032576</c:v>
                </c:pt>
                <c:pt idx="378">
                  <c:v>13.103700159895837</c:v>
                </c:pt>
                <c:pt idx="379">
                  <c:v>11.460836528623863</c:v>
                </c:pt>
                <c:pt idx="380">
                  <c:v>9.0599604498347297</c:v>
                </c:pt>
                <c:pt idx="381">
                  <c:v>9.772673348695406</c:v>
                </c:pt>
                <c:pt idx="382">
                  <c:v>12.119189969096833</c:v>
                </c:pt>
                <c:pt idx="383">
                  <c:v>12.611445064496335</c:v>
                </c:pt>
                <c:pt idx="384">
                  <c:v>10.443106668810106</c:v>
                </c:pt>
                <c:pt idx="385">
                  <c:v>10.917241944747078</c:v>
                </c:pt>
                <c:pt idx="386">
                  <c:v>14.435506890393961</c:v>
                </c:pt>
                <c:pt idx="387">
                  <c:v>15.866972627936251</c:v>
                </c:pt>
                <c:pt idx="388">
                  <c:v>17.183679508882211</c:v>
                </c:pt>
                <c:pt idx="389">
                  <c:v>18.409787292515372</c:v>
                </c:pt>
                <c:pt idx="390">
                  <c:v>19.040961003794557</c:v>
                </c:pt>
                <c:pt idx="391">
                  <c:v>15.885092447398812</c:v>
                </c:pt>
                <c:pt idx="392">
                  <c:v>13.595955255295431</c:v>
                </c:pt>
                <c:pt idx="393">
                  <c:v>12.496686207900186</c:v>
                </c:pt>
                <c:pt idx="394">
                  <c:v>14.054990681680211</c:v>
                </c:pt>
                <c:pt idx="395">
                  <c:v>19.197999439136709</c:v>
                </c:pt>
                <c:pt idx="396">
                  <c:v>23.625275327822109</c:v>
                </c:pt>
                <c:pt idx="397">
                  <c:v>25.539936251032529</c:v>
                </c:pt>
                <c:pt idx="398">
                  <c:v>29.994391868911769</c:v>
                </c:pt>
                <c:pt idx="399">
                  <c:v>32.416407737073861</c:v>
                </c:pt>
                <c:pt idx="400">
                  <c:v>26.116750503924038</c:v>
                </c:pt>
                <c:pt idx="401">
                  <c:v>27.514996572451516</c:v>
                </c:pt>
                <c:pt idx="402">
                  <c:v>32.377148128238346</c:v>
                </c:pt>
                <c:pt idx="403">
                  <c:v>30.441347415654874</c:v>
                </c:pt>
                <c:pt idx="404">
                  <c:v>29.109540685156752</c:v>
                </c:pt>
                <c:pt idx="405">
                  <c:v>29.290738879782346</c:v>
                </c:pt>
                <c:pt idx="406">
                  <c:v>28.949482279904203</c:v>
                </c:pt>
                <c:pt idx="407">
                  <c:v>29.517236623064342</c:v>
                </c:pt>
                <c:pt idx="408">
                  <c:v>24.697364646023516</c:v>
                </c:pt>
                <c:pt idx="409">
                  <c:v>26.011051557059076</c:v>
                </c:pt>
                <c:pt idx="410">
                  <c:v>21.771013802820157</c:v>
                </c:pt>
                <c:pt idx="411">
                  <c:v>23.377637795167068</c:v>
                </c:pt>
                <c:pt idx="412">
                  <c:v>27.077100935439695</c:v>
                </c:pt>
                <c:pt idx="413">
                  <c:v>21.055280934049058</c:v>
                </c:pt>
                <c:pt idx="414">
                  <c:v>19.968091766295487</c:v>
                </c:pt>
                <c:pt idx="415">
                  <c:v>17.914512227205471</c:v>
                </c:pt>
                <c:pt idx="416">
                  <c:v>17.331658034493081</c:v>
                </c:pt>
                <c:pt idx="417">
                  <c:v>20.871062769513067</c:v>
                </c:pt>
                <c:pt idx="418">
                  <c:v>18.965461756033925</c:v>
                </c:pt>
                <c:pt idx="419">
                  <c:v>19.068140732988397</c:v>
                </c:pt>
                <c:pt idx="420">
                  <c:v>16.733703992228619</c:v>
                </c:pt>
                <c:pt idx="421">
                  <c:v>17.416217191985087</c:v>
                </c:pt>
                <c:pt idx="422">
                  <c:v>14.710324152242841</c:v>
                </c:pt>
                <c:pt idx="423">
                  <c:v>14.281488424962296</c:v>
                </c:pt>
                <c:pt idx="424">
                  <c:v>11.110520019014384</c:v>
                </c:pt>
                <c:pt idx="425">
                  <c:v>10.914221974836655</c:v>
                </c:pt>
                <c:pt idx="426">
                  <c:v>10.428006819257972</c:v>
                </c:pt>
                <c:pt idx="427">
                  <c:v>13.541595796907753</c:v>
                </c:pt>
                <c:pt idx="428">
                  <c:v>11.506136077280262</c:v>
                </c:pt>
                <c:pt idx="429">
                  <c:v>11.42157691978832</c:v>
                </c:pt>
                <c:pt idx="430">
                  <c:v>11.934971804560842</c:v>
                </c:pt>
                <c:pt idx="431">
                  <c:v>10.766243449225755</c:v>
                </c:pt>
                <c:pt idx="432">
                  <c:v>11.170919417222912</c:v>
                </c:pt>
                <c:pt idx="433">
                  <c:v>8.5193858358683769</c:v>
                </c:pt>
                <c:pt idx="434">
                  <c:v>8.9391616534176705</c:v>
                </c:pt>
                <c:pt idx="435">
                  <c:v>8.3653673704366227</c:v>
                </c:pt>
                <c:pt idx="436">
                  <c:v>6.8735022346858878</c:v>
                </c:pt>
                <c:pt idx="437">
                  <c:v>6.5654653038223767</c:v>
                </c:pt>
                <c:pt idx="438">
                  <c:v>5.7742331872906156</c:v>
                </c:pt>
                <c:pt idx="439">
                  <c:v>5.6202147218588507</c:v>
                </c:pt>
                <c:pt idx="440">
                  <c:v>5.2819780918910766</c:v>
                </c:pt>
                <c:pt idx="441">
                  <c:v>5.3151977609057717</c:v>
                </c:pt>
                <c:pt idx="442">
                  <c:v>4.4696061859863319</c:v>
                </c:pt>
                <c:pt idx="443">
                  <c:v>4.5481254036574175</c:v>
                </c:pt>
                <c:pt idx="444">
                  <c:v>5.0554803486090831</c:v>
                </c:pt>
                <c:pt idx="445">
                  <c:v>5.2185587237721185</c:v>
                </c:pt>
                <c:pt idx="446">
                  <c:v>5.7983929465740225</c:v>
                </c:pt>
                <c:pt idx="447">
                  <c:v>6.1940090048399075</c:v>
                </c:pt>
                <c:pt idx="448">
                  <c:v>6.1336096066313726</c:v>
                </c:pt>
                <c:pt idx="449">
                  <c:v>7.6617143813072257</c:v>
                </c:pt>
                <c:pt idx="450">
                  <c:v>6.2664882826901458</c:v>
                </c:pt>
                <c:pt idx="451">
                  <c:v>6.6198247622100546</c:v>
                </c:pt>
                <c:pt idx="452">
                  <c:v>6.1185097570792362</c:v>
                </c:pt>
                <c:pt idx="453">
                  <c:v>5.50847583517307</c:v>
                </c:pt>
                <c:pt idx="454">
                  <c:v>6.0641502986915672</c:v>
                </c:pt>
                <c:pt idx="455">
                  <c:v>6.0671702686019913</c:v>
                </c:pt>
                <c:pt idx="456">
                  <c:v>4.6357045310597913</c:v>
                </c:pt>
                <c:pt idx="457">
                  <c:v>4.6145647416868076</c:v>
                </c:pt>
                <c:pt idx="458">
                  <c:v>4.7867030265811144</c:v>
                </c:pt>
                <c:pt idx="459">
                  <c:v>5.1007798972654816</c:v>
                </c:pt>
                <c:pt idx="460">
                  <c:v>6.1849490951086281</c:v>
                </c:pt>
                <c:pt idx="461">
                  <c:v>6.3872870791072049</c:v>
                </c:pt>
                <c:pt idx="462">
                  <c:v>6.4899660560617063</c:v>
                </c:pt>
                <c:pt idx="463">
                  <c:v>8.0724302891252364</c:v>
                </c:pt>
                <c:pt idx="464">
                  <c:v>7.6466145317550902</c:v>
                </c:pt>
                <c:pt idx="465">
                  <c:v>8.0694103192148141</c:v>
                </c:pt>
                <c:pt idx="466">
                  <c:v>8.9572814728802292</c:v>
                </c:pt>
                <c:pt idx="467">
                  <c:v>9.1263997878641199</c:v>
                </c:pt>
                <c:pt idx="468">
                  <c:v>8.9633214127010845</c:v>
                </c:pt>
                <c:pt idx="469">
                  <c:v>6.7104238595228525</c:v>
                </c:pt>
                <c:pt idx="470">
                  <c:v>5.6866540598882409</c:v>
                </c:pt>
                <c:pt idx="471">
                  <c:v>8.2173888448257131</c:v>
                </c:pt>
                <c:pt idx="472">
                  <c:v>10.135069737946596</c:v>
                </c:pt>
                <c:pt idx="473">
                  <c:v>10.530685796212481</c:v>
                </c:pt>
                <c:pt idx="474">
                  <c:v>13.200339197029519</c:v>
                </c:pt>
                <c:pt idx="475">
                  <c:v>11.167899447312488</c:v>
                </c:pt>
                <c:pt idx="476">
                  <c:v>11.844372707248045</c:v>
                </c:pt>
                <c:pt idx="477">
                  <c:v>11.104480079193529</c:v>
                </c:pt>
                <c:pt idx="478">
                  <c:v>11.285678273819123</c:v>
                </c:pt>
                <c:pt idx="479">
                  <c:v>10.708864020927644</c:v>
                </c:pt>
                <c:pt idx="480">
                  <c:v>7.5076959158754706</c:v>
                </c:pt>
                <c:pt idx="481">
                  <c:v>9.6126149434427948</c:v>
                </c:pt>
                <c:pt idx="482">
                  <c:v>8.1237697776024937</c:v>
                </c:pt>
                <c:pt idx="483">
                  <c:v>8.6160248730020221</c:v>
                </c:pt>
                <c:pt idx="484">
                  <c:v>8.5737452942560477</c:v>
                </c:pt>
                <c:pt idx="485">
                  <c:v>8.6250847827333033</c:v>
                </c:pt>
                <c:pt idx="486">
                  <c:v>7.915391853783059</c:v>
                </c:pt>
                <c:pt idx="487">
                  <c:v>8.1298097174233401</c:v>
                </c:pt>
                <c:pt idx="488">
                  <c:v>9.2230388249977651</c:v>
                </c:pt>
                <c:pt idx="489">
                  <c:v>8.4891861367641059</c:v>
                </c:pt>
                <c:pt idx="490">
                  <c:v>9.2653184037437413</c:v>
                </c:pt>
                <c:pt idx="491">
                  <c:v>12.614465034406733</c:v>
                </c:pt>
                <c:pt idx="492">
                  <c:v>13.922112005621504</c:v>
                </c:pt>
                <c:pt idx="493">
                  <c:v>22.091130613325433</c:v>
                </c:pt>
                <c:pt idx="494">
                  <c:v>27.937792359911271</c:v>
                </c:pt>
                <c:pt idx="495">
                  <c:v>30.839983443831187</c:v>
                </c:pt>
                <c:pt idx="496">
                  <c:v>19.605695377044299</c:v>
                </c:pt>
                <c:pt idx="497">
                  <c:v>13.176179437746075</c:v>
                </c:pt>
                <c:pt idx="498">
                  <c:v>13.547635736728546</c:v>
                </c:pt>
                <c:pt idx="499">
                  <c:v>14.803943219466033</c:v>
                </c:pt>
                <c:pt idx="500">
                  <c:v>14.088210350694935</c:v>
                </c:pt>
                <c:pt idx="501">
                  <c:v>13.417777030580234</c:v>
                </c:pt>
                <c:pt idx="502">
                  <c:v>11.167899447312488</c:v>
                </c:pt>
                <c:pt idx="503">
                  <c:v>9.3861172001608004</c:v>
                </c:pt>
                <c:pt idx="504">
                  <c:v>8.3321477014219276</c:v>
                </c:pt>
                <c:pt idx="505">
                  <c:v>8.58582517389776</c:v>
                </c:pt>
                <c:pt idx="506">
                  <c:v>6.8282026860294893</c:v>
                </c:pt>
                <c:pt idx="507">
                  <c:v>6.2272286738546025</c:v>
                </c:pt>
                <c:pt idx="508">
                  <c:v>7.3899170893688337</c:v>
                </c:pt>
                <c:pt idx="509">
                  <c:v>7.7190938096053276</c:v>
                </c:pt>
                <c:pt idx="510">
                  <c:v>6.4265466879427571</c:v>
                </c:pt>
                <c:pt idx="511">
                  <c:v>6.3661472897342222</c:v>
                </c:pt>
                <c:pt idx="512">
                  <c:v>5.0705801981612186</c:v>
                </c:pt>
                <c:pt idx="513">
                  <c:v>5.7077938492612246</c:v>
                </c:pt>
                <c:pt idx="514">
                  <c:v>5.4963959555313666</c:v>
                </c:pt>
                <c:pt idx="515">
                  <c:v>6.4627863268678762</c:v>
                </c:pt>
                <c:pt idx="516">
                  <c:v>5.4148567679498498</c:v>
                </c:pt>
                <c:pt idx="517">
                  <c:v>5.9101318332598112</c:v>
                </c:pt>
                <c:pt idx="518">
                  <c:v>5.5809551130233084</c:v>
                </c:pt>
                <c:pt idx="519">
                  <c:v>5.3725771892038736</c:v>
                </c:pt>
                <c:pt idx="520">
                  <c:v>5.6715542103361063</c:v>
                </c:pt>
                <c:pt idx="521">
                  <c:v>5.4359965573228326</c:v>
                </c:pt>
                <c:pt idx="522">
                  <c:v>5.7712132173801827</c:v>
                </c:pt>
                <c:pt idx="523">
                  <c:v>4.9860210406692778</c:v>
                </c:pt>
                <c:pt idx="524">
                  <c:v>6.7708232577313874</c:v>
                </c:pt>
                <c:pt idx="525">
                  <c:v>7.5167558256067499</c:v>
                </c:pt>
                <c:pt idx="526">
                  <c:v>8.4559664677494197</c:v>
                </c:pt>
                <c:pt idx="527">
                  <c:v>9.9508515734105778</c:v>
                </c:pt>
                <c:pt idx="528">
                  <c:v>11.877592376262676</c:v>
                </c:pt>
                <c:pt idx="529">
                  <c:v>10.630344803256559</c:v>
                </c:pt>
                <c:pt idx="530">
                  <c:v>9.7001940708451677</c:v>
                </c:pt>
                <c:pt idx="531">
                  <c:v>8.4227467987347246</c:v>
                </c:pt>
                <c:pt idx="532">
                  <c:v>8.8153428870901767</c:v>
                </c:pt>
                <c:pt idx="533">
                  <c:v>8.8817822251195686</c:v>
                </c:pt>
                <c:pt idx="534">
                  <c:v>8.3774472500783261</c:v>
                </c:pt>
                <c:pt idx="535">
                  <c:v>9.0962000887598506</c:v>
                </c:pt>
                <c:pt idx="536">
                  <c:v>9.2804182532958777</c:v>
                </c:pt>
                <c:pt idx="537">
                  <c:v>10.606185043973142</c:v>
                </c:pt>
                <c:pt idx="538">
                  <c:v>9.9508515734105689</c:v>
                </c:pt>
                <c:pt idx="539">
                  <c:v>10.67866432182338</c:v>
                </c:pt>
                <c:pt idx="540">
                  <c:v>10.065610430006782</c:v>
                </c:pt>
                <c:pt idx="541">
                  <c:v>7.9939110714541526</c:v>
                </c:pt>
                <c:pt idx="542">
                  <c:v>10.168289406961282</c:v>
                </c:pt>
                <c:pt idx="543">
                  <c:v>9.990111182246121</c:v>
                </c:pt>
                <c:pt idx="544">
                  <c:v>9.6609344620096174</c:v>
                </c:pt>
                <c:pt idx="545">
                  <c:v>8.8304427366423131</c:v>
                </c:pt>
                <c:pt idx="546">
                  <c:v>11.898732165635634</c:v>
                </c:pt>
                <c:pt idx="547">
                  <c:v>9.8844122353811876</c:v>
                </c:pt>
                <c:pt idx="548">
                  <c:v>8.6401846322854396</c:v>
                </c:pt>
                <c:pt idx="549">
                  <c:v>7.7251337494261847</c:v>
                </c:pt>
                <c:pt idx="550">
                  <c:v>8.1720892961693146</c:v>
                </c:pt>
                <c:pt idx="551">
                  <c:v>7.1966390151015265</c:v>
                </c:pt>
                <c:pt idx="552">
                  <c:v>6.2423285234067301</c:v>
                </c:pt>
                <c:pt idx="553">
                  <c:v>7.2479785035787812</c:v>
                </c:pt>
                <c:pt idx="554">
                  <c:v>6.8886020842380242</c:v>
                </c:pt>
                <c:pt idx="555">
                  <c:v>5.8165127660365812</c:v>
                </c:pt>
                <c:pt idx="556">
                  <c:v>6.7013639497915731</c:v>
                </c:pt>
                <c:pt idx="557">
                  <c:v>7.0426205496697794</c:v>
                </c:pt>
                <c:pt idx="558">
                  <c:v>5.541695504187766</c:v>
                </c:pt>
                <c:pt idx="559">
                  <c:v>6.5775451834640801</c:v>
                </c:pt>
                <c:pt idx="560">
                  <c:v>5.4148567679498498</c:v>
                </c:pt>
                <c:pt idx="561">
                  <c:v>5.5296156245460537</c:v>
                </c:pt>
                <c:pt idx="562">
                  <c:v>5.0343405592360995</c:v>
                </c:pt>
                <c:pt idx="563">
                  <c:v>4.9497814017441586</c:v>
                </c:pt>
                <c:pt idx="564">
                  <c:v>4.8803220938043443</c:v>
                </c:pt>
                <c:pt idx="565">
                  <c:v>3.7659531968569357</c:v>
                </c:pt>
                <c:pt idx="566">
                  <c:v>3.6813940393649944</c:v>
                </c:pt>
                <c:pt idx="567">
                  <c:v>3.8746721136322924</c:v>
                </c:pt>
                <c:pt idx="568">
                  <c:v>3.8414524446175973</c:v>
                </c:pt>
                <c:pt idx="569">
                  <c:v>4.2249886232417788</c:v>
                </c:pt>
                <c:pt idx="570">
                  <c:v>4.0226506392431922</c:v>
                </c:pt>
                <c:pt idx="571">
                  <c:v>3.8535323242593096</c:v>
                </c:pt>
                <c:pt idx="572">
                  <c:v>4.2310285630626261</c:v>
                </c:pt>
                <c:pt idx="573">
                  <c:v>4.1555293153019646</c:v>
                </c:pt>
                <c:pt idx="574">
                  <c:v>4.4454464267029161</c:v>
                </c:pt>
                <c:pt idx="575">
                  <c:v>4.3276676001962802</c:v>
                </c:pt>
                <c:pt idx="576">
                  <c:v>5.0403804990569565</c:v>
                </c:pt>
                <c:pt idx="577">
                  <c:v>4.8803220938043443</c:v>
                </c:pt>
                <c:pt idx="578">
                  <c:v>4.7897229964915464</c:v>
                </c:pt>
                <c:pt idx="579">
                  <c:v>4.1645892250332448</c:v>
                </c:pt>
                <c:pt idx="580">
                  <c:v>5.9705312314683372</c:v>
                </c:pt>
                <c:pt idx="581">
                  <c:v>4.6749641398953337</c:v>
                </c:pt>
                <c:pt idx="582">
                  <c:v>5.6413545112318424</c:v>
                </c:pt>
                <c:pt idx="583">
                  <c:v>4.5511453735678495</c:v>
                </c:pt>
                <c:pt idx="584">
                  <c:v>5.9886510509308959</c:v>
                </c:pt>
                <c:pt idx="585">
                  <c:v>6.3963469888384852</c:v>
                </c:pt>
                <c:pt idx="586">
                  <c:v>8.8334627065527371</c:v>
                </c:pt>
                <c:pt idx="587">
                  <c:v>10.289088203378352</c:v>
                </c:pt>
                <c:pt idx="588">
                  <c:v>7.7583534184408798</c:v>
                </c:pt>
                <c:pt idx="589">
                  <c:v>8.8032630074484732</c:v>
                </c:pt>
                <c:pt idx="590">
                  <c:v>11.968191473575475</c:v>
                </c:pt>
                <c:pt idx="591">
                  <c:v>22.100190523056717</c:v>
                </c:pt>
                <c:pt idx="592">
                  <c:v>27.421377505228321</c:v>
                </c:pt>
                <c:pt idx="593">
                  <c:v>21.496196540971368</c:v>
                </c:pt>
                <c:pt idx="594">
                  <c:v>19.487916550537662</c:v>
                </c:pt>
                <c:pt idx="595">
                  <c:v>20.209689359129641</c:v>
                </c:pt>
                <c:pt idx="596">
                  <c:v>25.355718086496537</c:v>
                </c:pt>
                <c:pt idx="597">
                  <c:v>23.803453552537306</c:v>
                </c:pt>
                <c:pt idx="598">
                  <c:v>26.717724516098897</c:v>
                </c:pt>
                <c:pt idx="599">
                  <c:v>26.008031587148686</c:v>
                </c:pt>
                <c:pt idx="600">
                  <c:v>24.929902329126392</c:v>
                </c:pt>
                <c:pt idx="601">
                  <c:v>24.177929821430176</c:v>
                </c:pt>
                <c:pt idx="602">
                  <c:v>25.274178898915018</c:v>
                </c:pt>
                <c:pt idx="603">
                  <c:v>25.872132941179487</c:v>
                </c:pt>
                <c:pt idx="604">
                  <c:v>28.701844747249162</c:v>
                </c:pt>
                <c:pt idx="605">
                  <c:v>22.737404174156694</c:v>
                </c:pt>
                <c:pt idx="606">
                  <c:v>38.891223225028483</c:v>
                </c:pt>
                <c:pt idx="607">
                  <c:v>39.85459362645453</c:v>
                </c:pt>
                <c:pt idx="608">
                  <c:v>32.413387767163464</c:v>
                </c:pt>
                <c:pt idx="609">
                  <c:v>33.941492541839338</c:v>
                </c:pt>
                <c:pt idx="610">
                  <c:v>39.806274107887731</c:v>
                </c:pt>
                <c:pt idx="611">
                  <c:v>22.96390191743869</c:v>
                </c:pt>
                <c:pt idx="612">
                  <c:v>16.102530280949523</c:v>
                </c:pt>
                <c:pt idx="613">
                  <c:v>15.857912718204972</c:v>
                </c:pt>
                <c:pt idx="614">
                  <c:v>15.909252206682163</c:v>
                </c:pt>
                <c:pt idx="615">
                  <c:v>18.285968526187943</c:v>
                </c:pt>
                <c:pt idx="616">
                  <c:v>18.282948556277457</c:v>
                </c:pt>
                <c:pt idx="617">
                  <c:v>13.387577331475997</c:v>
                </c:pt>
                <c:pt idx="618">
                  <c:v>11.418556949877896</c:v>
                </c:pt>
                <c:pt idx="619">
                  <c:v>11.080320319910115</c:v>
                </c:pt>
                <c:pt idx="620">
                  <c:v>12.786603319301138</c:v>
                </c:pt>
                <c:pt idx="621">
                  <c:v>13.333217873088319</c:v>
                </c:pt>
                <c:pt idx="622">
                  <c:v>11.765853489576923</c:v>
                </c:pt>
                <c:pt idx="623">
                  <c:v>14.432486920483564</c:v>
                </c:pt>
                <c:pt idx="624">
                  <c:v>11.158839537581208</c:v>
                </c:pt>
                <c:pt idx="625">
                  <c:v>14.58650538591532</c:v>
                </c:pt>
                <c:pt idx="626">
                  <c:v>12.191669246947072</c:v>
                </c:pt>
                <c:pt idx="627">
                  <c:v>11.841352737337557</c:v>
                </c:pt>
                <c:pt idx="628">
                  <c:v>14.082170410874141</c:v>
                </c:pt>
                <c:pt idx="629">
                  <c:v>15.990791394263681</c:v>
                </c:pt>
                <c:pt idx="630">
                  <c:v>15.55893569707265</c:v>
                </c:pt>
                <c:pt idx="631">
                  <c:v>14.215049086932851</c:v>
                </c:pt>
                <c:pt idx="632">
                  <c:v>13.873792487054708</c:v>
                </c:pt>
                <c:pt idx="633">
                  <c:v>9.7001940708451677</c:v>
                </c:pt>
                <c:pt idx="634">
                  <c:v>10.126009828215317</c:v>
                </c:pt>
                <c:pt idx="635">
                  <c:v>9.9176319043958827</c:v>
                </c:pt>
                <c:pt idx="636">
                  <c:v>10.03541073090252</c:v>
                </c:pt>
                <c:pt idx="637">
                  <c:v>9.7424736495911333</c:v>
                </c:pt>
                <c:pt idx="638">
                  <c:v>9.7877731982475318</c:v>
                </c:pt>
                <c:pt idx="639">
                  <c:v>14.444566800125241</c:v>
                </c:pt>
                <c:pt idx="640">
                  <c:v>14.58650538591532</c:v>
                </c:pt>
                <c:pt idx="641">
                  <c:v>17.60949526625236</c:v>
                </c:pt>
                <c:pt idx="642">
                  <c:v>14.960981654808275</c:v>
                </c:pt>
                <c:pt idx="643">
                  <c:v>12.496686207900186</c:v>
                </c:pt>
                <c:pt idx="644">
                  <c:v>17.983971535145223</c:v>
                </c:pt>
                <c:pt idx="645">
                  <c:v>13.620115014578783</c:v>
                </c:pt>
                <c:pt idx="646">
                  <c:v>13.197319227119124</c:v>
                </c:pt>
                <c:pt idx="647">
                  <c:v>11.971211443485869</c:v>
                </c:pt>
                <c:pt idx="648">
                  <c:v>12.584265335302497</c:v>
                </c:pt>
                <c:pt idx="649">
                  <c:v>13.37549745183432</c:v>
                </c:pt>
                <c:pt idx="650">
                  <c:v>15.398877291820101</c:v>
                </c:pt>
                <c:pt idx="651">
                  <c:v>12.895322236076495</c:v>
                </c:pt>
                <c:pt idx="652">
                  <c:v>13.450996699594956</c:v>
                </c:pt>
                <c:pt idx="653">
                  <c:v>12.451386659243788</c:v>
                </c:pt>
                <c:pt idx="654">
                  <c:v>12.472526448616742</c:v>
                </c:pt>
                <c:pt idx="655">
                  <c:v>14.420407040841889</c:v>
                </c:pt>
                <c:pt idx="656">
                  <c:v>12.32454792300587</c:v>
                </c:pt>
                <c:pt idx="657">
                  <c:v>16.108570220770318</c:v>
                </c:pt>
                <c:pt idx="658">
                  <c:v>17.346757884045246</c:v>
                </c:pt>
                <c:pt idx="659">
                  <c:v>15.238818886567461</c:v>
                </c:pt>
                <c:pt idx="660">
                  <c:v>13.547635736728637</c:v>
                </c:pt>
                <c:pt idx="661">
                  <c:v>16.033070973009682</c:v>
                </c:pt>
                <c:pt idx="662">
                  <c:v>17.428297071626762</c:v>
                </c:pt>
                <c:pt idx="663">
                  <c:v>17.319578154851406</c:v>
                </c:pt>
                <c:pt idx="664">
                  <c:v>16.329028024231519</c:v>
                </c:pt>
                <c:pt idx="665">
                  <c:v>18.974521665765202</c:v>
                </c:pt>
                <c:pt idx="666">
                  <c:v>18.415827232336255</c:v>
                </c:pt>
                <c:pt idx="667">
                  <c:v>18.358447804038182</c:v>
                </c:pt>
                <c:pt idx="668">
                  <c:v>18.068530692637232</c:v>
                </c:pt>
                <c:pt idx="669">
                  <c:v>23.441057163286025</c:v>
                </c:pt>
                <c:pt idx="670">
                  <c:v>10.011250971619102</c:v>
                </c:pt>
                <c:pt idx="671">
                  <c:v>9.4163168992650643</c:v>
                </c:pt>
                <c:pt idx="672">
                  <c:v>9.4495365682797594</c:v>
                </c:pt>
                <c:pt idx="673">
                  <c:v>10.047490610544223</c:v>
                </c:pt>
                <c:pt idx="674">
                  <c:v>8.6522645119271431</c:v>
                </c:pt>
                <c:pt idx="675">
                  <c:v>6.9792011815508213</c:v>
                </c:pt>
                <c:pt idx="676">
                  <c:v>6.5262056949868334</c:v>
                </c:pt>
                <c:pt idx="677">
                  <c:v>8.1811492059005957</c:v>
                </c:pt>
                <c:pt idx="678">
                  <c:v>8.1932290855423062</c:v>
                </c:pt>
                <c:pt idx="679">
                  <c:v>8.0422305900209743</c:v>
                </c:pt>
                <c:pt idx="680">
                  <c:v>7.8429125759328207</c:v>
                </c:pt>
                <c:pt idx="681">
                  <c:v>8.2053089651840097</c:v>
                </c:pt>
                <c:pt idx="682">
                  <c:v>7.2298586841162216</c:v>
                </c:pt>
                <c:pt idx="683">
                  <c:v>6.236288583585873</c:v>
                </c:pt>
                <c:pt idx="684">
                  <c:v>6.5322456348076816</c:v>
                </c:pt>
                <c:pt idx="685">
                  <c:v>8.1539694767067559</c:v>
                </c:pt>
                <c:pt idx="686">
                  <c:v>11.509156047190695</c:v>
                </c:pt>
                <c:pt idx="687">
                  <c:v>9.9870912123356952</c:v>
                </c:pt>
                <c:pt idx="688">
                  <c:v>15.392837351999217</c:v>
                </c:pt>
                <c:pt idx="689">
                  <c:v>15.383777442267938</c:v>
                </c:pt>
                <c:pt idx="690">
                  <c:v>14.43550689039405</c:v>
                </c:pt>
                <c:pt idx="691">
                  <c:v>22.637745167112612</c:v>
                </c:pt>
                <c:pt idx="692">
                  <c:v>15.241838856477949</c:v>
                </c:pt>
                <c:pt idx="693">
                  <c:v>24.809103532709358</c:v>
                </c:pt>
                <c:pt idx="694">
                  <c:v>15.969651604890725</c:v>
                </c:pt>
                <c:pt idx="695">
                  <c:v>28.623325529578132</c:v>
                </c:pt>
                <c:pt idx="696">
                  <c:v>30.791663925264388</c:v>
                </c:pt>
                <c:pt idx="697">
                  <c:v>35.741394608453525</c:v>
                </c:pt>
                <c:pt idx="698">
                  <c:v>27.63881533877904</c:v>
                </c:pt>
                <c:pt idx="699">
                  <c:v>24.289668708115926</c:v>
                </c:pt>
                <c:pt idx="700">
                  <c:v>19.635895076148536</c:v>
                </c:pt>
                <c:pt idx="701">
                  <c:v>19.113440281644799</c:v>
                </c:pt>
                <c:pt idx="702">
                  <c:v>19.614755286775576</c:v>
                </c:pt>
                <c:pt idx="703">
                  <c:v>12.529905876914817</c:v>
                </c:pt>
                <c:pt idx="704">
                  <c:v>19.315778265643345</c:v>
                </c:pt>
                <c:pt idx="705">
                  <c:v>20.732144153633385</c:v>
                </c:pt>
                <c:pt idx="706">
                  <c:v>21.553575969269446</c:v>
                </c:pt>
                <c:pt idx="707">
                  <c:v>19.515096279731502</c:v>
                </c:pt>
                <c:pt idx="708">
                  <c:v>16.62800504536375</c:v>
                </c:pt>
                <c:pt idx="709">
                  <c:v>17.011541223987894</c:v>
                </c:pt>
                <c:pt idx="710">
                  <c:v>25.796633693418848</c:v>
                </c:pt>
                <c:pt idx="711">
                  <c:v>24.727564345127838</c:v>
                </c:pt>
                <c:pt idx="712">
                  <c:v>21.109640392436738</c:v>
                </c:pt>
                <c:pt idx="713">
                  <c:v>34.029071669241652</c:v>
                </c:pt>
                <c:pt idx="714">
                  <c:v>21.079440693332501</c:v>
                </c:pt>
                <c:pt idx="715">
                  <c:v>17.781633551146673</c:v>
                </c:pt>
                <c:pt idx="716">
                  <c:v>22.562245919351987</c:v>
                </c:pt>
                <c:pt idx="717">
                  <c:v>7.7100338998740483</c:v>
                </c:pt>
                <c:pt idx="718">
                  <c:v>4.9256216424607429</c:v>
                </c:pt>
                <c:pt idx="719">
                  <c:v>4.8229426655062326</c:v>
                </c:pt>
                <c:pt idx="720">
                  <c:v>3.5394554535749445</c:v>
                </c:pt>
                <c:pt idx="721">
                  <c:v>4.3306875701067034</c:v>
                </c:pt>
                <c:pt idx="722">
                  <c:v>4.2733081418086014</c:v>
                </c:pt>
                <c:pt idx="723">
                  <c:v>4.1706291648541001</c:v>
                </c:pt>
                <c:pt idx="724">
                  <c:v>3.8746721136322924</c:v>
                </c:pt>
                <c:pt idx="725">
                  <c:v>3.8233326251550377</c:v>
                </c:pt>
                <c:pt idx="726">
                  <c:v>5.230638603413821</c:v>
                </c:pt>
                <c:pt idx="727">
                  <c:v>4.5541653434782727</c:v>
                </c:pt>
                <c:pt idx="728">
                  <c:v>4.4092067877777978</c:v>
                </c:pt>
                <c:pt idx="729">
                  <c:v>4.412226757688221</c:v>
                </c:pt>
                <c:pt idx="730">
                  <c:v>4.9226016725503108</c:v>
                </c:pt>
                <c:pt idx="731">
                  <c:v>5.3997569183977134</c:v>
                </c:pt>
                <c:pt idx="732">
                  <c:v>4.9739411610275654</c:v>
                </c:pt>
                <c:pt idx="733">
                  <c:v>5.8346325854991408</c:v>
                </c:pt>
                <c:pt idx="734">
                  <c:v>6.8040429267460736</c:v>
                </c:pt>
                <c:pt idx="735">
                  <c:v>6.6862641002394376</c:v>
                </c:pt>
                <c:pt idx="736">
                  <c:v>7.5620553742631484</c:v>
                </c:pt>
                <c:pt idx="737">
                  <c:v>7.3597173902645618</c:v>
                </c:pt>
                <c:pt idx="738">
                  <c:v>6.9610813620882626</c:v>
                </c:pt>
                <c:pt idx="739">
                  <c:v>6.0460304792290076</c:v>
                </c:pt>
                <c:pt idx="740">
                  <c:v>6.8644423249546085</c:v>
                </c:pt>
                <c:pt idx="741">
                  <c:v>6.0460304792289987</c:v>
                </c:pt>
                <c:pt idx="742">
                  <c:v>7.1030199478783054</c:v>
                </c:pt>
                <c:pt idx="743">
                  <c:v>8.3502675208844863</c:v>
                </c:pt>
                <c:pt idx="744">
                  <c:v>7.7553334485304468</c:v>
                </c:pt>
                <c:pt idx="745">
                  <c:v>11.42157691978832</c:v>
                </c:pt>
                <c:pt idx="746">
                  <c:v>12.741303770644739</c:v>
                </c:pt>
                <c:pt idx="747">
                  <c:v>13.910032125979825</c:v>
                </c:pt>
                <c:pt idx="748">
                  <c:v>13.3845573615656</c:v>
                </c:pt>
                <c:pt idx="749">
                  <c:v>11.001801102239028</c:v>
                </c:pt>
                <c:pt idx="750">
                  <c:v>10.062590460096358</c:v>
                </c:pt>
                <c:pt idx="751">
                  <c:v>11.669214452443295</c:v>
                </c:pt>
                <c:pt idx="752">
                  <c:v>11.732633820562254</c:v>
                </c:pt>
                <c:pt idx="753">
                  <c:v>8.2808082129446721</c:v>
                </c:pt>
                <c:pt idx="754">
                  <c:v>8.1962490554527321</c:v>
                </c:pt>
                <c:pt idx="755">
                  <c:v>9.2079389754456287</c:v>
                </c:pt>
                <c:pt idx="756">
                  <c:v>7.0486604894906266</c:v>
                </c:pt>
                <c:pt idx="757">
                  <c:v>8.0905501085877987</c:v>
                </c:pt>
                <c:pt idx="758">
                  <c:v>5.9191917429910816</c:v>
                </c:pt>
                <c:pt idx="759">
                  <c:v>7.7251337494261847</c:v>
                </c:pt>
                <c:pt idx="760">
                  <c:v>6.9610813620882537</c:v>
                </c:pt>
                <c:pt idx="761">
                  <c:v>6.8976619939692947</c:v>
                </c:pt>
                <c:pt idx="762">
                  <c:v>7.2630783531309167</c:v>
                </c:pt>
                <c:pt idx="763">
                  <c:v>6.9037019337901508</c:v>
                </c:pt>
                <c:pt idx="764">
                  <c:v>9.5340957257717101</c:v>
                </c:pt>
                <c:pt idx="765">
                  <c:v>10.515585946660345</c:v>
                </c:pt>
                <c:pt idx="766">
                  <c:v>15.151239759165152</c:v>
                </c:pt>
                <c:pt idx="767">
                  <c:v>14.212029117022453</c:v>
                </c:pt>
                <c:pt idx="768">
                  <c:v>18.358447804038093</c:v>
                </c:pt>
                <c:pt idx="769">
                  <c:v>17.27125863628461</c:v>
                </c:pt>
                <c:pt idx="770">
                  <c:v>16.422647091454714</c:v>
                </c:pt>
                <c:pt idx="771">
                  <c:v>16.531366008230069</c:v>
                </c:pt>
                <c:pt idx="772">
                  <c:v>20.69288454479787</c:v>
                </c:pt>
                <c:pt idx="773">
                  <c:v>19.759713842476053</c:v>
                </c:pt>
                <c:pt idx="774">
                  <c:v>19.581535617760949</c:v>
                </c:pt>
                <c:pt idx="775">
                  <c:v>17.500776349477</c:v>
                </c:pt>
                <c:pt idx="776">
                  <c:v>19.530196129283667</c:v>
                </c:pt>
                <c:pt idx="777">
                  <c:v>14.577445476184041</c:v>
                </c:pt>
                <c:pt idx="778">
                  <c:v>14.278468455051808</c:v>
                </c:pt>
                <c:pt idx="779">
                  <c:v>13.858692637502545</c:v>
                </c:pt>
                <c:pt idx="780">
                  <c:v>17.440376951268441</c:v>
                </c:pt>
                <c:pt idx="781">
                  <c:v>15.712954162504404</c:v>
                </c:pt>
                <c:pt idx="782">
                  <c:v>12.243008735424352</c:v>
                </c:pt>
                <c:pt idx="783">
                  <c:v>16.969261645241893</c:v>
                </c:pt>
                <c:pt idx="784">
                  <c:v>11.164879477402064</c:v>
                </c:pt>
                <c:pt idx="785">
                  <c:v>15.555915727162253</c:v>
                </c:pt>
                <c:pt idx="786">
                  <c:v>14.731463941615797</c:v>
                </c:pt>
                <c:pt idx="787">
                  <c:v>13.345297752729996</c:v>
                </c:pt>
                <c:pt idx="788">
                  <c:v>15.051580752121074</c:v>
                </c:pt>
                <c:pt idx="789">
                  <c:v>13.188259317387843</c:v>
                </c:pt>
                <c:pt idx="790">
                  <c:v>14.015731072844696</c:v>
                </c:pt>
                <c:pt idx="791">
                  <c:v>15.758253711160805</c:v>
                </c:pt>
                <c:pt idx="792">
                  <c:v>13.816413058756542</c:v>
                </c:pt>
                <c:pt idx="793">
                  <c:v>14.477786469139964</c:v>
                </c:pt>
                <c:pt idx="794">
                  <c:v>10.530685796212481</c:v>
                </c:pt>
                <c:pt idx="795">
                  <c:v>12.702044161809132</c:v>
                </c:pt>
                <c:pt idx="796">
                  <c:v>13.257718625327685</c:v>
                </c:pt>
                <c:pt idx="797">
                  <c:v>13.752993690637583</c:v>
                </c:pt>
                <c:pt idx="798">
                  <c:v>13.716754051712465</c:v>
                </c:pt>
                <c:pt idx="799">
                  <c:v>12.526885907004422</c:v>
                </c:pt>
                <c:pt idx="800">
                  <c:v>14.130489929440936</c:v>
                </c:pt>
                <c:pt idx="801">
                  <c:v>17.319578154851406</c:v>
                </c:pt>
                <c:pt idx="802">
                  <c:v>14.541205837258921</c:v>
                </c:pt>
                <c:pt idx="803">
                  <c:v>14.749583761078355</c:v>
                </c:pt>
                <c:pt idx="804">
                  <c:v>15.084800421135707</c:v>
                </c:pt>
                <c:pt idx="805">
                  <c:v>12.538965786646099</c:v>
                </c:pt>
                <c:pt idx="806">
                  <c:v>7.151339466445128</c:v>
                </c:pt>
                <c:pt idx="807">
                  <c:v>7.4080369088313924</c:v>
                </c:pt>
                <c:pt idx="808">
                  <c:v>8.187189145721451</c:v>
                </c:pt>
                <c:pt idx="809">
                  <c:v>6.6409645515830373</c:v>
                </c:pt>
                <c:pt idx="810">
                  <c:v>6.6681442807768772</c:v>
                </c:pt>
                <c:pt idx="811">
                  <c:v>6.088310057974974</c:v>
                </c:pt>
                <c:pt idx="812">
                  <c:v>6.0158307801247357</c:v>
                </c:pt>
                <c:pt idx="813">
                  <c:v>6.0369705694977283</c:v>
                </c:pt>
                <c:pt idx="814">
                  <c:v>5.632294601500563</c:v>
                </c:pt>
                <c:pt idx="815">
                  <c:v>5.5235756847252064</c:v>
                </c:pt>
                <c:pt idx="816">
                  <c:v>5.0373605291465235</c:v>
                </c:pt>
                <c:pt idx="817">
                  <c:v>5.2396985131451013</c:v>
                </c:pt>
                <c:pt idx="818">
                  <c:v>5.6594743306944029</c:v>
                </c:pt>
                <c:pt idx="819">
                  <c:v>5.3151977609057717</c:v>
                </c:pt>
                <c:pt idx="820">
                  <c:v>5.4571363466958243</c:v>
                </c:pt>
                <c:pt idx="821">
                  <c:v>5.3151977609057717</c:v>
                </c:pt>
                <c:pt idx="822">
                  <c:v>5.38767703875601</c:v>
                </c:pt>
                <c:pt idx="823">
                  <c:v>5.1279596264593206</c:v>
                </c:pt>
                <c:pt idx="824">
                  <c:v>5.1037998671759048</c:v>
                </c:pt>
                <c:pt idx="825">
                  <c:v>5.0101807999526837</c:v>
                </c:pt>
                <c:pt idx="826">
                  <c:v>4.6568443204327741</c:v>
                </c:pt>
                <c:pt idx="827">
                  <c:v>4.4273266072403565</c:v>
                </c:pt>
                <c:pt idx="828">
                  <c:v>6.8433025355816257</c:v>
                </c:pt>
                <c:pt idx="829">
                  <c:v>4.7021438690891726</c:v>
                </c:pt>
                <c:pt idx="830">
                  <c:v>4.6236246514180781</c:v>
                </c:pt>
                <c:pt idx="831">
                  <c:v>5.4299566175019844</c:v>
                </c:pt>
                <c:pt idx="832">
                  <c:v>5.2819780918910766</c:v>
                </c:pt>
                <c:pt idx="833">
                  <c:v>5.4601563166062483</c:v>
                </c:pt>
                <c:pt idx="834">
                  <c:v>4.9467614318337265</c:v>
                </c:pt>
                <c:pt idx="835">
                  <c:v>5.783293097021895</c:v>
                </c:pt>
                <c:pt idx="836">
                  <c:v>6.4476864773157399</c:v>
                </c:pt>
                <c:pt idx="837">
                  <c:v>6.8493424754024721</c:v>
                </c:pt>
                <c:pt idx="838">
                  <c:v>7.3506574805332905</c:v>
                </c:pt>
                <c:pt idx="839">
                  <c:v>6.7949830170147942</c:v>
                </c:pt>
                <c:pt idx="840">
                  <c:v>6.6168047922996216</c:v>
                </c:pt>
                <c:pt idx="841">
                  <c:v>6.1094498473479657</c:v>
                </c:pt>
                <c:pt idx="842">
                  <c:v>6.2785681623318492</c:v>
                </c:pt>
                <c:pt idx="843">
                  <c:v>4.7625432672977075</c:v>
                </c:pt>
                <c:pt idx="844">
                  <c:v>5.8799321341555402</c:v>
                </c:pt>
                <c:pt idx="845">
                  <c:v>5.5900150227545877</c:v>
                </c:pt>
                <c:pt idx="846">
                  <c:v>6.8131028364773538</c:v>
                </c:pt>
                <c:pt idx="847">
                  <c:v>6.2423285234067301</c:v>
                </c:pt>
                <c:pt idx="848">
                  <c:v>6.0128108102143125</c:v>
                </c:pt>
                <c:pt idx="849">
                  <c:v>6.1909890349294834</c:v>
                </c:pt>
                <c:pt idx="850">
                  <c:v>4.9135417628190394</c:v>
                </c:pt>
                <c:pt idx="851">
                  <c:v>5.568875233381605</c:v>
                </c:pt>
                <c:pt idx="852">
                  <c:v>6.0460304792289987</c:v>
                </c:pt>
                <c:pt idx="853">
                  <c:v>4.4061868178673738</c:v>
                </c:pt>
                <c:pt idx="854">
                  <c:v>5.568875233381605</c:v>
                </c:pt>
                <c:pt idx="855">
                  <c:v>6.1003899376166775</c:v>
                </c:pt>
                <c:pt idx="856">
                  <c:v>5.3091578210849155</c:v>
                </c:pt>
                <c:pt idx="857">
                  <c:v>7.2962980221456029</c:v>
                </c:pt>
                <c:pt idx="858">
                  <c:v>6.9671213019091089</c:v>
                </c:pt>
                <c:pt idx="859">
                  <c:v>7.1392595868034245</c:v>
                </c:pt>
                <c:pt idx="860">
                  <c:v>7.9274717334247624</c:v>
                </c:pt>
                <c:pt idx="861">
                  <c:v>9.739453679680711</c:v>
                </c:pt>
                <c:pt idx="862">
                  <c:v>11.182999296864622</c:v>
                </c:pt>
                <c:pt idx="863">
                  <c:v>9.5733553346072533</c:v>
                </c:pt>
                <c:pt idx="864">
                  <c:v>6.8855821143275913</c:v>
                </c:pt>
                <c:pt idx="865">
                  <c:v>6.8010229568356504</c:v>
                </c:pt>
                <c:pt idx="866">
                  <c:v>9.9176319043958827</c:v>
                </c:pt>
                <c:pt idx="867">
                  <c:v>7.3113978716977392</c:v>
                </c:pt>
                <c:pt idx="868">
                  <c:v>9.2109589453560616</c:v>
                </c:pt>
                <c:pt idx="869">
                  <c:v>8.9059419844029737</c:v>
                </c:pt>
                <c:pt idx="870">
                  <c:v>7.5439355548005897</c:v>
                </c:pt>
                <c:pt idx="871">
                  <c:v>6.9641013319986849</c:v>
                </c:pt>
                <c:pt idx="872">
                  <c:v>7.0486604894906266</c:v>
                </c:pt>
                <c:pt idx="873">
                  <c:v>7.278178202683053</c:v>
                </c:pt>
                <c:pt idx="874">
                  <c:v>6.8674622948650317</c:v>
                </c:pt>
                <c:pt idx="875">
                  <c:v>5.9101318332598112</c:v>
                </c:pt>
                <c:pt idx="876">
                  <c:v>8.1328296873337713</c:v>
                </c:pt>
                <c:pt idx="877">
                  <c:v>11.176959357043767</c:v>
                </c:pt>
                <c:pt idx="878">
                  <c:v>9.7303937699494298</c:v>
                </c:pt>
                <c:pt idx="879">
                  <c:v>10.437066728989251</c:v>
                </c:pt>
                <c:pt idx="880">
                  <c:v>8.5888451438081823</c:v>
                </c:pt>
                <c:pt idx="881">
                  <c:v>7.187579105370256</c:v>
                </c:pt>
                <c:pt idx="882">
                  <c:v>8.1539694767067559</c:v>
                </c:pt>
                <c:pt idx="883">
                  <c:v>7.5650753441735725</c:v>
                </c:pt>
                <c:pt idx="884">
                  <c:v>5.9795911411996165</c:v>
                </c:pt>
                <c:pt idx="885">
                  <c:v>6.1064298774375336</c:v>
                </c:pt>
                <c:pt idx="886">
                  <c:v>6.1638093057356445</c:v>
                </c:pt>
                <c:pt idx="887">
                  <c:v>6.4597663569574433</c:v>
                </c:pt>
                <c:pt idx="888">
                  <c:v>6.9278616930735666</c:v>
                </c:pt>
                <c:pt idx="889">
                  <c:v>9.6186548832636518</c:v>
                </c:pt>
                <c:pt idx="890">
                  <c:v>8.0965900484086539</c:v>
                </c:pt>
                <c:pt idx="891">
                  <c:v>9.4344367187276319</c:v>
                </c:pt>
                <c:pt idx="892">
                  <c:v>12.327567892916267</c:v>
                </c:pt>
                <c:pt idx="893">
                  <c:v>11.173939387133343</c:v>
                </c:pt>
                <c:pt idx="894">
                  <c:v>10.370627390959868</c:v>
                </c:pt>
                <c:pt idx="895">
                  <c:v>7.6013149830986917</c:v>
                </c:pt>
                <c:pt idx="896">
                  <c:v>9.5642954248759722</c:v>
                </c:pt>
                <c:pt idx="897">
                  <c:v>11.400437130415337</c:v>
                </c:pt>
                <c:pt idx="898">
                  <c:v>13.611055104847503</c:v>
                </c:pt>
                <c:pt idx="899">
                  <c:v>12.415147020318669</c:v>
                </c:pt>
                <c:pt idx="900">
                  <c:v>8.6552844818375654</c:v>
                </c:pt>
                <c:pt idx="901">
                  <c:v>6.7768631975522347</c:v>
                </c:pt>
                <c:pt idx="902">
                  <c:v>5.0373605291465235</c:v>
                </c:pt>
                <c:pt idx="903">
                  <c:v>6.8251827161190652</c:v>
                </c:pt>
                <c:pt idx="904">
                  <c:v>11.025960861522435</c:v>
                </c:pt>
                <c:pt idx="905">
                  <c:v>10.376667330780727</c:v>
                </c:pt>
                <c:pt idx="906">
                  <c:v>9.8964921150228999</c:v>
                </c:pt>
                <c:pt idx="907">
                  <c:v>10.33438775203475</c:v>
                </c:pt>
                <c:pt idx="908">
                  <c:v>10.21358895561769</c:v>
                </c:pt>
                <c:pt idx="909">
                  <c:v>9.9297117840375861</c:v>
                </c:pt>
                <c:pt idx="910">
                  <c:v>8.2868481527655291</c:v>
                </c:pt>
                <c:pt idx="911">
                  <c:v>7.6194348025612504</c:v>
                </c:pt>
                <c:pt idx="912">
                  <c:v>7.0486604894906266</c:v>
                </c:pt>
                <c:pt idx="913">
                  <c:v>6.7406235586271155</c:v>
                </c:pt>
                <c:pt idx="914">
                  <c:v>6.6711642506873101</c:v>
                </c:pt>
                <c:pt idx="915">
                  <c:v>7.1181197974304418</c:v>
                </c:pt>
                <c:pt idx="916">
                  <c:v>6.9550414222674055</c:v>
                </c:pt>
                <c:pt idx="917">
                  <c:v>5.9282516527223716</c:v>
                </c:pt>
                <c:pt idx="918">
                  <c:v>7.1483194965347039</c:v>
                </c:pt>
                <c:pt idx="919">
                  <c:v>7.2842181425039003</c:v>
                </c:pt>
                <c:pt idx="920">
                  <c:v>6.6137848223891993</c:v>
                </c:pt>
                <c:pt idx="921">
                  <c:v>6.4627863268678762</c:v>
                </c:pt>
                <c:pt idx="922">
                  <c:v>6.5624453339119526</c:v>
                </c:pt>
                <c:pt idx="923">
                  <c:v>6.970141271819533</c:v>
                </c:pt>
                <c:pt idx="924">
                  <c:v>6.2966879817944079</c:v>
                </c:pt>
                <c:pt idx="925">
                  <c:v>7.5982950131882676</c:v>
                </c:pt>
                <c:pt idx="926">
                  <c:v>8.5948850836290411</c:v>
                </c:pt>
                <c:pt idx="927">
                  <c:v>8.0965900484086539</c:v>
                </c:pt>
                <c:pt idx="928">
                  <c:v>7.2540184433996373</c:v>
                </c:pt>
                <c:pt idx="929">
                  <c:v>10.748123629763196</c:v>
                </c:pt>
                <c:pt idx="930">
                  <c:v>6.4899660560617063</c:v>
                </c:pt>
                <c:pt idx="931">
                  <c:v>7.2268387142057975</c:v>
                </c:pt>
                <c:pt idx="932">
                  <c:v>8.4680463473911232</c:v>
                </c:pt>
                <c:pt idx="933">
                  <c:v>10.246808624632378</c:v>
                </c:pt>
                <c:pt idx="934">
                  <c:v>8.6009250234498964</c:v>
                </c:pt>
                <c:pt idx="935">
                  <c:v>6.6590843710455978</c:v>
                </c:pt>
                <c:pt idx="936">
                  <c:v>8.7277637596878126</c:v>
                </c:pt>
                <c:pt idx="937">
                  <c:v>8.8364826764631701</c:v>
                </c:pt>
                <c:pt idx="938">
                  <c:v>7.5650753441735725</c:v>
                </c:pt>
                <c:pt idx="939">
                  <c:v>6.1517294260939321</c:v>
                </c:pt>
                <c:pt idx="940">
                  <c:v>7.4352166380252322</c:v>
                </c:pt>
                <c:pt idx="941">
                  <c:v>8.5465655650622097</c:v>
                </c:pt>
                <c:pt idx="942">
                  <c:v>7.7855331476347187</c:v>
                </c:pt>
                <c:pt idx="943">
                  <c:v>8.4197268288243006</c:v>
                </c:pt>
                <c:pt idx="944">
                  <c:v>8.2596684235716893</c:v>
                </c:pt>
                <c:pt idx="945">
                  <c:v>7.4714562769503514</c:v>
                </c:pt>
                <c:pt idx="946">
                  <c:v>8.7881631578963386</c:v>
                </c:pt>
                <c:pt idx="947">
                  <c:v>7.1905990752806792</c:v>
                </c:pt>
                <c:pt idx="948">
                  <c:v>7.4412565778460884</c:v>
                </c:pt>
                <c:pt idx="949">
                  <c:v>8.0996100183190762</c:v>
                </c:pt>
                <c:pt idx="950">
                  <c:v>9.2532385241020378</c:v>
                </c:pt>
                <c:pt idx="951">
                  <c:v>9.8844122353811876</c:v>
                </c:pt>
                <c:pt idx="952">
                  <c:v>11.022940891612011</c:v>
                </c:pt>
                <c:pt idx="953">
                  <c:v>12.01651099214236</c:v>
                </c:pt>
                <c:pt idx="954">
                  <c:v>11.028980831432866</c:v>
                </c:pt>
                <c:pt idx="955">
                  <c:v>13.330197903177924</c:v>
                </c:pt>
                <c:pt idx="956">
                  <c:v>8.1298097174233401</c:v>
                </c:pt>
                <c:pt idx="957">
                  <c:v>7.1996589850119594</c:v>
                </c:pt>
                <c:pt idx="958">
                  <c:v>6.5292256648972575</c:v>
                </c:pt>
                <c:pt idx="959">
                  <c:v>6.2695082526005681</c:v>
                </c:pt>
                <c:pt idx="960">
                  <c:v>6.2966879817944079</c:v>
                </c:pt>
                <c:pt idx="961">
                  <c:v>5.079640107892498</c:v>
                </c:pt>
                <c:pt idx="962">
                  <c:v>4.1313695560185488</c:v>
                </c:pt>
                <c:pt idx="963">
                  <c:v>4.4907459753593155</c:v>
                </c:pt>
                <c:pt idx="964">
                  <c:v>3.6511943402607225</c:v>
                </c:pt>
                <c:pt idx="965">
                  <c:v>3.3250375899346571</c:v>
                </c:pt>
                <c:pt idx="966">
                  <c:v>3.6300545508877393</c:v>
                </c:pt>
                <c:pt idx="967">
                  <c:v>3.57871506241049</c:v>
                </c:pt>
                <c:pt idx="968">
                  <c:v>3.6511943402607225</c:v>
                </c:pt>
                <c:pt idx="969">
                  <c:v>3.6451544004398664</c:v>
                </c:pt>
                <c:pt idx="970">
                  <c:v>3.590794942052197</c:v>
                </c:pt>
                <c:pt idx="971">
                  <c:v>4.0437904286161839</c:v>
                </c:pt>
                <c:pt idx="972">
                  <c:v>5.8527524049617003</c:v>
                </c:pt>
                <c:pt idx="973">
                  <c:v>25.760394054493645</c:v>
                </c:pt>
                <c:pt idx="974">
                  <c:v>23.712854455224509</c:v>
                </c:pt>
                <c:pt idx="975">
                  <c:v>18.059470782905858</c:v>
                </c:pt>
                <c:pt idx="976">
                  <c:v>14.018751042755184</c:v>
                </c:pt>
                <c:pt idx="977">
                  <c:v>9.8240128371726527</c:v>
                </c:pt>
                <c:pt idx="978">
                  <c:v>6.695324009970717</c:v>
                </c:pt>
                <c:pt idx="979">
                  <c:v>6.4990259657929856</c:v>
                </c:pt>
                <c:pt idx="980">
                  <c:v>5.1611792954740157</c:v>
                </c:pt>
                <c:pt idx="981">
                  <c:v>5.1188997167280412</c:v>
                </c:pt>
                <c:pt idx="982">
                  <c:v>4.9648812512962852</c:v>
                </c:pt>
                <c:pt idx="983">
                  <c:v>5.50847583517307</c:v>
                </c:pt>
                <c:pt idx="984">
                  <c:v>7.5862151335465642</c:v>
                </c:pt>
                <c:pt idx="985">
                  <c:v>7.2811981725934771</c:v>
                </c:pt>
                <c:pt idx="986">
                  <c:v>6.3027279216152641</c:v>
                </c:pt>
                <c:pt idx="987">
                  <c:v>6.9188017833422863</c:v>
                </c:pt>
                <c:pt idx="988">
                  <c:v>7.0758402186844664</c:v>
                </c:pt>
                <c:pt idx="989">
                  <c:v>7.3838771495479776</c:v>
                </c:pt>
                <c:pt idx="990">
                  <c:v>5.29405797153278</c:v>
                </c:pt>
                <c:pt idx="991">
                  <c:v>5.0101807999526837</c:v>
                </c:pt>
                <c:pt idx="992">
                  <c:v>5.4239166776811292</c:v>
                </c:pt>
                <c:pt idx="993">
                  <c:v>5.0736001680716427</c:v>
                </c:pt>
                <c:pt idx="994">
                  <c:v>4.4967859151801708</c:v>
                </c:pt>
                <c:pt idx="995">
                  <c:v>4.8289826053270897</c:v>
                </c:pt>
                <c:pt idx="996">
                  <c:v>5.2064788441304151</c:v>
                </c:pt>
                <c:pt idx="997">
                  <c:v>5.6262546616797069</c:v>
                </c:pt>
                <c:pt idx="998">
                  <c:v>4.9195817026398867</c:v>
                </c:pt>
                <c:pt idx="999">
                  <c:v>4.2008288639583631</c:v>
                </c:pt>
                <c:pt idx="1000">
                  <c:v>4.7504633876560041</c:v>
                </c:pt>
                <c:pt idx="1001">
                  <c:v>9.3438376214148349</c:v>
                </c:pt>
                <c:pt idx="1002">
                  <c:v>8.2808082129446721</c:v>
                </c:pt>
                <c:pt idx="1003">
                  <c:v>8.797223067627618</c:v>
                </c:pt>
                <c:pt idx="1004">
                  <c:v>7.9727712820811609</c:v>
                </c:pt>
                <c:pt idx="1005">
                  <c:v>4.8591823044313607</c:v>
                </c:pt>
                <c:pt idx="1006">
                  <c:v>4.1827090444958035</c:v>
                </c:pt>
                <c:pt idx="1007">
                  <c:v>3.8263525950654609</c:v>
                </c:pt>
                <c:pt idx="1008">
                  <c:v>4.3276676001962802</c:v>
                </c:pt>
                <c:pt idx="1009">
                  <c:v>5.0464204388778029</c:v>
                </c:pt>
                <c:pt idx="1010">
                  <c:v>5.8527524049617003</c:v>
                </c:pt>
                <c:pt idx="1011">
                  <c:v>4.0588902781683114</c:v>
                </c:pt>
                <c:pt idx="1012">
                  <c:v>3.9894309702284962</c:v>
                </c:pt>
                <c:pt idx="1013">
                  <c:v>4.7504633876560041</c:v>
                </c:pt>
                <c:pt idx="1014">
                  <c:v>4.1132497365559892</c:v>
                </c:pt>
                <c:pt idx="1015">
                  <c:v>4.288407991360728</c:v>
                </c:pt>
                <c:pt idx="1016">
                  <c:v>4.7534833575664273</c:v>
                </c:pt>
                <c:pt idx="1017">
                  <c:v>4.895421943356471</c:v>
                </c:pt>
                <c:pt idx="1018">
                  <c:v>5.0645402583403625</c:v>
                </c:pt>
                <c:pt idx="1019">
                  <c:v>4.1857290144062276</c:v>
                </c:pt>
                <c:pt idx="1020">
                  <c:v>4.4545063364341964</c:v>
                </c:pt>
                <c:pt idx="1021">
                  <c:v>4.8924019734460469</c:v>
                </c:pt>
                <c:pt idx="1022">
                  <c:v>4.7867030265811144</c:v>
                </c:pt>
                <c:pt idx="1023">
                  <c:v>6.1940090048399075</c:v>
                </c:pt>
                <c:pt idx="1024">
                  <c:v>6.7285436789854121</c:v>
                </c:pt>
                <c:pt idx="1025">
                  <c:v>7.1634193460868403</c:v>
                </c:pt>
                <c:pt idx="1026">
                  <c:v>7.9304917033351945</c:v>
                </c:pt>
                <c:pt idx="1027">
                  <c:v>6.1275696668105253</c:v>
                </c:pt>
                <c:pt idx="1028">
                  <c:v>6.6862641002394376</c:v>
                </c:pt>
                <c:pt idx="1029">
                  <c:v>7.63755462202381</c:v>
                </c:pt>
                <c:pt idx="1030">
                  <c:v>7.1483194965347039</c:v>
                </c:pt>
                <c:pt idx="1031">
                  <c:v>6.9822211514612453</c:v>
                </c:pt>
                <c:pt idx="1032">
                  <c:v>7.1664393159972635</c:v>
                </c:pt>
                <c:pt idx="1033">
                  <c:v>8.9240618038655342</c:v>
                </c:pt>
                <c:pt idx="1034">
                  <c:v>6.6409645515830373</c:v>
                </c:pt>
                <c:pt idx="1035">
                  <c:v>8.5465655650622168</c:v>
                </c:pt>
                <c:pt idx="1036">
                  <c:v>8.3019480023176637</c:v>
                </c:pt>
                <c:pt idx="1037">
                  <c:v>9.1294197577745457</c:v>
                </c:pt>
                <c:pt idx="1038">
                  <c:v>7.4956160362337672</c:v>
                </c:pt>
                <c:pt idx="1039">
                  <c:v>7.2056989248328147</c:v>
                </c:pt>
                <c:pt idx="1040">
                  <c:v>8.8606424357465752</c:v>
                </c:pt>
                <c:pt idx="1041">
                  <c:v>9.6579144920991933</c:v>
                </c:pt>
                <c:pt idx="1042">
                  <c:v>12.680904372436178</c:v>
                </c:pt>
                <c:pt idx="1043">
                  <c:v>12.650704673331942</c:v>
                </c:pt>
                <c:pt idx="1044">
                  <c:v>12.433266839781227</c:v>
                </c:pt>
                <c:pt idx="1045">
                  <c:v>8.1932290855423062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5A-46EB-97A0-CBC0F9DD8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503951"/>
        <c:axId val="1923504431"/>
      </c:scatterChart>
      <c:valAx>
        <c:axId val="192350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3504431"/>
        <c:crosses val="autoZero"/>
        <c:crossBetween val="midCat"/>
      </c:valAx>
      <c:valAx>
        <c:axId val="192350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350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838199</xdr:colOff>
      <xdr:row>3</xdr:row>
      <xdr:rowOff>0</xdr:rowOff>
    </xdr:from>
    <xdr:to>
      <xdr:col>22</xdr:col>
      <xdr:colOff>219074</xdr:colOff>
      <xdr:row>27</xdr:row>
      <xdr:rowOff>28575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F6E2476-DDC7-4318-BC75-B5B1E9D53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2</xdr:row>
      <xdr:rowOff>128587</xdr:rowOff>
    </xdr:from>
    <xdr:to>
      <xdr:col>12</xdr:col>
      <xdr:colOff>666750</xdr:colOff>
      <xdr:row>18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7FB67E6-8B27-D136-55A2-777807FF0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542925</xdr:colOff>
      <xdr:row>19</xdr:row>
      <xdr:rowOff>38100</xdr:rowOff>
    </xdr:from>
    <xdr:to>
      <xdr:col>12</xdr:col>
      <xdr:colOff>657225</xdr:colOff>
      <xdr:row>35</xdr:row>
      <xdr:rowOff>61913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2E5A33D-A69D-4AC0-8977-A61132B22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004C081-0188-4833-986F-99F22C429C0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B95AF-CDAD-4881-A37B-4974C470566B}" name="MRS_LCP" displayName="MRS_LCP" ref="A1:I1443" tableType="queryTable" totalsRowShown="0">
  <autoFilter ref="A1:I1443" xr:uid="{21BB95AF-CDAD-4881-A37B-4974C470566B}"/>
  <tableColumns count="9">
    <tableColumn id="1" xr3:uid="{366E37E0-2871-47A6-8B66-A90378516DA9}" uniqueName="1" name="Column1" queryTableFieldId="1" dataDxfId="8"/>
    <tableColumn id="2" xr3:uid="{7CCB1FEA-00AA-4872-B6BC-1B78D1B56F05}" uniqueName="2" name="Column2" queryTableFieldId="2" dataDxfId="7"/>
    <tableColumn id="3" xr3:uid="{75E3D77B-E3EA-42DB-A79B-FD26D2DAB823}" uniqueName="3" name="Column3" queryTableFieldId="3" dataDxfId="6"/>
    <tableColumn id="4" xr3:uid="{E1A9814B-25F0-468F-BE8C-190620A26956}" uniqueName="4" name="Column4" queryTableFieldId="4" dataDxfId="5"/>
    <tableColumn id="5" xr3:uid="{1EF231FB-03DF-4C98-B667-FEBE4ED5AF94}" uniqueName="5" name="Column5" queryTableFieldId="5" dataDxfId="4"/>
    <tableColumn id="6" xr3:uid="{9F0D7C14-692D-4480-A471-CB652A945CFD}" uniqueName="6" name="Column6" queryTableFieldId="6" dataDxfId="3"/>
    <tableColumn id="7" xr3:uid="{5C35B8C6-C2BF-436D-B7C3-FF9336E7B86D}" uniqueName="7" name="Column7" queryTableFieldId="7" dataDxfId="2"/>
    <tableColumn id="8" xr3:uid="{2F7729AB-A0DD-4EEA-835D-8D5F467B76E3}" uniqueName="8" name="Column8" queryTableFieldId="8" dataDxfId="1"/>
    <tableColumn id="9" xr3:uid="{66D0CEFE-51DB-487C-9D1F-3E5739669E0F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EDB8-9710-42EA-B022-13ACE2F8A759}">
  <dimension ref="A1:F1046"/>
  <sheetViews>
    <sheetView workbookViewId="0">
      <selection activeCell="I13" sqref="I13"/>
    </sheetView>
  </sheetViews>
  <sheetFormatPr defaultColWidth="11.42578125" defaultRowHeight="14.25"/>
  <cols>
    <col min="1" max="1" width="40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1.9366666666666601</v>
      </c>
      <c r="C2">
        <v>2.6766666666666601</v>
      </c>
      <c r="D2">
        <v>3.8233333333333301</v>
      </c>
      <c r="E2">
        <v>16.499333333333301</v>
      </c>
      <c r="F2">
        <v>35.440333333333299</v>
      </c>
    </row>
    <row r="3" spans="1:6">
      <c r="A3" t="s">
        <v>7</v>
      </c>
      <c r="B3">
        <v>2.1599999999999899</v>
      </c>
      <c r="C3">
        <v>3.1566666666666601</v>
      </c>
      <c r="D3">
        <v>4.8966666666666603</v>
      </c>
      <c r="E3">
        <v>15.860666666666599</v>
      </c>
      <c r="F3">
        <v>36.744333333333302</v>
      </c>
    </row>
    <row r="4" spans="1:6">
      <c r="A4" t="s">
        <v>8</v>
      </c>
      <c r="B4">
        <v>1.5599999999999901</v>
      </c>
      <c r="C4">
        <v>2.1733333333333298</v>
      </c>
      <c r="D4">
        <v>2.86666666666666</v>
      </c>
      <c r="E4">
        <v>15.481</v>
      </c>
      <c r="F4">
        <v>37.1666666666666</v>
      </c>
    </row>
    <row r="5" spans="1:6">
      <c r="A5" t="s">
        <v>9</v>
      </c>
      <c r="B5">
        <v>1.59666666666666</v>
      </c>
      <c r="C5">
        <v>2.1566666666666601</v>
      </c>
      <c r="D5">
        <v>2.7566666666666602</v>
      </c>
      <c r="E5">
        <v>15.1129999999999</v>
      </c>
      <c r="F5">
        <v>38.076999999999998</v>
      </c>
    </row>
    <row r="6" spans="1:6">
      <c r="A6" t="s">
        <v>10</v>
      </c>
      <c r="B6">
        <v>1.4299999999999899</v>
      </c>
      <c r="C6">
        <v>1.97</v>
      </c>
      <c r="D6">
        <v>2.6533333333333302</v>
      </c>
      <c r="E6">
        <v>14.551</v>
      </c>
      <c r="F6">
        <v>38.664999999999999</v>
      </c>
    </row>
    <row r="7" spans="1:6">
      <c r="A7" t="s">
        <v>11</v>
      </c>
      <c r="B7">
        <v>2.2966666666666602</v>
      </c>
      <c r="C7">
        <v>3.1566666666666601</v>
      </c>
      <c r="D7">
        <v>4.1366666666666596</v>
      </c>
      <c r="E7">
        <v>14.379</v>
      </c>
      <c r="F7">
        <v>39.295666666666598</v>
      </c>
    </row>
    <row r="8" spans="1:6">
      <c r="A8" t="s">
        <v>12</v>
      </c>
      <c r="B8">
        <v>2.2000000000000002</v>
      </c>
      <c r="C8">
        <v>3.0933333333333302</v>
      </c>
      <c r="D8">
        <v>4.2033333333333296</v>
      </c>
      <c r="E8">
        <v>14.3719999999999</v>
      </c>
      <c r="F8">
        <v>39.0743333333333</v>
      </c>
    </row>
    <row r="9" spans="1:6">
      <c r="A9" t="s">
        <v>13</v>
      </c>
      <c r="B9">
        <v>2.99</v>
      </c>
      <c r="C9">
        <v>3.9466666666666601</v>
      </c>
      <c r="D9">
        <v>5.45</v>
      </c>
      <c r="E9">
        <v>14.235999999999899</v>
      </c>
      <c r="F9">
        <v>39.576666666666597</v>
      </c>
    </row>
    <row r="10" spans="1:6">
      <c r="A10" t="s">
        <v>14</v>
      </c>
      <c r="B10">
        <v>3.2266666666666599</v>
      </c>
      <c r="C10">
        <v>4.7699999999999898</v>
      </c>
      <c r="D10">
        <v>6.3066666666666604</v>
      </c>
      <c r="E10">
        <v>14.0236666666666</v>
      </c>
      <c r="F10">
        <v>39.910333333333298</v>
      </c>
    </row>
    <row r="11" spans="1:6">
      <c r="A11" t="s">
        <v>15</v>
      </c>
      <c r="B11">
        <v>2.4966666666666599</v>
      </c>
      <c r="C11">
        <v>3.79</v>
      </c>
      <c r="D11">
        <v>4.7633333333333301</v>
      </c>
      <c r="E11">
        <v>13.7216666666666</v>
      </c>
      <c r="F11">
        <v>40.475000000000001</v>
      </c>
    </row>
    <row r="12" spans="1:6">
      <c r="A12" t="s">
        <v>16</v>
      </c>
      <c r="B12">
        <v>2.78</v>
      </c>
      <c r="C12">
        <v>3.5733333333333301</v>
      </c>
      <c r="D12">
        <v>4.72</v>
      </c>
      <c r="E12">
        <v>13.515666666666601</v>
      </c>
      <c r="F12">
        <v>41.0103333333333</v>
      </c>
    </row>
    <row r="13" spans="1:6">
      <c r="A13" t="s">
        <v>17</v>
      </c>
      <c r="B13">
        <v>2.8133333333333299</v>
      </c>
      <c r="C13">
        <v>3.8966666666666598</v>
      </c>
      <c r="D13">
        <v>4.7</v>
      </c>
      <c r="E13">
        <v>13.290333333333299</v>
      </c>
      <c r="F13">
        <v>41.502000000000002</v>
      </c>
    </row>
    <row r="14" spans="1:6">
      <c r="A14" t="s">
        <v>18</v>
      </c>
      <c r="B14">
        <v>3.0933333333333302</v>
      </c>
      <c r="C14">
        <v>4.1933333333333298</v>
      </c>
      <c r="D14">
        <v>4.9366666666666603</v>
      </c>
      <c r="E14">
        <v>12.950333333333299</v>
      </c>
      <c r="F14">
        <v>42.006</v>
      </c>
    </row>
    <row r="15" spans="1:6">
      <c r="A15" t="s">
        <v>19</v>
      </c>
      <c r="B15">
        <v>4.66</v>
      </c>
      <c r="C15">
        <v>5.7433333333333296</v>
      </c>
      <c r="D15">
        <v>7.39333333333333</v>
      </c>
      <c r="E15">
        <v>12.828666666666599</v>
      </c>
      <c r="F15">
        <v>43.012666666666597</v>
      </c>
    </row>
    <row r="16" spans="1:6">
      <c r="A16" t="s">
        <v>20</v>
      </c>
      <c r="B16">
        <v>4.0533333333333301</v>
      </c>
      <c r="C16">
        <v>6.3566666666666602</v>
      </c>
      <c r="D16">
        <v>8.18333333333333</v>
      </c>
      <c r="E16">
        <v>12.8143333333333</v>
      </c>
      <c r="F16">
        <v>43.639000000000003</v>
      </c>
    </row>
    <row r="17" spans="1:6">
      <c r="A17" t="s">
        <v>21</v>
      </c>
      <c r="B17">
        <v>3.55</v>
      </c>
      <c r="C17">
        <v>4.5466666666666598</v>
      </c>
      <c r="D17">
        <v>5.8233333333333297</v>
      </c>
      <c r="E17">
        <v>12.7313333333333</v>
      </c>
      <c r="F17">
        <v>43.547999999999902</v>
      </c>
    </row>
    <row r="18" spans="1:6">
      <c r="A18" t="s">
        <v>22</v>
      </c>
      <c r="B18">
        <v>12.0966666666666</v>
      </c>
      <c r="C18">
        <v>15.646666666666601</v>
      </c>
      <c r="D18">
        <v>17.716666666666601</v>
      </c>
      <c r="E18">
        <v>12.1733333333333</v>
      </c>
      <c r="F18">
        <v>45.352999999999902</v>
      </c>
    </row>
    <row r="19" spans="1:6">
      <c r="A19" t="s">
        <v>23</v>
      </c>
      <c r="B19">
        <v>15.29</v>
      </c>
      <c r="C19">
        <v>19.559999999999999</v>
      </c>
      <c r="D19">
        <v>22.093333333333302</v>
      </c>
      <c r="E19">
        <v>11.658333333333299</v>
      </c>
      <c r="F19">
        <v>46.496333333333297</v>
      </c>
    </row>
    <row r="20" spans="1:6">
      <c r="A20" t="s">
        <v>24</v>
      </c>
      <c r="B20">
        <v>16.1533333333333</v>
      </c>
      <c r="C20">
        <v>20.216666666666601</v>
      </c>
      <c r="D20">
        <v>25.266666666666602</v>
      </c>
      <c r="E20">
        <v>11.249666666666601</v>
      </c>
      <c r="F20">
        <v>47.4806666666666</v>
      </c>
    </row>
    <row r="21" spans="1:6">
      <c r="A21" t="s">
        <v>25</v>
      </c>
      <c r="B21">
        <v>15.81</v>
      </c>
      <c r="C21">
        <v>19.8533333333333</v>
      </c>
      <c r="D21">
        <v>22.893333333333299</v>
      </c>
      <c r="E21">
        <v>10.9303333333333</v>
      </c>
      <c r="F21">
        <v>48.342333333333301</v>
      </c>
    </row>
    <row r="22" spans="1:6">
      <c r="A22" t="s">
        <v>26</v>
      </c>
      <c r="B22">
        <v>14.9466666666666</v>
      </c>
      <c r="C22">
        <v>19.119999999999902</v>
      </c>
      <c r="D22">
        <v>23.399999999999899</v>
      </c>
      <c r="E22">
        <v>10.5993333333333</v>
      </c>
      <c r="F22">
        <v>49.250333333333302</v>
      </c>
    </row>
    <row r="23" spans="1:6">
      <c r="A23" t="s">
        <v>27</v>
      </c>
      <c r="B23">
        <v>9.3833333333333293</v>
      </c>
      <c r="C23">
        <v>12.466666666666599</v>
      </c>
      <c r="D23">
        <v>14.55</v>
      </c>
      <c r="E23">
        <v>10.563333333333301</v>
      </c>
      <c r="F23">
        <v>48.960333333333303</v>
      </c>
    </row>
    <row r="24" spans="1:6">
      <c r="A24" t="s">
        <v>28</v>
      </c>
      <c r="B24">
        <v>11.3233333333333</v>
      </c>
      <c r="C24">
        <v>14.8499999999999</v>
      </c>
      <c r="D24">
        <v>18.259999999999899</v>
      </c>
      <c r="E24">
        <v>10.342666666666601</v>
      </c>
      <c r="F24">
        <v>49.5803333333333</v>
      </c>
    </row>
    <row r="25" spans="1:6">
      <c r="A25" t="s">
        <v>29</v>
      </c>
      <c r="B25">
        <v>14.4266666666666</v>
      </c>
      <c r="C25">
        <v>17.849999999999898</v>
      </c>
      <c r="D25">
        <v>21.759999999999899</v>
      </c>
      <c r="E25">
        <v>10.148999999999999</v>
      </c>
      <c r="F25">
        <v>50.363</v>
      </c>
    </row>
    <row r="26" spans="1:6">
      <c r="A26" t="s">
        <v>30</v>
      </c>
      <c r="B26">
        <v>14.76</v>
      </c>
      <c r="C26">
        <v>18.323333333333299</v>
      </c>
      <c r="D26">
        <v>20.973333333333301</v>
      </c>
      <c r="E26">
        <v>10.0906666666666</v>
      </c>
      <c r="F26">
        <v>50.467333333333301</v>
      </c>
    </row>
    <row r="27" spans="1:6">
      <c r="A27" t="s">
        <v>31</v>
      </c>
      <c r="B27">
        <v>14.08</v>
      </c>
      <c r="C27">
        <v>18.286666666666601</v>
      </c>
      <c r="D27">
        <v>20.523333333333301</v>
      </c>
      <c r="E27">
        <v>10.0836666666666</v>
      </c>
      <c r="F27">
        <v>50.694666666666599</v>
      </c>
    </row>
    <row r="28" spans="1:6">
      <c r="A28" t="s">
        <v>32</v>
      </c>
      <c r="B28">
        <v>14.283333333333299</v>
      </c>
      <c r="C28">
        <v>18.046666666666599</v>
      </c>
      <c r="D28">
        <v>21.033333333333299</v>
      </c>
      <c r="E28">
        <v>9.9710000000000001</v>
      </c>
      <c r="F28">
        <v>50.871666666666599</v>
      </c>
    </row>
    <row r="29" spans="1:6">
      <c r="A29" t="s">
        <v>33</v>
      </c>
      <c r="B29">
        <v>14.223333333333301</v>
      </c>
      <c r="C29">
        <v>18.78</v>
      </c>
      <c r="D29">
        <v>23.336666666666599</v>
      </c>
      <c r="E29">
        <v>9.8206666666666607</v>
      </c>
      <c r="F29">
        <v>51.3973333333333</v>
      </c>
    </row>
    <row r="30" spans="1:6">
      <c r="A30" t="s">
        <v>34</v>
      </c>
      <c r="B30">
        <v>11.3433333333333</v>
      </c>
      <c r="C30">
        <v>14.2866666666666</v>
      </c>
      <c r="D30">
        <v>16.633333333333301</v>
      </c>
      <c r="E30">
        <v>9.859</v>
      </c>
      <c r="F30">
        <v>51.555666666666603</v>
      </c>
    </row>
    <row r="31" spans="1:6">
      <c r="A31" t="s">
        <v>35</v>
      </c>
      <c r="B31">
        <v>12.6133333333333</v>
      </c>
      <c r="C31">
        <v>16.77</v>
      </c>
      <c r="D31">
        <v>20.806666666666601</v>
      </c>
      <c r="E31">
        <v>9.9083333333333297</v>
      </c>
      <c r="F31">
        <v>51.496666666666599</v>
      </c>
    </row>
    <row r="32" spans="1:6">
      <c r="A32" t="s">
        <v>36</v>
      </c>
      <c r="B32">
        <v>11.3799999999999</v>
      </c>
      <c r="C32">
        <v>14.0966666666666</v>
      </c>
      <c r="D32">
        <v>16.309999999999999</v>
      </c>
      <c r="E32">
        <v>9.8466666666666605</v>
      </c>
      <c r="F32">
        <v>51.551333333333297</v>
      </c>
    </row>
    <row r="33" spans="1:6">
      <c r="A33" t="s">
        <v>37</v>
      </c>
      <c r="B33">
        <v>9.66</v>
      </c>
      <c r="C33">
        <v>12.5833333333333</v>
      </c>
      <c r="D33">
        <v>17.48</v>
      </c>
      <c r="E33">
        <v>10.018000000000001</v>
      </c>
      <c r="F33">
        <v>51.189333333333302</v>
      </c>
    </row>
    <row r="34" spans="1:6">
      <c r="A34" t="s">
        <v>38</v>
      </c>
      <c r="B34">
        <v>7.4666666666666597</v>
      </c>
      <c r="C34">
        <v>9.5633333333333308</v>
      </c>
      <c r="D34">
        <v>11.2899999999999</v>
      </c>
      <c r="E34">
        <v>10.043666666666599</v>
      </c>
      <c r="F34">
        <v>50.6829999999999</v>
      </c>
    </row>
    <row r="35" spans="1:6">
      <c r="A35" t="s">
        <v>39</v>
      </c>
      <c r="B35">
        <v>5.9866666666666601</v>
      </c>
      <c r="C35">
        <v>7.7066666666666599</v>
      </c>
      <c r="D35">
        <v>8.7966666666666598</v>
      </c>
      <c r="E35">
        <v>10.140666666666601</v>
      </c>
      <c r="F35">
        <v>50.781999999999996</v>
      </c>
    </row>
    <row r="36" spans="1:6">
      <c r="A36" t="s">
        <v>40</v>
      </c>
      <c r="B36">
        <v>6.7266666666666604</v>
      </c>
      <c r="C36">
        <v>8.8466666666666605</v>
      </c>
      <c r="D36">
        <v>11.713333333333299</v>
      </c>
      <c r="E36">
        <v>10.192</v>
      </c>
      <c r="F36">
        <v>50.622666666666603</v>
      </c>
    </row>
    <row r="37" spans="1:6">
      <c r="A37" t="s">
        <v>41</v>
      </c>
      <c r="B37">
        <v>7.2166666666666597</v>
      </c>
      <c r="C37">
        <v>9.4533333333333296</v>
      </c>
      <c r="D37">
        <v>11.063333333333301</v>
      </c>
      <c r="E37">
        <v>10.0263333333333</v>
      </c>
      <c r="F37">
        <v>50.719000000000001</v>
      </c>
    </row>
    <row r="38" spans="1:6">
      <c r="A38" t="s">
        <v>42</v>
      </c>
      <c r="B38">
        <v>6.68333333333333</v>
      </c>
      <c r="C38">
        <v>9.17</v>
      </c>
      <c r="D38">
        <v>10.2866666666666</v>
      </c>
      <c r="E38">
        <v>9.8786666666666605</v>
      </c>
      <c r="F38">
        <v>51.207999999999998</v>
      </c>
    </row>
    <row r="39" spans="1:6">
      <c r="A39" t="s">
        <v>43</v>
      </c>
      <c r="B39">
        <v>6.2233333333333301</v>
      </c>
      <c r="C39">
        <v>8.1766666666666605</v>
      </c>
      <c r="D39">
        <v>10.386666666666599</v>
      </c>
      <c r="E39">
        <v>10.114333333333301</v>
      </c>
      <c r="F39">
        <v>50.186333333333302</v>
      </c>
    </row>
    <row r="40" spans="1:6">
      <c r="A40" t="s">
        <v>44</v>
      </c>
      <c r="B40">
        <v>4.9433333333333298</v>
      </c>
      <c r="C40">
        <v>6.36666666666666</v>
      </c>
      <c r="D40">
        <v>7.5966666666666596</v>
      </c>
      <c r="E40">
        <v>10.340999999999999</v>
      </c>
      <c r="F40">
        <v>49.365333333333297</v>
      </c>
    </row>
    <row r="41" spans="1:6">
      <c r="A41" t="s">
        <v>45</v>
      </c>
      <c r="B41">
        <v>4.2766666666666602</v>
      </c>
      <c r="C41">
        <v>5.4466666666666601</v>
      </c>
      <c r="D41">
        <v>6.4866666666666601</v>
      </c>
      <c r="E41">
        <v>10.3476666666666</v>
      </c>
      <c r="F41">
        <v>49.047333333333299</v>
      </c>
    </row>
    <row r="42" spans="1:6">
      <c r="A42" t="s">
        <v>46</v>
      </c>
      <c r="B42">
        <v>3.86666666666666</v>
      </c>
      <c r="C42">
        <v>5.32666666666666</v>
      </c>
      <c r="D42">
        <v>6.1133333333333297</v>
      </c>
      <c r="E42">
        <v>10.4279999999999</v>
      </c>
      <c r="F42">
        <v>48.591999999999999</v>
      </c>
    </row>
    <row r="43" spans="1:6">
      <c r="A43" t="s">
        <v>47</v>
      </c>
      <c r="B43">
        <v>3.12333333333333</v>
      </c>
      <c r="C43">
        <v>3.66333333333333</v>
      </c>
      <c r="D43">
        <v>4.0033333333333303</v>
      </c>
      <c r="E43">
        <v>10.6026666666666</v>
      </c>
      <c r="F43">
        <v>48.326999999999899</v>
      </c>
    </row>
    <row r="44" spans="1:6">
      <c r="A44" t="s">
        <v>48</v>
      </c>
      <c r="B44">
        <v>2.91</v>
      </c>
      <c r="C44">
        <v>3.7366666666666601</v>
      </c>
      <c r="D44">
        <v>4.8599999999999897</v>
      </c>
      <c r="E44">
        <v>10.694333333333301</v>
      </c>
      <c r="F44">
        <v>47.973333333333301</v>
      </c>
    </row>
    <row r="45" spans="1:6">
      <c r="A45" t="s">
        <v>49</v>
      </c>
      <c r="B45">
        <v>3.88</v>
      </c>
      <c r="C45">
        <v>4.7366666666666601</v>
      </c>
      <c r="D45">
        <v>5.6266666666666598</v>
      </c>
      <c r="E45">
        <v>10.454666666666601</v>
      </c>
      <c r="F45">
        <v>48.379999999999903</v>
      </c>
    </row>
    <row r="46" spans="1:6">
      <c r="A46" t="s">
        <v>50</v>
      </c>
      <c r="B46">
        <v>2.48</v>
      </c>
      <c r="C46">
        <v>3.62</v>
      </c>
      <c r="D46">
        <v>4.2633333333333301</v>
      </c>
      <c r="E46">
        <v>10.504</v>
      </c>
      <c r="F46">
        <v>48.07</v>
      </c>
    </row>
    <row r="47" spans="1:6">
      <c r="A47" t="s">
        <v>51</v>
      </c>
      <c r="B47">
        <v>2.0933333333333302</v>
      </c>
      <c r="C47">
        <v>2.7933333333333299</v>
      </c>
      <c r="D47">
        <v>3.43333333333333</v>
      </c>
      <c r="E47">
        <v>11.052</v>
      </c>
      <c r="F47">
        <v>46.2929999999999</v>
      </c>
    </row>
    <row r="48" spans="1:6">
      <c r="A48" t="s">
        <v>52</v>
      </c>
      <c r="B48">
        <v>2.0299999999999998</v>
      </c>
      <c r="C48">
        <v>2.6466666666666598</v>
      </c>
      <c r="D48">
        <v>2.8366666666666598</v>
      </c>
      <c r="E48">
        <v>11.4903333333333</v>
      </c>
      <c r="F48">
        <v>45.8853333333333</v>
      </c>
    </row>
    <row r="49" spans="1:6">
      <c r="A49" t="s">
        <v>53</v>
      </c>
      <c r="B49">
        <v>1.88333333333333</v>
      </c>
      <c r="C49">
        <v>2.3033333333333301</v>
      </c>
      <c r="D49">
        <v>2.6366666666666601</v>
      </c>
      <c r="E49">
        <v>11.589</v>
      </c>
      <c r="F49">
        <v>46.107666666666603</v>
      </c>
    </row>
    <row r="50" spans="1:6">
      <c r="A50" t="s">
        <v>54</v>
      </c>
      <c r="B50">
        <v>2.0866666666666598</v>
      </c>
      <c r="C50">
        <v>2.7899999999999898</v>
      </c>
      <c r="D50">
        <v>3.69</v>
      </c>
      <c r="E50">
        <v>11.7666666666666</v>
      </c>
      <c r="F50">
        <v>44.816999999999901</v>
      </c>
    </row>
    <row r="51" spans="1:6">
      <c r="A51" t="s">
        <v>55</v>
      </c>
      <c r="B51">
        <v>2.0299999999999998</v>
      </c>
      <c r="C51">
        <v>2.8766666666666598</v>
      </c>
      <c r="D51">
        <v>3.53</v>
      </c>
      <c r="E51">
        <v>11.736999999999901</v>
      </c>
      <c r="F51">
        <v>45.244666666666603</v>
      </c>
    </row>
    <row r="52" spans="1:6">
      <c r="A52" t="s">
        <v>56</v>
      </c>
      <c r="B52">
        <v>2.44</v>
      </c>
      <c r="C52">
        <v>3.1033333333333299</v>
      </c>
      <c r="D52">
        <v>4.4799999999999898</v>
      </c>
      <c r="E52">
        <v>11.963999999999899</v>
      </c>
      <c r="F52">
        <v>45.16</v>
      </c>
    </row>
    <row r="53" spans="1:6">
      <c r="A53" t="s">
        <v>57</v>
      </c>
      <c r="B53">
        <v>2.36666666666666</v>
      </c>
      <c r="C53">
        <v>3.03666666666666</v>
      </c>
      <c r="D53">
        <v>3.9766666666666599</v>
      </c>
      <c r="E53">
        <v>11.771666666666601</v>
      </c>
      <c r="F53">
        <v>45.960666666666597</v>
      </c>
    </row>
    <row r="54" spans="1:6">
      <c r="A54" t="s">
        <v>58</v>
      </c>
      <c r="B54">
        <v>2.08</v>
      </c>
      <c r="C54">
        <v>2.96999999999999</v>
      </c>
      <c r="D54">
        <v>3.58</v>
      </c>
      <c r="E54">
        <v>11.9586666666666</v>
      </c>
      <c r="F54">
        <v>47.028999999999897</v>
      </c>
    </row>
    <row r="55" spans="1:6">
      <c r="A55" t="s">
        <v>59</v>
      </c>
      <c r="B55">
        <v>3.4033333333333302</v>
      </c>
      <c r="C55">
        <v>4.3033333333333301</v>
      </c>
      <c r="D55">
        <v>4.88</v>
      </c>
      <c r="E55">
        <v>12.174333333333299</v>
      </c>
      <c r="F55">
        <v>48.781333333333301</v>
      </c>
    </row>
    <row r="56" spans="1:6">
      <c r="A56" t="s">
        <v>60</v>
      </c>
      <c r="B56">
        <v>2.21999999999999</v>
      </c>
      <c r="C56">
        <v>3.5466666666666602</v>
      </c>
      <c r="D56">
        <v>4.7066666666666599</v>
      </c>
      <c r="E56">
        <v>12.708</v>
      </c>
      <c r="F56">
        <v>49.597999999999999</v>
      </c>
    </row>
    <row r="57" spans="1:6">
      <c r="A57" t="s">
        <v>61</v>
      </c>
      <c r="B57">
        <v>2.4633333333333298</v>
      </c>
      <c r="C57">
        <v>3.8433333333333302</v>
      </c>
      <c r="D57">
        <v>5.0566666666666604</v>
      </c>
      <c r="E57">
        <v>13.0903333333333</v>
      </c>
      <c r="F57">
        <v>50.228666666666598</v>
      </c>
    </row>
    <row r="58" spans="1:6">
      <c r="A58" t="s">
        <v>62</v>
      </c>
      <c r="B58">
        <v>2.4766666666666599</v>
      </c>
      <c r="C58">
        <v>3.29</v>
      </c>
      <c r="D58">
        <v>5.7999999999999901</v>
      </c>
      <c r="E58">
        <v>13.360999999999899</v>
      </c>
      <c r="F58">
        <v>50.744999999999997</v>
      </c>
    </row>
    <row r="59" spans="1:6">
      <c r="A59" t="s">
        <v>63</v>
      </c>
      <c r="B59">
        <v>2.5866666666666598</v>
      </c>
      <c r="C59">
        <v>3.88</v>
      </c>
      <c r="D59">
        <v>6.1366666666666596</v>
      </c>
      <c r="E59">
        <v>13.408333333333299</v>
      </c>
      <c r="F59">
        <v>52.6576666666666</v>
      </c>
    </row>
    <row r="60" spans="1:6">
      <c r="A60" t="s">
        <v>64</v>
      </c>
      <c r="B60">
        <v>2.71</v>
      </c>
      <c r="C60">
        <v>3.99</v>
      </c>
      <c r="D60">
        <v>6.8966666666666603</v>
      </c>
      <c r="E60">
        <v>13.313666666666601</v>
      </c>
      <c r="F60">
        <v>55.588999999999999</v>
      </c>
    </row>
    <row r="61" spans="1:6">
      <c r="A61" t="s">
        <v>65</v>
      </c>
      <c r="B61">
        <v>3.0933333333333302</v>
      </c>
      <c r="C61">
        <v>3.4666666666666601</v>
      </c>
      <c r="D61">
        <v>4.6633333333333304</v>
      </c>
      <c r="E61">
        <v>13.466666666666599</v>
      </c>
      <c r="F61">
        <v>57.773999999999901</v>
      </c>
    </row>
    <row r="62" spans="1:6">
      <c r="A62" t="s">
        <v>66</v>
      </c>
      <c r="B62">
        <v>3.4799999999999902</v>
      </c>
      <c r="C62">
        <v>3.87</v>
      </c>
      <c r="D62">
        <v>5.2366666666666601</v>
      </c>
      <c r="E62">
        <v>13.5843333333333</v>
      </c>
      <c r="F62">
        <v>59.1636666666666</v>
      </c>
    </row>
    <row r="63" spans="1:6">
      <c r="A63" t="s">
        <v>67</v>
      </c>
      <c r="B63">
        <v>3.0833333333333299</v>
      </c>
      <c r="C63">
        <v>3.41333333333333</v>
      </c>
      <c r="D63">
        <v>4.6299999999999901</v>
      </c>
      <c r="E63">
        <v>13.746</v>
      </c>
      <c r="F63">
        <v>59.640333333333302</v>
      </c>
    </row>
    <row r="64" spans="1:6">
      <c r="A64" t="s">
        <v>68</v>
      </c>
      <c r="B64">
        <v>3.57666666666666</v>
      </c>
      <c r="C64">
        <v>3.9833333333333298</v>
      </c>
      <c r="D64">
        <v>5.39333333333333</v>
      </c>
      <c r="E64">
        <v>13.906666666666601</v>
      </c>
      <c r="F64">
        <v>61.341999999999899</v>
      </c>
    </row>
    <row r="65" spans="1:6">
      <c r="A65" t="s">
        <v>69</v>
      </c>
      <c r="B65">
        <v>3.03666666666666</v>
      </c>
      <c r="C65">
        <v>3.37</v>
      </c>
      <c r="D65">
        <v>4.58</v>
      </c>
      <c r="E65">
        <v>14.18</v>
      </c>
      <c r="F65">
        <v>61.625333333333302</v>
      </c>
    </row>
    <row r="66" spans="1:6">
      <c r="A66" t="s">
        <v>70</v>
      </c>
      <c r="B66">
        <v>2.9966666666666599</v>
      </c>
      <c r="C66">
        <v>3.3433333333333302</v>
      </c>
      <c r="D66">
        <v>4.5166666666666604</v>
      </c>
      <c r="E66">
        <v>14.2956666666666</v>
      </c>
      <c r="F66">
        <v>62.475333333333303</v>
      </c>
    </row>
    <row r="67" spans="1:6">
      <c r="A67" t="s">
        <v>71</v>
      </c>
      <c r="B67">
        <v>2.68333333333333</v>
      </c>
      <c r="C67">
        <v>2.9799999999999902</v>
      </c>
      <c r="D67">
        <v>4.0433333333333303</v>
      </c>
      <c r="E67">
        <v>14.469999999999899</v>
      </c>
      <c r="F67">
        <v>62.912666666666603</v>
      </c>
    </row>
    <row r="68" spans="1:6">
      <c r="A68" t="s">
        <v>72</v>
      </c>
      <c r="B68">
        <v>1.62666666666666</v>
      </c>
      <c r="C68">
        <v>1.8099999999999901</v>
      </c>
      <c r="D68">
        <v>2.46999999999999</v>
      </c>
      <c r="E68">
        <v>14.8793333333333</v>
      </c>
      <c r="F68">
        <v>62.570333333333302</v>
      </c>
    </row>
    <row r="69" spans="1:6">
      <c r="A69" t="s">
        <v>73</v>
      </c>
      <c r="B69">
        <v>1.2533333333333301</v>
      </c>
      <c r="C69">
        <v>1.3999999999999899</v>
      </c>
      <c r="D69">
        <v>1.9099999999999899</v>
      </c>
      <c r="E69">
        <v>14.821</v>
      </c>
      <c r="F69">
        <v>63.375666666666604</v>
      </c>
    </row>
    <row r="70" spans="1:6">
      <c r="A70" t="s">
        <v>74</v>
      </c>
      <c r="B70">
        <v>1.5633333333333299</v>
      </c>
      <c r="C70">
        <v>1.7366666666666599</v>
      </c>
      <c r="D70">
        <v>2.3633333333333302</v>
      </c>
      <c r="E70">
        <v>15.107333333333299</v>
      </c>
      <c r="F70">
        <v>62.880999999999901</v>
      </c>
    </row>
    <row r="71" spans="1:6">
      <c r="A71" t="s">
        <v>75</v>
      </c>
      <c r="B71">
        <v>1.36333333333333</v>
      </c>
      <c r="C71">
        <v>1.5166666666666599</v>
      </c>
      <c r="D71">
        <v>2.0699999999999998</v>
      </c>
      <c r="E71">
        <v>15.4433333333333</v>
      </c>
      <c r="F71">
        <v>62.267666666666599</v>
      </c>
    </row>
    <row r="72" spans="1:6">
      <c r="A72" t="s">
        <v>76</v>
      </c>
      <c r="B72">
        <v>1.4833333333333301</v>
      </c>
      <c r="C72">
        <v>1.6566666666666601</v>
      </c>
      <c r="D72">
        <v>2.2533333333333299</v>
      </c>
      <c r="E72">
        <v>15.4846666666666</v>
      </c>
      <c r="F72">
        <v>62.445666666666597</v>
      </c>
    </row>
    <row r="73" spans="1:6">
      <c r="A73" t="s">
        <v>77</v>
      </c>
      <c r="B73">
        <v>1.26</v>
      </c>
      <c r="C73">
        <v>1.41333333333333</v>
      </c>
      <c r="D73">
        <v>1.92</v>
      </c>
      <c r="E73">
        <v>15.484</v>
      </c>
      <c r="F73">
        <v>62.539333333333303</v>
      </c>
    </row>
    <row r="74" spans="1:6">
      <c r="A74" t="s">
        <v>78</v>
      </c>
      <c r="B74">
        <v>1.27666666666666</v>
      </c>
      <c r="C74">
        <v>1.4166666666666601</v>
      </c>
      <c r="D74">
        <v>1.9366666666666601</v>
      </c>
      <c r="E74">
        <v>15.7793333333333</v>
      </c>
      <c r="F74">
        <v>62.358333333333299</v>
      </c>
    </row>
    <row r="75" spans="1:6">
      <c r="A75" t="s">
        <v>79</v>
      </c>
      <c r="B75">
        <v>1.71333333333333</v>
      </c>
      <c r="C75">
        <v>1.8999999999999899</v>
      </c>
      <c r="D75">
        <v>2.5833333333333299</v>
      </c>
      <c r="E75">
        <v>16.043666666666599</v>
      </c>
      <c r="F75">
        <v>62.547666666666601</v>
      </c>
    </row>
    <row r="76" spans="1:6">
      <c r="A76" t="s">
        <v>80</v>
      </c>
      <c r="B76">
        <v>2.25</v>
      </c>
      <c r="C76">
        <v>2.4966666666666599</v>
      </c>
      <c r="D76">
        <v>3.39333333333333</v>
      </c>
      <c r="E76">
        <v>16.210333333333299</v>
      </c>
      <c r="F76">
        <v>63.071666666666601</v>
      </c>
    </row>
    <row r="77" spans="1:6">
      <c r="A77" t="s">
        <v>81</v>
      </c>
      <c r="B77">
        <v>2.16333333333333</v>
      </c>
      <c r="C77">
        <v>2.4033333333333302</v>
      </c>
      <c r="D77">
        <v>3.2633333333333301</v>
      </c>
      <c r="E77">
        <v>16.719333333333299</v>
      </c>
      <c r="F77">
        <v>62.179000000000002</v>
      </c>
    </row>
    <row r="78" spans="1:6">
      <c r="A78" t="s">
        <v>82</v>
      </c>
      <c r="B78">
        <v>2.66333333333333</v>
      </c>
      <c r="C78">
        <v>2.96999999999999</v>
      </c>
      <c r="D78">
        <v>4.0299999999999896</v>
      </c>
      <c r="E78">
        <v>16.765000000000001</v>
      </c>
      <c r="F78">
        <v>61.871666666666599</v>
      </c>
    </row>
    <row r="79" spans="1:6">
      <c r="A79" t="s">
        <v>83</v>
      </c>
      <c r="B79">
        <v>2.9566666666666599</v>
      </c>
      <c r="C79">
        <v>3.28</v>
      </c>
      <c r="D79">
        <v>4.47</v>
      </c>
      <c r="E79">
        <v>16.989999999999998</v>
      </c>
      <c r="F79">
        <v>61.829666666666597</v>
      </c>
    </row>
    <row r="80" spans="1:6">
      <c r="A80" t="s">
        <v>84</v>
      </c>
      <c r="B80">
        <v>4.39333333333333</v>
      </c>
      <c r="C80">
        <v>4.8899999999999997</v>
      </c>
      <c r="D80">
        <v>6.6266666666666598</v>
      </c>
      <c r="E80">
        <v>17.094666666666601</v>
      </c>
      <c r="F80">
        <v>62.893666666666597</v>
      </c>
    </row>
    <row r="81" spans="1:6">
      <c r="A81" t="s">
        <v>85</v>
      </c>
      <c r="B81">
        <v>3.6666666666666599</v>
      </c>
      <c r="C81">
        <v>4.0666666666666602</v>
      </c>
      <c r="D81">
        <v>5.53</v>
      </c>
      <c r="E81">
        <v>17.253</v>
      </c>
      <c r="F81">
        <v>61.598666666666603</v>
      </c>
    </row>
    <row r="82" spans="1:6">
      <c r="A82" t="s">
        <v>86</v>
      </c>
      <c r="B82">
        <v>4.28666666666666</v>
      </c>
      <c r="C82">
        <v>4.75</v>
      </c>
      <c r="D82">
        <v>6.4433333333333298</v>
      </c>
      <c r="E82">
        <v>17.401</v>
      </c>
      <c r="F82">
        <v>61.469000000000001</v>
      </c>
    </row>
    <row r="83" spans="1:6">
      <c r="A83" t="s">
        <v>87</v>
      </c>
      <c r="B83">
        <v>5.4766666666666604</v>
      </c>
      <c r="C83">
        <v>6.0933333333333302</v>
      </c>
      <c r="D83">
        <v>8.2566666666666606</v>
      </c>
      <c r="E83">
        <v>17.7796666666666</v>
      </c>
      <c r="F83">
        <v>61.174333333333301</v>
      </c>
    </row>
    <row r="84" spans="1:6">
      <c r="A84" t="s">
        <v>88</v>
      </c>
      <c r="B84">
        <v>7.25</v>
      </c>
      <c r="C84">
        <v>8.0433333333333294</v>
      </c>
      <c r="D84">
        <v>10.886666666666599</v>
      </c>
      <c r="E84">
        <v>18.462333333333302</v>
      </c>
      <c r="F84">
        <v>60.930666666666603</v>
      </c>
    </row>
    <row r="85" spans="1:6">
      <c r="A85" t="s">
        <v>89</v>
      </c>
      <c r="B85">
        <v>10.0166666666666</v>
      </c>
      <c r="C85">
        <v>11.133333333333301</v>
      </c>
      <c r="D85">
        <v>15.046666666666599</v>
      </c>
      <c r="E85">
        <v>18.850666666666601</v>
      </c>
      <c r="F85">
        <v>61.216333333333303</v>
      </c>
    </row>
    <row r="86" spans="1:6">
      <c r="A86" t="s">
        <v>90</v>
      </c>
      <c r="B86">
        <v>10.199999999999999</v>
      </c>
      <c r="C86">
        <v>11.3366666666666</v>
      </c>
      <c r="D86">
        <v>15.3266666666666</v>
      </c>
      <c r="E86">
        <v>19.047999999999998</v>
      </c>
      <c r="F86">
        <v>60.5223333333333</v>
      </c>
    </row>
    <row r="87" spans="1:6">
      <c r="A87" t="s">
        <v>91</v>
      </c>
      <c r="B87">
        <v>9.6999999999999993</v>
      </c>
      <c r="C87">
        <v>10.7666666666666</v>
      </c>
      <c r="D87">
        <v>14.569999999999901</v>
      </c>
      <c r="E87">
        <v>19.143000000000001</v>
      </c>
      <c r="F87">
        <v>59.475666666666598</v>
      </c>
    </row>
    <row r="88" spans="1:6">
      <c r="A88" t="s">
        <v>92</v>
      </c>
      <c r="B88">
        <v>10.0266666666666</v>
      </c>
      <c r="C88">
        <v>11.136666666666599</v>
      </c>
      <c r="D88">
        <v>15.06</v>
      </c>
      <c r="E88">
        <v>19.325999999999901</v>
      </c>
      <c r="F88">
        <v>58.973666666666603</v>
      </c>
    </row>
    <row r="89" spans="1:6">
      <c r="A89" t="s">
        <v>93</v>
      </c>
      <c r="B89">
        <v>10.639999999999899</v>
      </c>
      <c r="C89">
        <v>11.81</v>
      </c>
      <c r="D89">
        <v>15.969999999999899</v>
      </c>
      <c r="E89">
        <v>19.098666666666599</v>
      </c>
      <c r="F89">
        <v>59.870333333333299</v>
      </c>
    </row>
    <row r="90" spans="1:6">
      <c r="A90" t="s">
        <v>94</v>
      </c>
      <c r="B90">
        <v>12.7866666666666</v>
      </c>
      <c r="C90">
        <v>14.19</v>
      </c>
      <c r="D90">
        <v>19.2</v>
      </c>
      <c r="E90">
        <v>19.216000000000001</v>
      </c>
      <c r="F90">
        <v>60.491</v>
      </c>
    </row>
    <row r="91" spans="1:6">
      <c r="A91" t="s">
        <v>95</v>
      </c>
      <c r="B91">
        <v>10.5233333333333</v>
      </c>
      <c r="C91">
        <v>11.6766666666666</v>
      </c>
      <c r="D91">
        <v>15.803333333333301</v>
      </c>
      <c r="E91">
        <v>19.082333333333299</v>
      </c>
      <c r="F91">
        <v>60.386333333333297</v>
      </c>
    </row>
    <row r="92" spans="1:6">
      <c r="A92" t="s">
        <v>96</v>
      </c>
      <c r="B92">
        <v>12.0899999999999</v>
      </c>
      <c r="C92">
        <v>13.42</v>
      </c>
      <c r="D92">
        <v>18.1666666666666</v>
      </c>
      <c r="E92">
        <v>19.201333333333299</v>
      </c>
      <c r="F92">
        <v>60.399333333333303</v>
      </c>
    </row>
    <row r="93" spans="1:6">
      <c r="A93" t="s">
        <v>97</v>
      </c>
      <c r="B93">
        <v>14.736666666666601</v>
      </c>
      <c r="C93">
        <v>16.3666666666666</v>
      </c>
      <c r="D93">
        <v>22.13</v>
      </c>
      <c r="E93">
        <v>19.3593333333333</v>
      </c>
      <c r="F93">
        <v>60.330666666666602</v>
      </c>
    </row>
    <row r="94" spans="1:6">
      <c r="A94" t="s">
        <v>98</v>
      </c>
      <c r="B94">
        <v>14.6733333333333</v>
      </c>
      <c r="C94">
        <v>16.283333333333299</v>
      </c>
      <c r="D94">
        <v>22.02</v>
      </c>
      <c r="E94">
        <v>19.154999999999902</v>
      </c>
      <c r="F94">
        <v>61.266666666666602</v>
      </c>
    </row>
    <row r="95" spans="1:6">
      <c r="A95" t="s">
        <v>99</v>
      </c>
      <c r="B95">
        <v>13.719999999999899</v>
      </c>
      <c r="C95">
        <v>15.233333333333301</v>
      </c>
      <c r="D95">
        <v>20.6033333333333</v>
      </c>
      <c r="E95">
        <v>19.070333333333298</v>
      </c>
      <c r="F95">
        <v>61.765333333333302</v>
      </c>
    </row>
    <row r="96" spans="1:6">
      <c r="A96" t="s">
        <v>100</v>
      </c>
      <c r="B96">
        <v>14.0266666666666</v>
      </c>
      <c r="C96">
        <v>15.58</v>
      </c>
      <c r="D96">
        <v>21.063333333333301</v>
      </c>
      <c r="E96">
        <v>18.851333333333301</v>
      </c>
      <c r="F96">
        <v>62.503</v>
      </c>
    </row>
    <row r="97" spans="1:6">
      <c r="A97" t="s">
        <v>101</v>
      </c>
      <c r="B97">
        <v>13.983333333333301</v>
      </c>
      <c r="C97">
        <v>15.5266666666666</v>
      </c>
      <c r="D97">
        <v>21</v>
      </c>
      <c r="E97">
        <v>18.9619999999999</v>
      </c>
      <c r="F97">
        <v>62.065666666666601</v>
      </c>
    </row>
    <row r="98" spans="1:6">
      <c r="A98" t="s">
        <v>102</v>
      </c>
      <c r="B98">
        <v>12.043333333333299</v>
      </c>
      <c r="C98">
        <v>13.386666666666599</v>
      </c>
      <c r="D98">
        <v>18.100000000000001</v>
      </c>
      <c r="E98">
        <v>18.9366666666666</v>
      </c>
      <c r="F98">
        <v>61.706666666666599</v>
      </c>
    </row>
    <row r="99" spans="1:6">
      <c r="A99" t="s">
        <v>103</v>
      </c>
      <c r="B99">
        <v>11.7866666666666</v>
      </c>
      <c r="C99">
        <v>13.0833333333333</v>
      </c>
      <c r="D99">
        <v>17.703333333333301</v>
      </c>
      <c r="E99">
        <v>18.873666666666601</v>
      </c>
      <c r="F99">
        <v>61.574999999999903</v>
      </c>
    </row>
    <row r="100" spans="1:6">
      <c r="A100" t="s">
        <v>104</v>
      </c>
      <c r="B100">
        <v>13.0133333333333</v>
      </c>
      <c r="C100">
        <v>14.453333333333299</v>
      </c>
      <c r="D100">
        <v>19.553333333333299</v>
      </c>
      <c r="E100">
        <v>18.710666666666601</v>
      </c>
      <c r="F100">
        <v>61.665999999999997</v>
      </c>
    </row>
    <row r="101" spans="1:6">
      <c r="A101" t="s">
        <v>105</v>
      </c>
      <c r="B101">
        <v>13.5233333333333</v>
      </c>
      <c r="C101">
        <v>15.01</v>
      </c>
      <c r="D101">
        <v>20.303333333333299</v>
      </c>
      <c r="E101">
        <v>18.580666666666598</v>
      </c>
      <c r="F101">
        <v>61.795000000000002</v>
      </c>
    </row>
    <row r="102" spans="1:6">
      <c r="A102" t="s">
        <v>106</v>
      </c>
      <c r="B102">
        <v>12</v>
      </c>
      <c r="C102">
        <v>13.329999999999901</v>
      </c>
      <c r="D102">
        <v>18.023333333333301</v>
      </c>
      <c r="E102">
        <v>18.652666666666601</v>
      </c>
      <c r="F102">
        <v>61.2216666666666</v>
      </c>
    </row>
    <row r="103" spans="1:6">
      <c r="A103" t="s">
        <v>107</v>
      </c>
      <c r="B103">
        <v>12.1999999999999</v>
      </c>
      <c r="C103">
        <v>13.546666666666599</v>
      </c>
      <c r="D103">
        <v>18.329999999999998</v>
      </c>
      <c r="E103">
        <v>18.5996666666666</v>
      </c>
      <c r="F103">
        <v>61.66</v>
      </c>
    </row>
    <row r="104" spans="1:6">
      <c r="A104" t="s">
        <v>108</v>
      </c>
      <c r="B104">
        <v>12.806666666666599</v>
      </c>
      <c r="C104">
        <v>14.22</v>
      </c>
      <c r="D104">
        <v>19.226666666666599</v>
      </c>
      <c r="E104">
        <v>18.332333333333299</v>
      </c>
      <c r="F104">
        <v>62.030333333333303</v>
      </c>
    </row>
    <row r="105" spans="1:6">
      <c r="A105" t="s">
        <v>109</v>
      </c>
      <c r="B105">
        <v>12.6699999999999</v>
      </c>
      <c r="C105">
        <v>14.07</v>
      </c>
      <c r="D105">
        <v>19.036666666666601</v>
      </c>
      <c r="E105">
        <v>18.488333333333301</v>
      </c>
      <c r="F105">
        <v>62.003999999999998</v>
      </c>
    </row>
    <row r="106" spans="1:6">
      <c r="A106" t="s">
        <v>110</v>
      </c>
      <c r="B106">
        <v>11.5766666666666</v>
      </c>
      <c r="C106">
        <v>12.8533333333333</v>
      </c>
      <c r="D106">
        <v>17.399999999999899</v>
      </c>
      <c r="E106">
        <v>18.407333333333298</v>
      </c>
      <c r="F106">
        <v>62.241666666666603</v>
      </c>
    </row>
    <row r="107" spans="1:6">
      <c r="A107" t="s">
        <v>111</v>
      </c>
      <c r="B107">
        <v>10.979999999999899</v>
      </c>
      <c r="C107">
        <v>12.1966666666666</v>
      </c>
      <c r="D107">
        <v>16.496666666666599</v>
      </c>
      <c r="E107">
        <v>18.384999999999899</v>
      </c>
      <c r="F107">
        <v>62.133999999999901</v>
      </c>
    </row>
    <row r="108" spans="1:6">
      <c r="A108" t="s">
        <v>112</v>
      </c>
      <c r="B108">
        <v>10.1066666666666</v>
      </c>
      <c r="C108">
        <v>11.223333333333301</v>
      </c>
      <c r="D108">
        <v>15.1933333333333</v>
      </c>
      <c r="E108">
        <v>18.408333333333299</v>
      </c>
      <c r="F108">
        <v>62.367666666666601</v>
      </c>
    </row>
    <row r="109" spans="1:6">
      <c r="A109" t="s">
        <v>113</v>
      </c>
      <c r="B109">
        <v>8.8733333333333295</v>
      </c>
      <c r="C109">
        <v>9.8699999999999992</v>
      </c>
      <c r="D109">
        <v>13.3499999999999</v>
      </c>
      <c r="E109">
        <v>18.443666666666601</v>
      </c>
      <c r="F109">
        <v>62.2693333333333</v>
      </c>
    </row>
    <row r="110" spans="1:6">
      <c r="A110" t="s">
        <v>114</v>
      </c>
      <c r="B110">
        <v>8.7966666666666598</v>
      </c>
      <c r="C110">
        <v>9.7733333333333299</v>
      </c>
      <c r="D110">
        <v>13.229999999999899</v>
      </c>
      <c r="E110">
        <v>18.245666666666601</v>
      </c>
      <c r="F110">
        <v>63.0863333333333</v>
      </c>
    </row>
    <row r="111" spans="1:6">
      <c r="A111" t="s">
        <v>115</v>
      </c>
      <c r="B111">
        <v>9.5689655172413701</v>
      </c>
      <c r="C111">
        <v>10.627586206896501</v>
      </c>
      <c r="D111">
        <v>14.3793103448275</v>
      </c>
      <c r="E111">
        <v>18.077241379310301</v>
      </c>
      <c r="F111">
        <v>63.468620689655097</v>
      </c>
    </row>
    <row r="112" spans="1:6">
      <c r="A112" t="s">
        <v>116</v>
      </c>
      <c r="B112">
        <v>7.6633333333333304</v>
      </c>
      <c r="C112">
        <v>8.4999999999999893</v>
      </c>
      <c r="D112">
        <v>11.5233333333333</v>
      </c>
      <c r="E112">
        <v>18.152999999999999</v>
      </c>
      <c r="F112">
        <v>63.134999999999998</v>
      </c>
    </row>
    <row r="113" spans="1:6">
      <c r="A113" t="s">
        <v>117</v>
      </c>
      <c r="B113">
        <v>5.81</v>
      </c>
      <c r="C113">
        <v>6.4466666666666601</v>
      </c>
      <c r="D113">
        <v>8.73</v>
      </c>
      <c r="E113">
        <v>18.055</v>
      </c>
      <c r="F113">
        <v>62.6666666666666</v>
      </c>
    </row>
    <row r="114" spans="1:6">
      <c r="A114" t="s">
        <v>118</v>
      </c>
      <c r="B114">
        <v>6.0758620689655096</v>
      </c>
      <c r="C114">
        <v>6.74482758620689</v>
      </c>
      <c r="D114">
        <v>9.1482758620689602</v>
      </c>
      <c r="E114">
        <v>18.007931034482699</v>
      </c>
      <c r="F114">
        <v>62.576206896551703</v>
      </c>
    </row>
    <row r="115" spans="1:6">
      <c r="A115" t="s">
        <v>119</v>
      </c>
      <c r="B115">
        <v>7.4451612903225799</v>
      </c>
      <c r="C115">
        <v>8.2612903225806402</v>
      </c>
      <c r="D115">
        <v>11.1903225806451</v>
      </c>
      <c r="E115">
        <v>18.012580645161201</v>
      </c>
      <c r="F115">
        <v>63.224193548387099</v>
      </c>
    </row>
    <row r="116" spans="1:6">
      <c r="A116" t="s">
        <v>120</v>
      </c>
      <c r="B116">
        <v>6.96999999999999</v>
      </c>
      <c r="C116">
        <v>7.7566666666666597</v>
      </c>
      <c r="D116">
        <v>10.486666666666601</v>
      </c>
      <c r="E116">
        <v>18.178333333333299</v>
      </c>
      <c r="F116">
        <v>62.943999999999903</v>
      </c>
    </row>
    <row r="117" spans="1:6">
      <c r="A117" t="s">
        <v>121</v>
      </c>
      <c r="B117">
        <v>7.7033333333333296</v>
      </c>
      <c r="C117">
        <v>8.5666666666666593</v>
      </c>
      <c r="D117">
        <v>11.5766666666666</v>
      </c>
      <c r="E117">
        <v>18.043333333333301</v>
      </c>
      <c r="F117">
        <v>63.603000000000002</v>
      </c>
    </row>
    <row r="118" spans="1:6">
      <c r="A118" t="s">
        <v>122</v>
      </c>
      <c r="B118">
        <v>7.46</v>
      </c>
      <c r="C118">
        <v>8.2733333333333299</v>
      </c>
      <c r="D118">
        <v>11.203333333333299</v>
      </c>
      <c r="E118">
        <v>17.972000000000001</v>
      </c>
      <c r="F118">
        <v>63.104666666666603</v>
      </c>
    </row>
    <row r="119" spans="1:6">
      <c r="A119" t="s">
        <v>123</v>
      </c>
      <c r="B119">
        <v>5.2666666666666604</v>
      </c>
      <c r="C119">
        <v>5.8466666666666596</v>
      </c>
      <c r="D119">
        <v>7.9099999999999904</v>
      </c>
      <c r="E119">
        <v>18.027000000000001</v>
      </c>
      <c r="F119">
        <v>61.5803333333333</v>
      </c>
    </row>
    <row r="120" spans="1:6">
      <c r="A120" t="s">
        <v>124</v>
      </c>
      <c r="B120">
        <v>5.2566666666666597</v>
      </c>
      <c r="C120">
        <v>5.84</v>
      </c>
      <c r="D120">
        <v>7.9066666666666601</v>
      </c>
      <c r="E120">
        <v>17.889999999999901</v>
      </c>
      <c r="F120">
        <v>61.058999999999997</v>
      </c>
    </row>
    <row r="121" spans="1:6">
      <c r="A121" t="s">
        <v>125</v>
      </c>
      <c r="B121">
        <v>4.5066666666666597</v>
      </c>
      <c r="C121">
        <v>5.0166666666666604</v>
      </c>
      <c r="D121">
        <v>6.7966666666666598</v>
      </c>
      <c r="E121">
        <v>17.710999999999999</v>
      </c>
      <c r="F121">
        <v>61.290999999999897</v>
      </c>
    </row>
    <row r="122" spans="1:6">
      <c r="A122" t="s">
        <v>126</v>
      </c>
      <c r="B122">
        <v>4.37</v>
      </c>
      <c r="C122">
        <v>4.86666666666666</v>
      </c>
      <c r="D122">
        <v>6.59</v>
      </c>
      <c r="E122">
        <v>17.673666666666598</v>
      </c>
      <c r="F122">
        <v>61.491333333333301</v>
      </c>
    </row>
    <row r="123" spans="1:6">
      <c r="A123" t="s">
        <v>127</v>
      </c>
      <c r="B123">
        <v>3.48999999999999</v>
      </c>
      <c r="C123">
        <v>3.88</v>
      </c>
      <c r="D123">
        <v>5.26</v>
      </c>
      <c r="E123">
        <v>17.8333333333333</v>
      </c>
      <c r="F123">
        <v>61.189333333333302</v>
      </c>
    </row>
    <row r="124" spans="1:6">
      <c r="A124" t="s">
        <v>128</v>
      </c>
      <c r="B124">
        <v>4.13</v>
      </c>
      <c r="C124">
        <v>4.59</v>
      </c>
      <c r="D124">
        <v>6.2266666666666604</v>
      </c>
      <c r="E124">
        <v>17.829666666666601</v>
      </c>
      <c r="F124">
        <v>61.3943333333333</v>
      </c>
    </row>
    <row r="125" spans="1:6">
      <c r="A125" t="s">
        <v>129</v>
      </c>
      <c r="B125">
        <v>4.2133333333333303</v>
      </c>
      <c r="C125">
        <v>4.6933333333333298</v>
      </c>
      <c r="D125">
        <v>6.3466666666666596</v>
      </c>
      <c r="E125">
        <v>17.837</v>
      </c>
      <c r="F125">
        <v>61.783666666666598</v>
      </c>
    </row>
    <row r="126" spans="1:6">
      <c r="A126" t="s">
        <v>130</v>
      </c>
      <c r="B126">
        <v>4.51</v>
      </c>
      <c r="C126">
        <v>5.0299999999999896</v>
      </c>
      <c r="D126">
        <v>6.7933333333333303</v>
      </c>
      <c r="E126">
        <v>18.032333333333298</v>
      </c>
      <c r="F126">
        <v>61.683999999999997</v>
      </c>
    </row>
    <row r="127" spans="1:6">
      <c r="A127" t="s">
        <v>131</v>
      </c>
      <c r="B127">
        <v>3.9966666666666599</v>
      </c>
      <c r="C127">
        <v>4.4366666666666603</v>
      </c>
      <c r="D127">
        <v>6.0233333333333299</v>
      </c>
      <c r="E127">
        <v>18.242999999999999</v>
      </c>
      <c r="F127">
        <v>61.380666666666599</v>
      </c>
    </row>
    <row r="128" spans="1:6">
      <c r="A128" t="s">
        <v>132</v>
      </c>
      <c r="B128">
        <v>6.8633333333333297</v>
      </c>
      <c r="C128">
        <v>7.6133333333333297</v>
      </c>
      <c r="D128">
        <v>10.316666666666601</v>
      </c>
      <c r="E128">
        <v>18.291999999999899</v>
      </c>
      <c r="F128">
        <v>61.756666666666597</v>
      </c>
    </row>
    <row r="129" spans="1:6">
      <c r="A129" t="s">
        <v>133</v>
      </c>
      <c r="B129">
        <v>4.5466666666666598</v>
      </c>
      <c r="C129">
        <v>5.0533333333333301</v>
      </c>
      <c r="D129">
        <v>6.8533333333333299</v>
      </c>
      <c r="E129">
        <v>17.7923333333333</v>
      </c>
      <c r="F129">
        <v>63.488333333333301</v>
      </c>
    </row>
    <row r="130" spans="1:6">
      <c r="A130" t="s">
        <v>134</v>
      </c>
      <c r="B130">
        <v>4.21</v>
      </c>
      <c r="C130">
        <v>4.6766666666666596</v>
      </c>
      <c r="D130">
        <v>6.3366666666666598</v>
      </c>
      <c r="E130">
        <v>17.136666666666599</v>
      </c>
      <c r="F130">
        <v>65.367333333333306</v>
      </c>
    </row>
    <row r="131" spans="1:6">
      <c r="A131" t="s">
        <v>135</v>
      </c>
      <c r="B131">
        <v>3.94</v>
      </c>
      <c r="C131">
        <v>4.38</v>
      </c>
      <c r="D131">
        <v>5.93</v>
      </c>
      <c r="E131">
        <v>17.207666666666601</v>
      </c>
      <c r="F131">
        <v>64.996666666666599</v>
      </c>
    </row>
    <row r="132" spans="1:6">
      <c r="A132" t="s">
        <v>136</v>
      </c>
      <c r="B132">
        <v>5.0199999999999996</v>
      </c>
      <c r="C132">
        <v>5.57</v>
      </c>
      <c r="D132">
        <v>7.5499999999999901</v>
      </c>
      <c r="E132">
        <v>16.852999999999899</v>
      </c>
      <c r="F132">
        <v>65.070999999999998</v>
      </c>
    </row>
    <row r="133" spans="1:6">
      <c r="A133" t="s">
        <v>137</v>
      </c>
      <c r="B133">
        <v>4.1900000000000004</v>
      </c>
      <c r="C133">
        <v>4.6566666666666601</v>
      </c>
      <c r="D133">
        <v>6.2966666666666598</v>
      </c>
      <c r="E133">
        <v>16.736999999999998</v>
      </c>
      <c r="F133">
        <v>64.709000000000003</v>
      </c>
    </row>
    <row r="134" spans="1:6">
      <c r="A134" t="s">
        <v>138</v>
      </c>
      <c r="B134">
        <v>3.7933333333333299</v>
      </c>
      <c r="C134">
        <v>4.2066666666666599</v>
      </c>
      <c r="D134">
        <v>5.7033333333333296</v>
      </c>
      <c r="E134">
        <v>16.668666666666599</v>
      </c>
      <c r="F134">
        <v>64.781333333333293</v>
      </c>
    </row>
    <row r="135" spans="1:6">
      <c r="A135" t="s">
        <v>139</v>
      </c>
      <c r="B135">
        <v>2.4966666666666599</v>
      </c>
      <c r="C135">
        <v>2.7766666666666602</v>
      </c>
      <c r="D135">
        <v>3.78</v>
      </c>
      <c r="E135">
        <v>16.207333333333299</v>
      </c>
      <c r="F135">
        <v>63.957999999999998</v>
      </c>
    </row>
    <row r="136" spans="1:6">
      <c r="A136" t="s">
        <v>140</v>
      </c>
      <c r="B136">
        <v>1.7933333333333299</v>
      </c>
      <c r="C136">
        <v>2.0066666666666602</v>
      </c>
      <c r="D136">
        <v>2.7133333333333298</v>
      </c>
      <c r="E136">
        <v>15.5443333333333</v>
      </c>
      <c r="F136">
        <v>64.198999999999998</v>
      </c>
    </row>
    <row r="137" spans="1:6">
      <c r="A137" t="s">
        <v>141</v>
      </c>
      <c r="B137">
        <v>1.44333333333333</v>
      </c>
      <c r="C137">
        <v>1.6033333333333299</v>
      </c>
      <c r="D137">
        <v>2.1766666666666601</v>
      </c>
      <c r="E137">
        <v>15.428000000000001</v>
      </c>
      <c r="F137">
        <v>63.8986666666666</v>
      </c>
    </row>
    <row r="138" spans="1:6">
      <c r="A138" t="s">
        <v>142</v>
      </c>
      <c r="B138">
        <v>0.95333333333333303</v>
      </c>
      <c r="C138">
        <v>1.05666666666666</v>
      </c>
      <c r="D138">
        <v>1.46</v>
      </c>
      <c r="E138">
        <v>15.390333333333301</v>
      </c>
      <c r="F138">
        <v>64.223333333333301</v>
      </c>
    </row>
    <row r="139" spans="1:6">
      <c r="A139" t="s">
        <v>143</v>
      </c>
      <c r="B139">
        <v>1.7666666666666599</v>
      </c>
      <c r="C139">
        <v>1.9666666666666599</v>
      </c>
      <c r="D139">
        <v>2.6766666666666601</v>
      </c>
      <c r="E139">
        <v>15.377666666666601</v>
      </c>
      <c r="F139">
        <v>63.776000000000003</v>
      </c>
    </row>
    <row r="140" spans="1:6">
      <c r="A140" t="s">
        <v>144</v>
      </c>
      <c r="B140">
        <v>2.2166666666666601</v>
      </c>
      <c r="C140">
        <v>2.4700000000000002</v>
      </c>
      <c r="D140">
        <v>3.36666666666666</v>
      </c>
      <c r="E140">
        <v>15.088666666666599</v>
      </c>
      <c r="F140">
        <v>64.060333333333304</v>
      </c>
    </row>
    <row r="141" spans="1:6">
      <c r="A141" t="s">
        <v>145</v>
      </c>
      <c r="B141">
        <v>2.5799999999999899</v>
      </c>
      <c r="C141">
        <v>2.87333333333333</v>
      </c>
      <c r="D141">
        <v>3.8966666666666598</v>
      </c>
      <c r="E141">
        <v>14.858666666666601</v>
      </c>
      <c r="F141">
        <v>63.814666666666596</v>
      </c>
    </row>
    <row r="142" spans="1:6">
      <c r="A142" t="s">
        <v>146</v>
      </c>
      <c r="B142">
        <v>0.75</v>
      </c>
      <c r="C142">
        <v>0.84666666666666601</v>
      </c>
      <c r="D142">
        <v>1.17</v>
      </c>
      <c r="E142">
        <v>13.9073333333333</v>
      </c>
      <c r="F142">
        <v>62.4776666666666</v>
      </c>
    </row>
    <row r="143" spans="1:6">
      <c r="A143" t="s">
        <v>147</v>
      </c>
      <c r="B143">
        <v>0.68333333333333302</v>
      </c>
      <c r="C143">
        <v>0.76333333333333298</v>
      </c>
      <c r="D143">
        <v>1.05666666666666</v>
      </c>
      <c r="E143">
        <v>12.9716666666666</v>
      </c>
      <c r="F143">
        <v>61.892000000000003</v>
      </c>
    </row>
    <row r="144" spans="1:6">
      <c r="A144" t="s">
        <v>148</v>
      </c>
      <c r="B144">
        <v>0.47</v>
      </c>
      <c r="C144">
        <v>0.543333333333333</v>
      </c>
      <c r="D144">
        <v>0.74666666666666603</v>
      </c>
      <c r="E144">
        <v>12.5233333333333</v>
      </c>
      <c r="F144">
        <v>62.1486666666666</v>
      </c>
    </row>
    <row r="145" spans="1:6">
      <c r="A145" t="s">
        <v>149</v>
      </c>
      <c r="B145">
        <v>0.56999999999999995</v>
      </c>
      <c r="C145">
        <v>0.63333333333333297</v>
      </c>
      <c r="D145">
        <v>0.87666666666666604</v>
      </c>
      <c r="E145">
        <v>12.226999999999901</v>
      </c>
      <c r="F145">
        <v>61.6473333333333</v>
      </c>
    </row>
    <row r="146" spans="1:6">
      <c r="A146" t="s">
        <v>150</v>
      </c>
      <c r="B146">
        <v>0.56999999999999895</v>
      </c>
      <c r="C146">
        <v>0.61333333333333295</v>
      </c>
      <c r="D146">
        <v>0.85666666666666602</v>
      </c>
      <c r="E146">
        <v>12.0443333333333</v>
      </c>
      <c r="F146">
        <v>61.765333333333302</v>
      </c>
    </row>
    <row r="147" spans="1:6">
      <c r="A147" t="s">
        <v>151</v>
      </c>
      <c r="B147">
        <v>0.353333333333333</v>
      </c>
      <c r="C147">
        <v>0.39333333333333298</v>
      </c>
      <c r="D147">
        <v>0.62666666666666604</v>
      </c>
      <c r="E147">
        <v>11.942</v>
      </c>
      <c r="F147">
        <v>60.409666666666602</v>
      </c>
    </row>
    <row r="148" spans="1:6">
      <c r="A148" t="s">
        <v>152</v>
      </c>
      <c r="B148">
        <v>0.38333333333333303</v>
      </c>
      <c r="C148">
        <v>0.42666666666666597</v>
      </c>
      <c r="D148">
        <v>0.60333333333333306</v>
      </c>
      <c r="E148">
        <v>11.861333333333301</v>
      </c>
      <c r="F148">
        <v>59.977333333333299</v>
      </c>
    </row>
    <row r="149" spans="1:6">
      <c r="A149" t="s">
        <v>153</v>
      </c>
      <c r="B149">
        <v>0.37333333333333302</v>
      </c>
      <c r="C149">
        <v>0.41666666666666602</v>
      </c>
      <c r="D149">
        <v>0.58333333333333304</v>
      </c>
      <c r="E149">
        <v>11.767333333333299</v>
      </c>
      <c r="F149">
        <v>59.756666666666597</v>
      </c>
    </row>
    <row r="150" spans="1:6">
      <c r="A150" t="s">
        <v>154</v>
      </c>
      <c r="B150">
        <v>0.46999999999999897</v>
      </c>
      <c r="C150">
        <v>0.51666666666666605</v>
      </c>
      <c r="D150">
        <v>0.73</v>
      </c>
      <c r="E150">
        <v>11.615</v>
      </c>
      <c r="F150">
        <v>59.225333333333303</v>
      </c>
    </row>
    <row r="151" spans="1:6">
      <c r="A151" t="s">
        <v>155</v>
      </c>
      <c r="B151">
        <v>0.42666666666666597</v>
      </c>
      <c r="C151">
        <v>0.51666666666666605</v>
      </c>
      <c r="D151">
        <v>0.88666666666666605</v>
      </c>
      <c r="E151">
        <v>11.845333333333301</v>
      </c>
      <c r="F151">
        <v>58.9656666666666</v>
      </c>
    </row>
    <row r="152" spans="1:6">
      <c r="A152" t="s">
        <v>156</v>
      </c>
      <c r="B152">
        <v>0.37666666666666598</v>
      </c>
      <c r="C152">
        <v>0.43333333333333302</v>
      </c>
      <c r="D152">
        <v>0.61666666666666603</v>
      </c>
      <c r="E152">
        <v>12.065</v>
      </c>
      <c r="F152">
        <v>58.414000000000001</v>
      </c>
    </row>
    <row r="153" spans="1:6">
      <c r="A153" t="s">
        <v>157</v>
      </c>
      <c r="B153">
        <v>0.36333333333333301</v>
      </c>
      <c r="C153">
        <v>0.40333333333333299</v>
      </c>
      <c r="D153">
        <v>1.32</v>
      </c>
      <c r="E153">
        <v>12.171666666666599</v>
      </c>
      <c r="F153">
        <v>58.022666666666602</v>
      </c>
    </row>
    <row r="154" spans="1:6">
      <c r="A154" t="s">
        <v>158</v>
      </c>
      <c r="B154">
        <v>0.44</v>
      </c>
      <c r="C154">
        <v>0.53</v>
      </c>
      <c r="D154">
        <v>1.2066666666666599</v>
      </c>
      <c r="E154">
        <v>12.219666666666599</v>
      </c>
      <c r="F154">
        <v>57.774666666666597</v>
      </c>
    </row>
    <row r="155" spans="1:6">
      <c r="A155" t="s">
        <v>159</v>
      </c>
      <c r="B155">
        <v>0.65999999999999903</v>
      </c>
      <c r="C155">
        <v>0.78333333333333299</v>
      </c>
      <c r="D155">
        <v>1.4833333333333301</v>
      </c>
      <c r="E155">
        <v>12.531000000000001</v>
      </c>
      <c r="F155">
        <v>58.147999999999897</v>
      </c>
    </row>
    <row r="156" spans="1:6">
      <c r="A156" t="s">
        <v>160</v>
      </c>
      <c r="B156">
        <v>0.619999999999999</v>
      </c>
      <c r="C156">
        <v>0.69666666666666599</v>
      </c>
      <c r="D156">
        <v>0.956666666666666</v>
      </c>
      <c r="E156">
        <v>12.7956666666666</v>
      </c>
      <c r="F156">
        <v>57.960333333333303</v>
      </c>
    </row>
    <row r="157" spans="1:6">
      <c r="A157" t="s">
        <v>161</v>
      </c>
      <c r="B157">
        <v>0.54999999999999905</v>
      </c>
      <c r="C157">
        <v>0.61666666666666603</v>
      </c>
      <c r="D157">
        <v>0.85333333333333306</v>
      </c>
      <c r="E157">
        <v>12.880666666666601</v>
      </c>
      <c r="F157">
        <v>58.3853333333333</v>
      </c>
    </row>
    <row r="158" spans="1:6">
      <c r="A158" t="s">
        <v>162</v>
      </c>
      <c r="B158">
        <v>1.5033333333333301</v>
      </c>
      <c r="C158">
        <v>1.68999999999999</v>
      </c>
      <c r="D158">
        <v>2.2299999999999902</v>
      </c>
      <c r="E158">
        <v>12.904999999999999</v>
      </c>
      <c r="F158">
        <v>58.317666666666597</v>
      </c>
    </row>
    <row r="159" spans="1:6">
      <c r="A159" t="s">
        <v>163</v>
      </c>
      <c r="B159">
        <v>0.99666666666666603</v>
      </c>
      <c r="C159">
        <v>1.39333333333333</v>
      </c>
      <c r="D159">
        <v>2.0033333333333299</v>
      </c>
      <c r="E159">
        <v>12.934333333333299</v>
      </c>
      <c r="F159">
        <v>57.644666666666602</v>
      </c>
    </row>
    <row r="160" spans="1:6">
      <c r="A160" t="s">
        <v>164</v>
      </c>
      <c r="B160">
        <v>0.71999999999999897</v>
      </c>
      <c r="C160">
        <v>0.80333333333333301</v>
      </c>
      <c r="D160">
        <v>1.09666666666666</v>
      </c>
      <c r="E160">
        <v>12.7313333333333</v>
      </c>
      <c r="F160">
        <v>58.384</v>
      </c>
    </row>
    <row r="161" spans="1:6">
      <c r="A161" t="s">
        <v>165</v>
      </c>
      <c r="B161">
        <v>0.78999999999999904</v>
      </c>
      <c r="C161">
        <v>0.86333333333333295</v>
      </c>
      <c r="D161">
        <v>1.19333333333333</v>
      </c>
      <c r="E161">
        <v>12.74</v>
      </c>
      <c r="F161">
        <v>59.04</v>
      </c>
    </row>
    <row r="162" spans="1:6">
      <c r="A162" t="s">
        <v>166</v>
      </c>
      <c r="B162">
        <v>0.68666666666666698</v>
      </c>
      <c r="C162">
        <v>0.81666666666666599</v>
      </c>
      <c r="D162">
        <v>1.0499999999999901</v>
      </c>
      <c r="E162">
        <v>12.923999999999999</v>
      </c>
      <c r="F162">
        <v>58.195</v>
      </c>
    </row>
    <row r="163" spans="1:6">
      <c r="A163" t="s">
        <v>167</v>
      </c>
      <c r="B163">
        <v>0.74</v>
      </c>
      <c r="C163">
        <v>0.94333333333333302</v>
      </c>
      <c r="D163">
        <v>1.98</v>
      </c>
      <c r="E163">
        <v>13.085666666666601</v>
      </c>
      <c r="F163">
        <v>55.933666666666603</v>
      </c>
    </row>
    <row r="164" spans="1:6">
      <c r="A164" t="s">
        <v>168</v>
      </c>
      <c r="B164">
        <v>0.74333333333333296</v>
      </c>
      <c r="C164">
        <v>1.0899999999999901</v>
      </c>
      <c r="D164">
        <v>2.21</v>
      </c>
      <c r="E164">
        <v>13.224</v>
      </c>
      <c r="F164">
        <v>55.8466666666666</v>
      </c>
    </row>
    <row r="165" spans="1:6">
      <c r="A165" t="s">
        <v>169</v>
      </c>
      <c r="B165">
        <v>0.96333333333333304</v>
      </c>
      <c r="C165">
        <v>1.86333333333333</v>
      </c>
      <c r="D165">
        <v>2.7833333333333301</v>
      </c>
      <c r="E165">
        <v>13.3363333333333</v>
      </c>
      <c r="F165">
        <v>56.094999999999999</v>
      </c>
    </row>
    <row r="166" spans="1:6">
      <c r="A166" t="s">
        <v>170</v>
      </c>
      <c r="B166">
        <v>0.97</v>
      </c>
      <c r="C166">
        <v>1.4066666666666601</v>
      </c>
      <c r="D166">
        <v>2.87</v>
      </c>
      <c r="E166">
        <v>13.495333333333299</v>
      </c>
      <c r="F166">
        <v>56.388666666666602</v>
      </c>
    </row>
    <row r="167" spans="1:6">
      <c r="A167" t="s">
        <v>171</v>
      </c>
      <c r="B167">
        <v>1.78999999999999</v>
      </c>
      <c r="C167">
        <v>2.4833333333333298</v>
      </c>
      <c r="D167">
        <v>3.89</v>
      </c>
      <c r="E167">
        <v>13.7113333333333</v>
      </c>
      <c r="F167">
        <v>56.234333333333304</v>
      </c>
    </row>
    <row r="168" spans="1:6">
      <c r="A168" t="s">
        <v>172</v>
      </c>
      <c r="B168">
        <v>1.2266666666666599</v>
      </c>
      <c r="C168">
        <v>1.75</v>
      </c>
      <c r="D168">
        <v>3.1533333333333302</v>
      </c>
      <c r="E168">
        <v>13.9233333333333</v>
      </c>
      <c r="F168">
        <v>55.5133333333333</v>
      </c>
    </row>
    <row r="169" spans="1:6">
      <c r="A169" t="s">
        <v>173</v>
      </c>
      <c r="B169">
        <v>1.57666666666666</v>
      </c>
      <c r="C169">
        <v>1.9933333333333301</v>
      </c>
      <c r="D169">
        <v>2.5066666666666602</v>
      </c>
      <c r="E169">
        <v>13.930999999999999</v>
      </c>
      <c r="F169">
        <v>55.877666666666599</v>
      </c>
    </row>
    <row r="170" spans="1:6">
      <c r="A170" t="s">
        <v>174</v>
      </c>
      <c r="B170">
        <v>1.3599999999999901</v>
      </c>
      <c r="C170">
        <v>2.0833333333333299</v>
      </c>
      <c r="D170">
        <v>2.9433333333333298</v>
      </c>
      <c r="E170">
        <v>14.1736666666666</v>
      </c>
      <c r="F170">
        <v>54.955999999999896</v>
      </c>
    </row>
    <row r="171" spans="1:6">
      <c r="A171" t="s">
        <v>175</v>
      </c>
      <c r="B171">
        <v>1.37333333333333</v>
      </c>
      <c r="C171">
        <v>1.6966666666666601</v>
      </c>
      <c r="D171">
        <v>2.66</v>
      </c>
      <c r="E171">
        <v>14.9773333333333</v>
      </c>
      <c r="F171">
        <v>53.800999999999902</v>
      </c>
    </row>
    <row r="172" spans="1:6">
      <c r="A172" t="s">
        <v>176</v>
      </c>
      <c r="B172">
        <v>1.4366666666666601</v>
      </c>
      <c r="C172">
        <v>2.08</v>
      </c>
      <c r="D172">
        <v>3.7633333333333301</v>
      </c>
      <c r="E172">
        <v>15.873999999999899</v>
      </c>
      <c r="F172">
        <v>51.361999999999902</v>
      </c>
    </row>
    <row r="173" spans="1:6">
      <c r="A173" t="s">
        <v>177</v>
      </c>
      <c r="B173">
        <v>1.3333333333333299</v>
      </c>
      <c r="C173">
        <v>2.0733333333333301</v>
      </c>
      <c r="D173">
        <v>2.6533333333333302</v>
      </c>
      <c r="E173">
        <v>16.710333333333299</v>
      </c>
      <c r="F173">
        <v>49.653666666666602</v>
      </c>
    </row>
    <row r="174" spans="1:6">
      <c r="A174" t="s">
        <v>178</v>
      </c>
      <c r="B174">
        <v>1.1100000000000001</v>
      </c>
      <c r="C174">
        <v>1.44333333333333</v>
      </c>
      <c r="D174">
        <v>2.19</v>
      </c>
      <c r="E174">
        <v>17.191666666666599</v>
      </c>
      <c r="F174">
        <v>47.9776666666666</v>
      </c>
    </row>
    <row r="175" spans="1:6">
      <c r="A175" t="s">
        <v>179</v>
      </c>
      <c r="B175">
        <v>1.0433333333333299</v>
      </c>
      <c r="C175">
        <v>1.79666666666666</v>
      </c>
      <c r="D175">
        <v>3.1866666666666599</v>
      </c>
      <c r="E175">
        <v>17.023333333333301</v>
      </c>
      <c r="F175">
        <v>47.659333333333301</v>
      </c>
    </row>
    <row r="176" spans="1:6">
      <c r="A176" t="s">
        <v>180</v>
      </c>
      <c r="B176">
        <v>1.4666666666666599</v>
      </c>
      <c r="C176">
        <v>1.8966666666666601</v>
      </c>
      <c r="D176">
        <v>3.8333333333333299</v>
      </c>
      <c r="E176">
        <v>16.6473333333333</v>
      </c>
      <c r="F176">
        <v>47.191666666666599</v>
      </c>
    </row>
    <row r="177" spans="1:6">
      <c r="A177" t="s">
        <v>181</v>
      </c>
      <c r="B177">
        <v>1.32666666666666</v>
      </c>
      <c r="C177">
        <v>2.42</v>
      </c>
      <c r="D177">
        <v>4.07666666666666</v>
      </c>
      <c r="E177">
        <v>17.601999999999901</v>
      </c>
      <c r="F177">
        <v>45.070333333333302</v>
      </c>
    </row>
    <row r="178" spans="1:6">
      <c r="A178" t="s">
        <v>182</v>
      </c>
      <c r="B178">
        <v>1.32666666666666</v>
      </c>
      <c r="C178">
        <v>2.3033333333333301</v>
      </c>
      <c r="D178">
        <v>3.69</v>
      </c>
      <c r="E178">
        <v>24.714666666666599</v>
      </c>
      <c r="F178">
        <v>31.425000000000001</v>
      </c>
    </row>
    <row r="179" spans="1:6">
      <c r="A179" t="s">
        <v>183</v>
      </c>
      <c r="B179">
        <v>1.3233333333333299</v>
      </c>
      <c r="C179">
        <v>1.8966666666666601</v>
      </c>
      <c r="D179">
        <v>3.4933333333333301</v>
      </c>
      <c r="E179">
        <v>25.781666666666599</v>
      </c>
      <c r="F179">
        <v>29.874666666666599</v>
      </c>
    </row>
    <row r="180" spans="1:6">
      <c r="A180" t="s">
        <v>184</v>
      </c>
      <c r="B180">
        <v>1.4199999999999899</v>
      </c>
      <c r="C180">
        <v>2.3166666666666602</v>
      </c>
      <c r="D180">
        <v>3.26</v>
      </c>
      <c r="E180">
        <v>26.722999999999999</v>
      </c>
      <c r="F180">
        <v>28.563333333333301</v>
      </c>
    </row>
    <row r="181" spans="1:6">
      <c r="A181" t="s">
        <v>185</v>
      </c>
      <c r="B181">
        <v>1.31666666666666</v>
      </c>
      <c r="C181">
        <v>2.1266666666666598</v>
      </c>
      <c r="D181">
        <v>2.8</v>
      </c>
      <c r="E181">
        <v>23.7826666666666</v>
      </c>
      <c r="F181">
        <v>31.534666666666599</v>
      </c>
    </row>
    <row r="182" spans="1:6">
      <c r="A182" t="s">
        <v>186</v>
      </c>
      <c r="B182">
        <v>1.8099999999999901</v>
      </c>
      <c r="C182">
        <v>2.9466666666666601</v>
      </c>
      <c r="D182">
        <v>4.18333333333333</v>
      </c>
      <c r="E182">
        <v>21.923999999999999</v>
      </c>
      <c r="F182">
        <v>33.556333333333299</v>
      </c>
    </row>
    <row r="183" spans="1:6">
      <c r="A183" t="s">
        <v>187</v>
      </c>
      <c r="B183">
        <v>1.39</v>
      </c>
      <c r="C183">
        <v>1.9</v>
      </c>
      <c r="D183">
        <v>2.6966666666666601</v>
      </c>
      <c r="E183">
        <v>20.509333333333299</v>
      </c>
      <c r="F183">
        <v>35.4033333333333</v>
      </c>
    </row>
    <row r="184" spans="1:6">
      <c r="A184" t="s">
        <v>188</v>
      </c>
      <c r="B184">
        <v>1.0133333333333301</v>
      </c>
      <c r="C184">
        <v>2.0733333333333301</v>
      </c>
      <c r="D184">
        <v>3.0833333333333299</v>
      </c>
      <c r="E184">
        <v>18.977999999999899</v>
      </c>
      <c r="F184">
        <v>38.497999999999998</v>
      </c>
    </row>
    <row r="185" spans="1:6">
      <c r="A185" t="s">
        <v>189</v>
      </c>
      <c r="B185">
        <v>0.913333333333333</v>
      </c>
      <c r="C185">
        <v>1.1666666666666601</v>
      </c>
      <c r="D185">
        <v>1.65</v>
      </c>
      <c r="E185">
        <v>21.5846666666666</v>
      </c>
      <c r="F185">
        <v>33.862333333333297</v>
      </c>
    </row>
    <row r="186" spans="1:6">
      <c r="A186" t="s">
        <v>190</v>
      </c>
      <c r="B186">
        <v>0.89</v>
      </c>
      <c r="C186">
        <v>1.4199999999999899</v>
      </c>
      <c r="D186">
        <v>1.75</v>
      </c>
      <c r="E186">
        <v>21.531333333333301</v>
      </c>
      <c r="F186">
        <v>33.884333333333302</v>
      </c>
    </row>
    <row r="187" spans="1:6">
      <c r="A187" t="s">
        <v>191</v>
      </c>
      <c r="B187">
        <v>1.13333333333333</v>
      </c>
      <c r="C187">
        <v>1.8</v>
      </c>
      <c r="D187">
        <v>3.7666666666666599</v>
      </c>
      <c r="E187">
        <v>22.390333333333299</v>
      </c>
      <c r="F187">
        <v>32.526000000000003</v>
      </c>
    </row>
    <row r="188" spans="1:6">
      <c r="A188" t="s">
        <v>192</v>
      </c>
      <c r="B188">
        <v>0.93</v>
      </c>
      <c r="C188">
        <v>1.3399999999999901</v>
      </c>
      <c r="D188">
        <v>2.18333333333333</v>
      </c>
      <c r="E188">
        <v>23.717666666666599</v>
      </c>
      <c r="F188">
        <v>29.072333333333301</v>
      </c>
    </row>
    <row r="189" spans="1:6">
      <c r="A189" t="s">
        <v>193</v>
      </c>
      <c r="B189">
        <v>0.97333333333333305</v>
      </c>
      <c r="C189">
        <v>1.4666666666666599</v>
      </c>
      <c r="D189">
        <v>2.23</v>
      </c>
      <c r="E189">
        <v>22.957999999999998</v>
      </c>
      <c r="F189">
        <v>30.582666666666601</v>
      </c>
    </row>
    <row r="190" spans="1:6">
      <c r="A190" t="s">
        <v>194</v>
      </c>
      <c r="B190">
        <v>0.85666666666666602</v>
      </c>
      <c r="C190">
        <v>1.36333333333333</v>
      </c>
      <c r="D190">
        <v>2.18333333333333</v>
      </c>
      <c r="E190">
        <v>23.023333333333301</v>
      </c>
      <c r="F190">
        <v>31.004666666666601</v>
      </c>
    </row>
    <row r="191" spans="1:6">
      <c r="A191" t="s">
        <v>195</v>
      </c>
      <c r="B191">
        <v>1.26999999999999</v>
      </c>
      <c r="C191">
        <v>1.8333333333333299</v>
      </c>
      <c r="D191">
        <v>3.2299999999999902</v>
      </c>
      <c r="E191">
        <v>21.735333333333301</v>
      </c>
      <c r="F191">
        <v>32.317999999999998</v>
      </c>
    </row>
    <row r="192" spans="1:6">
      <c r="A192" t="s">
        <v>196</v>
      </c>
      <c r="B192">
        <v>1.1599999999999999</v>
      </c>
      <c r="C192">
        <v>1.46999999999999</v>
      </c>
      <c r="D192">
        <v>2.2999999999999998</v>
      </c>
      <c r="E192">
        <v>19.1533333333333</v>
      </c>
      <c r="F192">
        <v>35.466666666666598</v>
      </c>
    </row>
    <row r="193" spans="1:6">
      <c r="A193" t="s">
        <v>197</v>
      </c>
      <c r="B193">
        <v>1.15333333333333</v>
      </c>
      <c r="C193">
        <v>1.25</v>
      </c>
      <c r="D193">
        <v>2.29</v>
      </c>
      <c r="E193">
        <v>18.593999999999902</v>
      </c>
      <c r="F193">
        <v>36.514000000000003</v>
      </c>
    </row>
    <row r="194" spans="1:6">
      <c r="A194" t="s">
        <v>198</v>
      </c>
      <c r="B194">
        <v>1.44333333333333</v>
      </c>
      <c r="C194">
        <v>2.0866666666666598</v>
      </c>
      <c r="D194">
        <v>3.5</v>
      </c>
      <c r="E194">
        <v>17.000333333333302</v>
      </c>
      <c r="F194">
        <v>39.690666666666601</v>
      </c>
    </row>
    <row r="195" spans="1:6">
      <c r="A195" t="s">
        <v>199</v>
      </c>
      <c r="B195">
        <v>1.17333333333333</v>
      </c>
      <c r="C195">
        <v>1.72999999999999</v>
      </c>
      <c r="D195">
        <v>2.3333333333333299</v>
      </c>
      <c r="E195">
        <v>16.414999999999999</v>
      </c>
      <c r="F195">
        <v>40.922666666666601</v>
      </c>
    </row>
    <row r="196" spans="1:6">
      <c r="A196" t="s">
        <v>200</v>
      </c>
      <c r="B196">
        <v>1.1866666666666601</v>
      </c>
      <c r="C196">
        <v>1.6966666666666601</v>
      </c>
      <c r="D196">
        <v>2.02</v>
      </c>
      <c r="E196">
        <v>15.776</v>
      </c>
      <c r="F196">
        <v>42.256666666666597</v>
      </c>
    </row>
    <row r="197" spans="1:6">
      <c r="A197" t="s">
        <v>201</v>
      </c>
      <c r="B197">
        <v>1.42333333333333</v>
      </c>
      <c r="C197">
        <v>1.89333333333333</v>
      </c>
      <c r="D197">
        <v>2.9099999999999899</v>
      </c>
      <c r="E197">
        <v>15.566333333333301</v>
      </c>
      <c r="F197">
        <v>43.225666666666598</v>
      </c>
    </row>
    <row r="198" spans="1:6">
      <c r="A198" t="s">
        <v>202</v>
      </c>
      <c r="B198">
        <v>1.90333333333333</v>
      </c>
      <c r="C198">
        <v>2.6866666666666599</v>
      </c>
      <c r="D198">
        <v>3.59666666666666</v>
      </c>
      <c r="E198">
        <v>15.382999999999999</v>
      </c>
      <c r="F198">
        <v>43.331666666666599</v>
      </c>
    </row>
    <row r="199" spans="1:6">
      <c r="A199" t="s">
        <v>203</v>
      </c>
      <c r="B199">
        <v>1.7333333333333301</v>
      </c>
      <c r="C199">
        <v>2.8633333333333302</v>
      </c>
      <c r="D199">
        <v>4.2233333333333301</v>
      </c>
      <c r="E199">
        <v>15.0743333333333</v>
      </c>
      <c r="F199">
        <v>44.565333333333299</v>
      </c>
    </row>
    <row r="200" spans="1:6">
      <c r="A200" t="s">
        <v>204</v>
      </c>
      <c r="B200">
        <v>2.4933333333333301</v>
      </c>
      <c r="C200">
        <v>3.4433333333333298</v>
      </c>
      <c r="D200">
        <v>4.7733333333333299</v>
      </c>
      <c r="E200">
        <v>14.9076666666666</v>
      </c>
      <c r="F200">
        <v>45.036666666666598</v>
      </c>
    </row>
    <row r="201" spans="1:6">
      <c r="A201" t="s">
        <v>205</v>
      </c>
      <c r="B201">
        <v>1.98</v>
      </c>
      <c r="C201">
        <v>2.5666666666666602</v>
      </c>
      <c r="D201">
        <v>4.1966666666666601</v>
      </c>
      <c r="E201">
        <v>14.7726666666666</v>
      </c>
      <c r="F201">
        <v>45.448999999999899</v>
      </c>
    </row>
    <row r="202" spans="1:6">
      <c r="A202" t="s">
        <v>206</v>
      </c>
      <c r="B202">
        <v>2.7299999999999902</v>
      </c>
      <c r="C202">
        <v>3.6499999999999901</v>
      </c>
      <c r="D202">
        <v>4.9666666666666597</v>
      </c>
      <c r="E202">
        <v>14.545</v>
      </c>
      <c r="F202">
        <v>46.585333333333303</v>
      </c>
    </row>
    <row r="203" spans="1:6">
      <c r="A203" t="s">
        <v>207</v>
      </c>
      <c r="B203">
        <v>4.3366666666666598</v>
      </c>
      <c r="C203">
        <v>6.0466666666666598</v>
      </c>
      <c r="D203">
        <v>7.8733333333333304</v>
      </c>
      <c r="E203">
        <v>14.425999999999901</v>
      </c>
      <c r="F203">
        <v>46.7633333333333</v>
      </c>
    </row>
    <row r="204" spans="1:6">
      <c r="A204" t="s">
        <v>208</v>
      </c>
      <c r="B204">
        <v>2.8966666666666598</v>
      </c>
      <c r="C204">
        <v>4.0266666666666602</v>
      </c>
      <c r="D204">
        <v>4.78</v>
      </c>
      <c r="E204">
        <v>14.2916666666666</v>
      </c>
      <c r="F204">
        <v>46.868666666666599</v>
      </c>
    </row>
    <row r="205" spans="1:6">
      <c r="A205" t="s">
        <v>209</v>
      </c>
      <c r="B205">
        <v>3.0633333333333299</v>
      </c>
      <c r="C205">
        <v>4.42</v>
      </c>
      <c r="D205">
        <v>6.76</v>
      </c>
      <c r="E205">
        <v>14.072333333333299</v>
      </c>
      <c r="F205">
        <v>46.573999999999899</v>
      </c>
    </row>
    <row r="206" spans="1:6">
      <c r="A206" t="s">
        <v>210</v>
      </c>
      <c r="B206">
        <v>2.8333333333333299</v>
      </c>
      <c r="C206">
        <v>3.8133333333333299</v>
      </c>
      <c r="D206">
        <v>5.7399999999999904</v>
      </c>
      <c r="E206">
        <v>13.8883333333333</v>
      </c>
      <c r="F206">
        <v>46.172666666666601</v>
      </c>
    </row>
    <row r="207" spans="1:6">
      <c r="A207" t="s">
        <v>211</v>
      </c>
      <c r="B207">
        <v>2.35</v>
      </c>
      <c r="C207">
        <v>3.12333333333333</v>
      </c>
      <c r="D207">
        <v>3.6466666666666598</v>
      </c>
      <c r="E207">
        <v>13.7609999999999</v>
      </c>
      <c r="F207">
        <v>45.876666666666601</v>
      </c>
    </row>
    <row r="208" spans="1:6">
      <c r="A208" t="s">
        <v>212</v>
      </c>
      <c r="B208">
        <v>2.0833333333333299</v>
      </c>
      <c r="C208">
        <v>2.6566666666666601</v>
      </c>
      <c r="D208">
        <v>3.3866666666666601</v>
      </c>
      <c r="E208">
        <v>13.6483333333333</v>
      </c>
      <c r="F208">
        <v>45.7083333333333</v>
      </c>
    </row>
    <row r="209" spans="1:6">
      <c r="A209" t="s">
        <v>213</v>
      </c>
      <c r="B209">
        <v>1.7233333333333301</v>
      </c>
      <c r="C209">
        <v>2.2133333333333298</v>
      </c>
      <c r="D209">
        <v>3.0133333333333301</v>
      </c>
      <c r="E209">
        <v>13.5673333333333</v>
      </c>
      <c r="F209">
        <v>45.945666666666597</v>
      </c>
    </row>
    <row r="210" spans="1:6">
      <c r="A210" t="s">
        <v>214</v>
      </c>
      <c r="B210">
        <v>2.7299999999999902</v>
      </c>
      <c r="C210">
        <v>3.8</v>
      </c>
      <c r="D210">
        <v>5.6666666666666599</v>
      </c>
      <c r="E210">
        <v>13.3659999999999</v>
      </c>
      <c r="F210">
        <v>47.7126666666666</v>
      </c>
    </row>
    <row r="211" spans="1:6">
      <c r="A211" t="s">
        <v>215</v>
      </c>
      <c r="B211">
        <v>2.48</v>
      </c>
      <c r="C211">
        <v>3.7233333333333301</v>
      </c>
      <c r="D211">
        <v>5.4799999999999898</v>
      </c>
      <c r="E211">
        <v>13.3666666666666</v>
      </c>
      <c r="F211">
        <v>48.283000000000001</v>
      </c>
    </row>
    <row r="212" spans="1:6">
      <c r="A212" t="s">
        <v>216</v>
      </c>
      <c r="B212">
        <v>2.6566666666666601</v>
      </c>
      <c r="C212">
        <v>3.8833333333333302</v>
      </c>
      <c r="D212">
        <v>5.8299999999999903</v>
      </c>
      <c r="E212">
        <v>13.238</v>
      </c>
      <c r="F212">
        <v>48.835000000000001</v>
      </c>
    </row>
    <row r="213" spans="1:6">
      <c r="A213" t="s">
        <v>217</v>
      </c>
      <c r="B213">
        <v>2.1</v>
      </c>
      <c r="C213">
        <v>3.0133333333333301</v>
      </c>
      <c r="D213">
        <v>4.5733333333333297</v>
      </c>
      <c r="E213">
        <v>13.151999999999999</v>
      </c>
      <c r="F213">
        <v>48.846999999999902</v>
      </c>
    </row>
    <row r="214" spans="1:6">
      <c r="A214" t="s">
        <v>218</v>
      </c>
      <c r="B214">
        <v>2.0833333333333299</v>
      </c>
      <c r="C214">
        <v>3.03</v>
      </c>
      <c r="D214">
        <v>5.18333333333333</v>
      </c>
      <c r="E214">
        <v>13.005000000000001</v>
      </c>
      <c r="F214">
        <v>48.933999999999997</v>
      </c>
    </row>
    <row r="215" spans="1:6">
      <c r="A215" t="s">
        <v>219</v>
      </c>
      <c r="B215">
        <v>2</v>
      </c>
      <c r="C215">
        <v>2.72</v>
      </c>
      <c r="D215">
        <v>3.45333333333333</v>
      </c>
      <c r="E215">
        <v>12.9203333333333</v>
      </c>
      <c r="F215">
        <v>48.981666666666598</v>
      </c>
    </row>
    <row r="216" spans="1:6">
      <c r="A216" t="s">
        <v>220</v>
      </c>
      <c r="B216">
        <v>1.8899999999999899</v>
      </c>
      <c r="C216">
        <v>2.9366666666666599</v>
      </c>
      <c r="D216">
        <v>3.89333333333333</v>
      </c>
      <c r="E216">
        <v>12.8919999999999</v>
      </c>
      <c r="F216">
        <v>48.821666666666601</v>
      </c>
    </row>
    <row r="217" spans="1:6">
      <c r="A217" t="s">
        <v>221</v>
      </c>
      <c r="B217">
        <v>1.81666666666666</v>
      </c>
      <c r="C217">
        <v>2.69</v>
      </c>
      <c r="D217">
        <v>4.92</v>
      </c>
      <c r="E217">
        <v>12.7153333333333</v>
      </c>
      <c r="F217">
        <v>49.017333333333298</v>
      </c>
    </row>
    <row r="218" spans="1:6">
      <c r="A218" t="s">
        <v>222</v>
      </c>
      <c r="B218">
        <v>1.7533333333333301</v>
      </c>
      <c r="C218">
        <v>2.6099999999999901</v>
      </c>
      <c r="D218">
        <v>3.52</v>
      </c>
      <c r="E218">
        <v>12.622999999999999</v>
      </c>
      <c r="F218">
        <v>48.973999999999997</v>
      </c>
    </row>
    <row r="219" spans="1:6">
      <c r="A219" t="s">
        <v>223</v>
      </c>
      <c r="B219">
        <v>2.0699999999999998</v>
      </c>
      <c r="C219">
        <v>2.7633333333333301</v>
      </c>
      <c r="D219">
        <v>3.6066666666666598</v>
      </c>
      <c r="E219">
        <v>12.534666666666601</v>
      </c>
      <c r="F219">
        <v>49.097000000000001</v>
      </c>
    </row>
    <row r="220" spans="1:6">
      <c r="A220" t="s">
        <v>224</v>
      </c>
      <c r="B220">
        <v>1.8</v>
      </c>
      <c r="C220">
        <v>2.6533333333333302</v>
      </c>
      <c r="D220">
        <v>3.30666666666666</v>
      </c>
      <c r="E220">
        <v>12.533333333333299</v>
      </c>
      <c r="F220">
        <v>49.335000000000001</v>
      </c>
    </row>
    <row r="221" spans="1:6">
      <c r="A221" t="s">
        <v>225</v>
      </c>
      <c r="B221">
        <v>1.8866666666666601</v>
      </c>
      <c r="C221">
        <v>2.8</v>
      </c>
      <c r="D221">
        <v>3.8333333333333299</v>
      </c>
      <c r="E221">
        <v>12.3173333333333</v>
      </c>
      <c r="F221">
        <v>50.416333333333299</v>
      </c>
    </row>
    <row r="222" spans="1:6">
      <c r="A222" t="s">
        <v>226</v>
      </c>
      <c r="B222">
        <v>1.7633333333333301</v>
      </c>
      <c r="C222">
        <v>2.6533333333333302</v>
      </c>
      <c r="D222">
        <v>4.6633333333333304</v>
      </c>
      <c r="E222">
        <v>12.367999999999901</v>
      </c>
      <c r="F222">
        <v>50.451666666666597</v>
      </c>
    </row>
    <row r="223" spans="1:6">
      <c r="A223" t="s">
        <v>227</v>
      </c>
      <c r="B223">
        <v>1.55</v>
      </c>
      <c r="C223">
        <v>2.5</v>
      </c>
      <c r="D223">
        <v>4.2033333333333296</v>
      </c>
      <c r="E223">
        <v>12.423</v>
      </c>
      <c r="F223">
        <v>50.326666666666597</v>
      </c>
    </row>
    <row r="224" spans="1:6">
      <c r="A224" t="s">
        <v>228</v>
      </c>
      <c r="B224">
        <v>1.71</v>
      </c>
      <c r="C224">
        <v>2.39</v>
      </c>
      <c r="D224">
        <v>2.8766666666666598</v>
      </c>
      <c r="E224">
        <v>12.4109999999999</v>
      </c>
      <c r="F224">
        <v>50.548999999999999</v>
      </c>
    </row>
    <row r="225" spans="1:6">
      <c r="A225" t="s">
        <v>229</v>
      </c>
      <c r="B225">
        <v>2.03666666666666</v>
      </c>
      <c r="C225">
        <v>3.16333333333333</v>
      </c>
      <c r="D225">
        <v>5.3566666666666602</v>
      </c>
      <c r="E225">
        <v>12.1383333333333</v>
      </c>
      <c r="F225">
        <v>51.696999999999903</v>
      </c>
    </row>
    <row r="226" spans="1:6">
      <c r="A226" t="s">
        <v>230</v>
      </c>
      <c r="B226">
        <v>1.7366666666666599</v>
      </c>
      <c r="C226">
        <v>2.59666666666666</v>
      </c>
      <c r="D226">
        <v>3.62333333333333</v>
      </c>
      <c r="E226">
        <v>12.0686666666666</v>
      </c>
      <c r="F226">
        <v>51.128666666666597</v>
      </c>
    </row>
    <row r="227" spans="1:6">
      <c r="A227" t="s">
        <v>231</v>
      </c>
      <c r="B227">
        <v>1.82</v>
      </c>
      <c r="C227">
        <v>2.66333333333333</v>
      </c>
      <c r="D227">
        <v>3.1933333333333298</v>
      </c>
      <c r="E227">
        <v>12.0513333333333</v>
      </c>
      <c r="F227">
        <v>51.526333333333298</v>
      </c>
    </row>
    <row r="228" spans="1:6">
      <c r="A228" t="s">
        <v>232</v>
      </c>
      <c r="B228">
        <v>2.2766666666666602</v>
      </c>
      <c r="C228">
        <v>2.99</v>
      </c>
      <c r="D228">
        <v>4.3566666666666602</v>
      </c>
      <c r="E228">
        <v>11.917</v>
      </c>
      <c r="F228">
        <v>52.463999999999999</v>
      </c>
    </row>
    <row r="229" spans="1:6">
      <c r="A229" t="s">
        <v>233</v>
      </c>
      <c r="B229">
        <v>2.2533333333333299</v>
      </c>
      <c r="C229">
        <v>2.94</v>
      </c>
      <c r="D229">
        <v>5.83</v>
      </c>
      <c r="E229">
        <v>11.799666666666599</v>
      </c>
      <c r="F229">
        <v>52.966999999999899</v>
      </c>
    </row>
    <row r="230" spans="1:6">
      <c r="A230" t="s">
        <v>234</v>
      </c>
      <c r="B230">
        <v>2.4700000000000002</v>
      </c>
      <c r="C230">
        <v>3.5133333333333301</v>
      </c>
      <c r="D230">
        <v>4.4266666666666596</v>
      </c>
      <c r="E230">
        <v>11.656000000000001</v>
      </c>
      <c r="F230">
        <v>53.936999999999998</v>
      </c>
    </row>
    <row r="231" spans="1:6">
      <c r="A231" t="s">
        <v>235</v>
      </c>
      <c r="B231">
        <v>2.18333333333333</v>
      </c>
      <c r="C231">
        <v>2.5999999999999899</v>
      </c>
      <c r="D231">
        <v>3.1399999999999899</v>
      </c>
      <c r="E231">
        <v>11.5256666666666</v>
      </c>
      <c r="F231">
        <v>53.737666666666598</v>
      </c>
    </row>
    <row r="232" spans="1:6">
      <c r="A232" t="s">
        <v>236</v>
      </c>
      <c r="B232">
        <v>2.0833333333333299</v>
      </c>
      <c r="C232">
        <v>3.09666666666666</v>
      </c>
      <c r="D232">
        <v>3.9433333333333298</v>
      </c>
      <c r="E232">
        <v>11.4623333333333</v>
      </c>
      <c r="F232">
        <v>53.187666666666601</v>
      </c>
    </row>
    <row r="233" spans="1:6">
      <c r="A233" t="s">
        <v>237</v>
      </c>
      <c r="B233">
        <v>2.0833333333333299</v>
      </c>
      <c r="C233">
        <v>2.9633333333333298</v>
      </c>
      <c r="D233">
        <v>3.56</v>
      </c>
      <c r="E233">
        <v>11.4146666666666</v>
      </c>
      <c r="F233">
        <v>53.324666666666602</v>
      </c>
    </row>
    <row r="234" spans="1:6">
      <c r="A234" t="s">
        <v>238</v>
      </c>
      <c r="B234">
        <v>2.5133333333333301</v>
      </c>
      <c r="C234">
        <v>3.36666666666666</v>
      </c>
      <c r="D234">
        <v>4.1266666666666598</v>
      </c>
      <c r="E234">
        <v>11.2549999999999</v>
      </c>
      <c r="F234">
        <v>54.570666666666597</v>
      </c>
    </row>
    <row r="235" spans="1:6">
      <c r="A235" t="s">
        <v>239</v>
      </c>
      <c r="B235">
        <v>3.05666666666666</v>
      </c>
      <c r="C235">
        <v>4.5533333333333301</v>
      </c>
      <c r="D235">
        <v>6.3333333333333304</v>
      </c>
      <c r="E235">
        <v>11.086</v>
      </c>
      <c r="F235">
        <v>55.677666666666603</v>
      </c>
    </row>
    <row r="236" spans="1:6">
      <c r="A236" t="s">
        <v>240</v>
      </c>
      <c r="B236">
        <v>3.09666666666666</v>
      </c>
      <c r="C236">
        <v>3.95333333333333</v>
      </c>
      <c r="D236">
        <v>4.7633333333333301</v>
      </c>
      <c r="E236">
        <v>10.9176666666666</v>
      </c>
      <c r="F236">
        <v>56.082666666666597</v>
      </c>
    </row>
    <row r="237" spans="1:6">
      <c r="A237" t="s">
        <v>241</v>
      </c>
      <c r="B237">
        <v>3.09666666666666</v>
      </c>
      <c r="C237">
        <v>4.8333333333333304</v>
      </c>
      <c r="D237">
        <v>6.6966666666666601</v>
      </c>
      <c r="E237">
        <v>10.94</v>
      </c>
      <c r="F237">
        <v>55.931333333333299</v>
      </c>
    </row>
    <row r="238" spans="1:6">
      <c r="A238" t="s">
        <v>242</v>
      </c>
      <c r="B238">
        <v>3.0533333333333301</v>
      </c>
      <c r="C238">
        <v>3.88</v>
      </c>
      <c r="D238">
        <v>4.87</v>
      </c>
      <c r="E238">
        <v>10.921666666666599</v>
      </c>
      <c r="F238">
        <v>55.543666666666603</v>
      </c>
    </row>
    <row r="239" spans="1:6">
      <c r="A239" t="s">
        <v>243</v>
      </c>
      <c r="B239">
        <v>2.8833333333333302</v>
      </c>
      <c r="C239">
        <v>3.8566666666666598</v>
      </c>
      <c r="D239">
        <v>5.5033333333333303</v>
      </c>
      <c r="E239">
        <v>10.838333333333299</v>
      </c>
      <c r="F239">
        <v>55.819666666666599</v>
      </c>
    </row>
    <row r="240" spans="1:6">
      <c r="A240" t="s">
        <v>244</v>
      </c>
      <c r="B240">
        <v>2.69999999999999</v>
      </c>
      <c r="C240">
        <v>3.6333333333333302</v>
      </c>
      <c r="D240">
        <v>5.0699999999999896</v>
      </c>
      <c r="E240">
        <v>10.7503333333333</v>
      </c>
      <c r="F240">
        <v>55.804000000000002</v>
      </c>
    </row>
    <row r="241" spans="1:6">
      <c r="A241" t="s">
        <v>245</v>
      </c>
      <c r="B241">
        <v>2.7933333333333299</v>
      </c>
      <c r="C241">
        <v>3.5866666666666598</v>
      </c>
      <c r="D241">
        <v>4.16</v>
      </c>
      <c r="E241">
        <v>10.7733333333333</v>
      </c>
      <c r="F241">
        <v>55.280999999999899</v>
      </c>
    </row>
    <row r="242" spans="1:6">
      <c r="A242" t="s">
        <v>246</v>
      </c>
      <c r="B242">
        <v>2.6866666666666599</v>
      </c>
      <c r="C242">
        <v>3.4266666666666601</v>
      </c>
      <c r="D242">
        <v>4.6899999999999897</v>
      </c>
      <c r="E242">
        <v>10.723999999999901</v>
      </c>
      <c r="F242">
        <v>54.939</v>
      </c>
    </row>
    <row r="243" spans="1:6">
      <c r="A243" t="s">
        <v>247</v>
      </c>
      <c r="B243">
        <v>2.3099999999999898</v>
      </c>
      <c r="C243">
        <v>3.3699999999999899</v>
      </c>
      <c r="D243">
        <v>4.0933333333333302</v>
      </c>
      <c r="E243">
        <v>10.6516666666666</v>
      </c>
      <c r="F243">
        <v>54.484000000000002</v>
      </c>
    </row>
    <row r="244" spans="1:6">
      <c r="A244" t="s">
        <v>248</v>
      </c>
      <c r="B244">
        <v>2.44</v>
      </c>
      <c r="C244">
        <v>3.07666666666666</v>
      </c>
      <c r="D244">
        <v>5.3599999999999897</v>
      </c>
      <c r="E244">
        <v>10.6156666666666</v>
      </c>
      <c r="F244">
        <v>54.0579999999999</v>
      </c>
    </row>
    <row r="245" spans="1:6">
      <c r="A245" t="s">
        <v>249</v>
      </c>
      <c r="B245">
        <v>2.0666666666666602</v>
      </c>
      <c r="C245">
        <v>2.9299999999999899</v>
      </c>
      <c r="D245">
        <v>4.4566666666666599</v>
      </c>
      <c r="E245">
        <v>10.642999999999899</v>
      </c>
      <c r="F245">
        <v>53.813000000000002</v>
      </c>
    </row>
    <row r="246" spans="1:6">
      <c r="A246" t="s">
        <v>250</v>
      </c>
      <c r="B246">
        <v>2.0933333333333302</v>
      </c>
      <c r="C246">
        <v>2.5833333333333299</v>
      </c>
      <c r="D246">
        <v>4.1933333333333298</v>
      </c>
      <c r="E246">
        <v>10.550999999999901</v>
      </c>
      <c r="F246">
        <v>53.941333333333297</v>
      </c>
    </row>
    <row r="247" spans="1:6">
      <c r="A247" t="s">
        <v>251</v>
      </c>
      <c r="B247">
        <v>2.8</v>
      </c>
      <c r="C247">
        <v>3.8533333333333299</v>
      </c>
      <c r="D247">
        <v>5.57666666666666</v>
      </c>
      <c r="E247">
        <v>10.569000000000001</v>
      </c>
      <c r="F247">
        <v>54.527333333333303</v>
      </c>
    </row>
    <row r="248" spans="1:6">
      <c r="A248" t="s">
        <v>252</v>
      </c>
      <c r="B248">
        <v>2.4633333333333298</v>
      </c>
      <c r="C248">
        <v>3.6366666666666601</v>
      </c>
      <c r="D248">
        <v>4.76</v>
      </c>
      <c r="E248">
        <v>10.531000000000001</v>
      </c>
      <c r="F248">
        <v>54.657333333333298</v>
      </c>
    </row>
    <row r="249" spans="1:6">
      <c r="A249" t="s">
        <v>253</v>
      </c>
      <c r="B249">
        <v>2.30666666666666</v>
      </c>
      <c r="C249">
        <v>3.3099999999999898</v>
      </c>
      <c r="D249">
        <v>4.75999999999999</v>
      </c>
      <c r="E249">
        <v>10.5556666666666</v>
      </c>
      <c r="F249">
        <v>53.498333333333299</v>
      </c>
    </row>
    <row r="250" spans="1:6">
      <c r="A250" t="s">
        <v>254</v>
      </c>
      <c r="B250">
        <v>2.2999999999999901</v>
      </c>
      <c r="C250">
        <v>3.5466666666666602</v>
      </c>
      <c r="D250">
        <v>5.0033333333333303</v>
      </c>
      <c r="E250">
        <v>10.6196666666666</v>
      </c>
      <c r="F250">
        <v>53.1219999999999</v>
      </c>
    </row>
    <row r="251" spans="1:6">
      <c r="A251" t="s">
        <v>255</v>
      </c>
      <c r="B251">
        <v>2.6399999999999899</v>
      </c>
      <c r="C251">
        <v>3.2733333333333299</v>
      </c>
      <c r="D251">
        <v>5.7333333333333298</v>
      </c>
      <c r="E251">
        <v>10.667</v>
      </c>
      <c r="F251">
        <v>52.864333333333299</v>
      </c>
    </row>
    <row r="252" spans="1:6">
      <c r="A252" t="s">
        <v>256</v>
      </c>
      <c r="B252">
        <v>2.2633333333333301</v>
      </c>
      <c r="C252">
        <v>2.9866666666666601</v>
      </c>
      <c r="D252">
        <v>4.3333333333333304</v>
      </c>
      <c r="E252">
        <v>10.7466666666666</v>
      </c>
      <c r="F252">
        <v>52.628333333333302</v>
      </c>
    </row>
    <row r="253" spans="1:6">
      <c r="A253" t="s">
        <v>257</v>
      </c>
      <c r="B253">
        <v>2.5599999999999898</v>
      </c>
      <c r="C253">
        <v>4.0133333333333301</v>
      </c>
      <c r="D253">
        <v>5.74</v>
      </c>
      <c r="E253">
        <v>10.758666666666601</v>
      </c>
      <c r="F253">
        <v>52.480333333333299</v>
      </c>
    </row>
    <row r="254" spans="1:6">
      <c r="A254" t="s">
        <v>258</v>
      </c>
      <c r="B254">
        <v>2.7299999999999902</v>
      </c>
      <c r="C254">
        <v>3.84</v>
      </c>
      <c r="D254">
        <v>4.5166666666666604</v>
      </c>
      <c r="E254">
        <v>10.8473333333333</v>
      </c>
      <c r="F254">
        <v>52.287333333333301</v>
      </c>
    </row>
    <row r="255" spans="1:6">
      <c r="A255" t="s">
        <v>259</v>
      </c>
      <c r="B255">
        <v>2.8633333333333302</v>
      </c>
      <c r="C255">
        <v>4.07666666666666</v>
      </c>
      <c r="D255">
        <v>5.0533333333333301</v>
      </c>
      <c r="E255">
        <v>10.893333333333301</v>
      </c>
      <c r="F255">
        <v>52.312666666666601</v>
      </c>
    </row>
    <row r="256" spans="1:6">
      <c r="A256" t="s">
        <v>260</v>
      </c>
      <c r="B256">
        <v>3.0066666666666602</v>
      </c>
      <c r="C256">
        <v>4.2366666666666601</v>
      </c>
      <c r="D256">
        <v>7.37</v>
      </c>
      <c r="E256">
        <v>11.2286666666666</v>
      </c>
      <c r="F256">
        <v>52.046999999999997</v>
      </c>
    </row>
    <row r="257" spans="1:6">
      <c r="A257" t="s">
        <v>261</v>
      </c>
      <c r="B257">
        <v>1.9933333333333301</v>
      </c>
      <c r="C257">
        <v>2.7233333333333301</v>
      </c>
      <c r="D257">
        <v>4.0733333333333297</v>
      </c>
      <c r="E257">
        <v>11.7253333333333</v>
      </c>
      <c r="F257">
        <v>51.176666666666598</v>
      </c>
    </row>
    <row r="258" spans="1:6">
      <c r="A258" t="s">
        <v>262</v>
      </c>
      <c r="B258">
        <v>2.37</v>
      </c>
      <c r="C258">
        <v>3.2733333333333299</v>
      </c>
      <c r="D258">
        <v>5.3766666666666598</v>
      </c>
      <c r="E258">
        <v>11.598000000000001</v>
      </c>
      <c r="F258">
        <v>52.326333333333302</v>
      </c>
    </row>
    <row r="259" spans="1:6">
      <c r="A259" t="s">
        <v>263</v>
      </c>
      <c r="B259">
        <v>2.2533333333333299</v>
      </c>
      <c r="C259">
        <v>3.18</v>
      </c>
      <c r="D259">
        <v>4.6133333333333297</v>
      </c>
      <c r="E259">
        <v>12.1893333333333</v>
      </c>
      <c r="F259">
        <v>51.393999999999998</v>
      </c>
    </row>
    <row r="260" spans="1:6">
      <c r="A260" t="s">
        <v>264</v>
      </c>
      <c r="B260">
        <v>2.53666666666666</v>
      </c>
      <c r="C260">
        <v>3.73999999999999</v>
      </c>
      <c r="D260">
        <v>5.51</v>
      </c>
      <c r="E260">
        <v>12.5449999999999</v>
      </c>
      <c r="F260">
        <v>49.914000000000001</v>
      </c>
    </row>
    <row r="261" spans="1:6">
      <c r="A261" t="s">
        <v>265</v>
      </c>
      <c r="B261">
        <v>2.81</v>
      </c>
      <c r="C261">
        <v>3.56</v>
      </c>
      <c r="D261">
        <v>5.0866666666666598</v>
      </c>
      <c r="E261">
        <v>12.959</v>
      </c>
      <c r="F261">
        <v>48.525999999999897</v>
      </c>
    </row>
    <row r="262" spans="1:6">
      <c r="A262" t="s">
        <v>266</v>
      </c>
      <c r="B262">
        <v>3.2633333333333301</v>
      </c>
      <c r="C262">
        <v>4.9033333333333298</v>
      </c>
      <c r="D262">
        <v>8.1733333333333302</v>
      </c>
      <c r="E262">
        <v>12.7419999999999</v>
      </c>
      <c r="F262">
        <v>48.372666666666603</v>
      </c>
    </row>
    <row r="263" spans="1:6">
      <c r="A263" t="s">
        <v>267</v>
      </c>
      <c r="B263">
        <v>3.0633333333333299</v>
      </c>
      <c r="C263">
        <v>4.8499999999999996</v>
      </c>
      <c r="D263">
        <v>6.2833333333333297</v>
      </c>
      <c r="E263">
        <v>13.0226666666666</v>
      </c>
      <c r="F263">
        <v>47.753666666666597</v>
      </c>
    </row>
    <row r="264" spans="1:6">
      <c r="A264" t="s">
        <v>268</v>
      </c>
      <c r="B264">
        <v>2.5733333333333301</v>
      </c>
      <c r="C264">
        <v>3.9</v>
      </c>
      <c r="D264">
        <v>5.2066666666666599</v>
      </c>
      <c r="E264">
        <v>13.341333333333299</v>
      </c>
      <c r="F264">
        <v>47.128666666666597</v>
      </c>
    </row>
    <row r="265" spans="1:6">
      <c r="A265" t="s">
        <v>269</v>
      </c>
      <c r="B265">
        <v>2.7166666666666601</v>
      </c>
      <c r="C265">
        <v>4.1333333333333302</v>
      </c>
      <c r="D265">
        <v>5.46</v>
      </c>
      <c r="E265">
        <v>14.1696666666666</v>
      </c>
      <c r="F265">
        <v>45.8406666666666</v>
      </c>
    </row>
    <row r="266" spans="1:6">
      <c r="A266" t="s">
        <v>270</v>
      </c>
      <c r="B266">
        <v>2.5133333333333301</v>
      </c>
      <c r="C266">
        <v>3.95</v>
      </c>
      <c r="D266">
        <v>4.92</v>
      </c>
      <c r="E266">
        <v>14.838333333333299</v>
      </c>
      <c r="F266">
        <v>43.902666666666597</v>
      </c>
    </row>
    <row r="267" spans="1:6">
      <c r="A267" t="s">
        <v>271</v>
      </c>
      <c r="B267">
        <v>2.8866666666666601</v>
      </c>
      <c r="C267">
        <v>4.0433333333333303</v>
      </c>
      <c r="D267">
        <v>6.5266666666666602</v>
      </c>
      <c r="E267">
        <v>15.795999999999999</v>
      </c>
      <c r="F267">
        <v>41.7023333333333</v>
      </c>
    </row>
    <row r="268" spans="1:6">
      <c r="A268" t="s">
        <v>272</v>
      </c>
      <c r="B268">
        <v>2.64</v>
      </c>
      <c r="C268">
        <v>3.7833333333333301</v>
      </c>
      <c r="D268">
        <v>4.7733333333333299</v>
      </c>
      <c r="E268">
        <v>16.527000000000001</v>
      </c>
      <c r="F268">
        <v>40.543999999999997</v>
      </c>
    </row>
    <row r="269" spans="1:6">
      <c r="A269" t="s">
        <v>273</v>
      </c>
      <c r="B269">
        <v>2.38</v>
      </c>
      <c r="C269">
        <v>3.59666666666666</v>
      </c>
      <c r="D269">
        <v>4.86666666666666</v>
      </c>
      <c r="E269">
        <v>17.146000000000001</v>
      </c>
      <c r="F269">
        <v>38.5416666666666</v>
      </c>
    </row>
    <row r="270" spans="1:6">
      <c r="A270" t="s">
        <v>274</v>
      </c>
      <c r="B270">
        <v>1.9566666666666599</v>
      </c>
      <c r="C270">
        <v>2.96999999999999</v>
      </c>
      <c r="D270">
        <v>4.0299999999999896</v>
      </c>
      <c r="E270">
        <v>17.492333333333299</v>
      </c>
      <c r="F270">
        <v>38.063666666666599</v>
      </c>
    </row>
    <row r="271" spans="1:6">
      <c r="A271" t="s">
        <v>275</v>
      </c>
      <c r="B271">
        <v>1.82</v>
      </c>
      <c r="C271">
        <v>2.4766666666666599</v>
      </c>
      <c r="D271">
        <v>5.1133333333333297</v>
      </c>
      <c r="E271">
        <v>17.288333333333298</v>
      </c>
      <c r="F271">
        <v>38.436666666666603</v>
      </c>
    </row>
    <row r="272" spans="1:6">
      <c r="A272" t="s">
        <v>276</v>
      </c>
      <c r="B272">
        <v>2.0899999999999901</v>
      </c>
      <c r="C272">
        <v>2.92</v>
      </c>
      <c r="D272">
        <v>4.07666666666666</v>
      </c>
      <c r="E272">
        <v>16.9746666666666</v>
      </c>
      <c r="F272">
        <v>38.960999999999999</v>
      </c>
    </row>
    <row r="273" spans="1:6">
      <c r="A273" t="s">
        <v>277</v>
      </c>
      <c r="B273">
        <v>2.3033333333333301</v>
      </c>
      <c r="C273">
        <v>3.11666666666666</v>
      </c>
      <c r="D273">
        <v>5.94</v>
      </c>
      <c r="E273">
        <v>18.745666666666601</v>
      </c>
      <c r="F273">
        <v>35.728666666666598</v>
      </c>
    </row>
    <row r="274" spans="1:6">
      <c r="A274" t="s">
        <v>278</v>
      </c>
      <c r="B274">
        <v>2.3499999999999899</v>
      </c>
      <c r="C274">
        <v>3.5266666666666602</v>
      </c>
      <c r="D274">
        <v>5.0033333333333303</v>
      </c>
      <c r="E274">
        <v>24.531666666666599</v>
      </c>
      <c r="F274">
        <v>26.626333333333299</v>
      </c>
    </row>
    <row r="275" spans="1:6">
      <c r="A275" t="s">
        <v>279</v>
      </c>
      <c r="B275">
        <v>2.3166666666666602</v>
      </c>
      <c r="C275">
        <v>3.2466666666666599</v>
      </c>
      <c r="D275">
        <v>5.0199999999999898</v>
      </c>
      <c r="E275">
        <v>25.2766666666666</v>
      </c>
      <c r="F275">
        <v>25.255666666666599</v>
      </c>
    </row>
    <row r="276" spans="1:6">
      <c r="A276" t="s">
        <v>280</v>
      </c>
      <c r="B276">
        <v>2.1466666666666598</v>
      </c>
      <c r="C276">
        <v>3.03</v>
      </c>
      <c r="D276">
        <v>5.2799999999999896</v>
      </c>
      <c r="E276">
        <v>28.830666666666598</v>
      </c>
      <c r="F276">
        <v>21.313666666666599</v>
      </c>
    </row>
    <row r="277" spans="1:6">
      <c r="A277" t="s">
        <v>281</v>
      </c>
      <c r="B277">
        <v>1.6866666666666601</v>
      </c>
      <c r="C277">
        <v>2.8233333333333301</v>
      </c>
      <c r="D277">
        <v>3.93333333333333</v>
      </c>
      <c r="E277">
        <v>29.469666666666601</v>
      </c>
      <c r="F277">
        <v>20.319333333333301</v>
      </c>
    </row>
    <row r="278" spans="1:6">
      <c r="A278" t="s">
        <v>282</v>
      </c>
      <c r="B278">
        <v>1.4833333333333301</v>
      </c>
      <c r="C278">
        <v>2.14</v>
      </c>
      <c r="D278">
        <v>2.75</v>
      </c>
      <c r="E278">
        <v>29.7463333333333</v>
      </c>
      <c r="F278">
        <v>19.999666666666599</v>
      </c>
    </row>
    <row r="279" spans="1:6">
      <c r="A279" t="s">
        <v>283</v>
      </c>
      <c r="B279">
        <v>1.6366666666666601</v>
      </c>
      <c r="C279">
        <v>2.42</v>
      </c>
      <c r="D279">
        <v>4.5666666666666602</v>
      </c>
      <c r="E279">
        <v>29.769666666666598</v>
      </c>
      <c r="F279">
        <v>19.833666666666598</v>
      </c>
    </row>
    <row r="280" spans="1:6">
      <c r="A280" t="s">
        <v>284</v>
      </c>
      <c r="B280">
        <v>1.29666666666666</v>
      </c>
      <c r="C280">
        <v>1.87333333333333</v>
      </c>
      <c r="D280">
        <v>3.31</v>
      </c>
      <c r="E280">
        <v>29.081666666666599</v>
      </c>
      <c r="F280">
        <v>20.5736666666666</v>
      </c>
    </row>
    <row r="281" spans="1:6">
      <c r="A281" t="s">
        <v>285</v>
      </c>
      <c r="B281">
        <v>1.31666666666666</v>
      </c>
      <c r="C281">
        <v>2.31</v>
      </c>
      <c r="D281">
        <v>4.2833333333333297</v>
      </c>
      <c r="E281">
        <v>25.908333333333299</v>
      </c>
      <c r="F281">
        <v>23.593</v>
      </c>
    </row>
    <row r="282" spans="1:6">
      <c r="A282" t="s">
        <v>286</v>
      </c>
      <c r="B282">
        <v>1.89</v>
      </c>
      <c r="C282">
        <v>2.9166666666666599</v>
      </c>
      <c r="D282">
        <v>4.3366666666666598</v>
      </c>
      <c r="E282">
        <v>26.486666666666601</v>
      </c>
      <c r="F282">
        <v>23.013666666666602</v>
      </c>
    </row>
    <row r="283" spans="1:6">
      <c r="A283" t="s">
        <v>287</v>
      </c>
      <c r="B283">
        <v>1.2233333333333301</v>
      </c>
      <c r="C283">
        <v>1.77</v>
      </c>
      <c r="D283">
        <v>2.56</v>
      </c>
      <c r="E283">
        <v>26.076999999999899</v>
      </c>
      <c r="F283">
        <v>23.647666666666598</v>
      </c>
    </row>
    <row r="284" spans="1:6">
      <c r="A284" t="s">
        <v>288</v>
      </c>
      <c r="B284">
        <v>1.4866666666666599</v>
      </c>
      <c r="C284">
        <v>2.05666666666666</v>
      </c>
      <c r="D284">
        <v>3.0866666666666598</v>
      </c>
      <c r="E284">
        <v>25.877666666666599</v>
      </c>
      <c r="F284">
        <v>23.687999999999999</v>
      </c>
    </row>
    <row r="285" spans="1:6">
      <c r="A285" t="s">
        <v>289</v>
      </c>
      <c r="B285">
        <v>1.38</v>
      </c>
      <c r="C285">
        <v>1.78666666666666</v>
      </c>
      <c r="D285">
        <v>2.5533333333333301</v>
      </c>
      <c r="E285">
        <v>26.476333333333301</v>
      </c>
      <c r="F285">
        <v>23.826333333333299</v>
      </c>
    </row>
    <row r="286" spans="1:6">
      <c r="A286" t="s">
        <v>290</v>
      </c>
      <c r="B286">
        <v>1.28</v>
      </c>
      <c r="C286">
        <v>1.8199999999999901</v>
      </c>
      <c r="D286">
        <v>3.7299999999999902</v>
      </c>
      <c r="E286">
        <v>24.530666666666601</v>
      </c>
      <c r="F286">
        <v>26.179666666666598</v>
      </c>
    </row>
    <row r="287" spans="1:6">
      <c r="A287" t="s">
        <v>291</v>
      </c>
      <c r="B287">
        <v>1.4566666666666599</v>
      </c>
      <c r="C287">
        <v>2.1566666666666601</v>
      </c>
      <c r="D287">
        <v>2.7766666666666602</v>
      </c>
      <c r="E287">
        <v>21.8943333333333</v>
      </c>
      <c r="F287">
        <v>28.519666666666598</v>
      </c>
    </row>
    <row r="288" spans="1:6">
      <c r="A288" t="s">
        <v>292</v>
      </c>
      <c r="B288">
        <v>1.7366666666666599</v>
      </c>
      <c r="C288">
        <v>2.2433333333333301</v>
      </c>
      <c r="D288">
        <v>4.7233333333333301</v>
      </c>
      <c r="E288">
        <v>18.591999999999899</v>
      </c>
      <c r="F288">
        <v>32.912666666666603</v>
      </c>
    </row>
    <row r="289" spans="1:6">
      <c r="A289" t="s">
        <v>293</v>
      </c>
      <c r="B289">
        <v>1.44</v>
      </c>
      <c r="C289">
        <v>2.0499999999999901</v>
      </c>
      <c r="D289">
        <v>2.78666666666666</v>
      </c>
      <c r="E289">
        <v>17.451333333333299</v>
      </c>
      <c r="F289">
        <v>34.532333333333298</v>
      </c>
    </row>
    <row r="290" spans="1:6">
      <c r="A290" t="s">
        <v>294</v>
      </c>
      <c r="B290">
        <v>1.7833333333333301</v>
      </c>
      <c r="C290">
        <v>2.6033333333333299</v>
      </c>
      <c r="D290">
        <v>4.2899999999999903</v>
      </c>
      <c r="E290">
        <v>16.822666666666599</v>
      </c>
      <c r="F290">
        <v>36.044333333333299</v>
      </c>
    </row>
    <row r="291" spans="1:6">
      <c r="A291" t="s">
        <v>295</v>
      </c>
      <c r="B291">
        <v>1.62666666666666</v>
      </c>
      <c r="C291">
        <v>2.2799999999999998</v>
      </c>
      <c r="D291">
        <v>4.0733333333333297</v>
      </c>
      <c r="E291">
        <v>16.483666666666601</v>
      </c>
      <c r="F291">
        <v>36.906666666666602</v>
      </c>
    </row>
    <row r="292" spans="1:6">
      <c r="A292" t="s">
        <v>296</v>
      </c>
      <c r="B292">
        <v>1.9466666666666601</v>
      </c>
      <c r="C292">
        <v>3.08</v>
      </c>
      <c r="D292">
        <v>3.5233333333333299</v>
      </c>
      <c r="E292">
        <v>16.2373333333333</v>
      </c>
      <c r="F292">
        <v>37.783999999999999</v>
      </c>
    </row>
    <row r="293" spans="1:6">
      <c r="A293" t="s">
        <v>297</v>
      </c>
      <c r="B293">
        <v>2.1933333333333298</v>
      </c>
      <c r="C293">
        <v>2.93</v>
      </c>
      <c r="D293">
        <v>5.19</v>
      </c>
      <c r="E293">
        <v>15.9583333333333</v>
      </c>
      <c r="F293">
        <v>39.607666666666603</v>
      </c>
    </row>
    <row r="294" spans="1:6">
      <c r="A294" t="s">
        <v>298</v>
      </c>
      <c r="B294">
        <v>2.34666666666666</v>
      </c>
      <c r="C294">
        <v>3.1766666666666601</v>
      </c>
      <c r="D294">
        <v>4.9066666666666601</v>
      </c>
      <c r="E294">
        <v>15.6773333333333</v>
      </c>
      <c r="F294">
        <v>42.156333333333301</v>
      </c>
    </row>
    <row r="295" spans="1:6">
      <c r="A295" t="s">
        <v>299</v>
      </c>
      <c r="B295">
        <v>2.1466666666666598</v>
      </c>
      <c r="C295">
        <v>2.9866666666666601</v>
      </c>
      <c r="D295">
        <v>5.9633333333333303</v>
      </c>
      <c r="E295">
        <v>15.4626666666666</v>
      </c>
      <c r="F295">
        <v>42.3883333333333</v>
      </c>
    </row>
    <row r="296" spans="1:6">
      <c r="A296" t="s">
        <v>300</v>
      </c>
      <c r="B296">
        <v>3.6933333333333298</v>
      </c>
      <c r="C296">
        <v>4.86666666666666</v>
      </c>
      <c r="D296">
        <v>5.85</v>
      </c>
      <c r="E296">
        <v>15.2186666666666</v>
      </c>
      <c r="F296">
        <v>43.604333333333301</v>
      </c>
    </row>
    <row r="297" spans="1:6">
      <c r="A297" t="s">
        <v>301</v>
      </c>
      <c r="B297">
        <v>2.62333333333333</v>
      </c>
      <c r="C297">
        <v>3.3166666666666602</v>
      </c>
      <c r="D297">
        <v>4.3733333333333304</v>
      </c>
      <c r="E297">
        <v>15.1033333333333</v>
      </c>
      <c r="F297">
        <v>43.479333333333301</v>
      </c>
    </row>
    <row r="298" spans="1:6">
      <c r="A298" t="s">
        <v>302</v>
      </c>
      <c r="B298">
        <v>2.79</v>
      </c>
      <c r="C298">
        <v>3.6</v>
      </c>
      <c r="D298">
        <v>4.7666666666666604</v>
      </c>
      <c r="E298">
        <v>14.944000000000001</v>
      </c>
      <c r="F298">
        <v>42.846333333333298</v>
      </c>
    </row>
    <row r="299" spans="1:6">
      <c r="A299" t="s">
        <v>303</v>
      </c>
      <c r="B299">
        <v>2.6766666666666601</v>
      </c>
      <c r="C299">
        <v>3.5833333333333299</v>
      </c>
      <c r="D299">
        <v>4.1333333333333302</v>
      </c>
      <c r="E299">
        <v>14.864333333333301</v>
      </c>
      <c r="F299">
        <v>42.643666666666597</v>
      </c>
    </row>
    <row r="300" spans="1:6">
      <c r="A300" t="s">
        <v>304</v>
      </c>
      <c r="B300">
        <v>3.1366666666666601</v>
      </c>
      <c r="C300">
        <v>3.9866666666666601</v>
      </c>
      <c r="D300">
        <v>5.4833333333333298</v>
      </c>
      <c r="E300">
        <v>14.5136666666666</v>
      </c>
      <c r="F300">
        <v>43.073666666666597</v>
      </c>
    </row>
    <row r="301" spans="1:6">
      <c r="A301" t="s">
        <v>305</v>
      </c>
      <c r="B301">
        <v>3.6033333333333299</v>
      </c>
      <c r="C301">
        <v>5.28</v>
      </c>
      <c r="D301">
        <v>6.0333333333333297</v>
      </c>
      <c r="E301">
        <v>13.885</v>
      </c>
      <c r="F301">
        <v>43.8823333333333</v>
      </c>
    </row>
    <row r="302" spans="1:6">
      <c r="A302" t="s">
        <v>306</v>
      </c>
      <c r="B302">
        <v>6.1466666666666603</v>
      </c>
      <c r="C302">
        <v>8.77</v>
      </c>
      <c r="D302">
        <v>10.7866666666666</v>
      </c>
      <c r="E302">
        <v>13.556999999999899</v>
      </c>
      <c r="F302">
        <v>45.231999999999999</v>
      </c>
    </row>
    <row r="303" spans="1:6">
      <c r="A303" t="s">
        <v>307</v>
      </c>
      <c r="B303">
        <v>11.626666666666599</v>
      </c>
      <c r="C303">
        <v>16.023333333333301</v>
      </c>
      <c r="D303">
        <v>19.906666666666599</v>
      </c>
      <c r="E303">
        <v>13.327999999999999</v>
      </c>
      <c r="F303">
        <v>47.072000000000003</v>
      </c>
    </row>
    <row r="304" spans="1:6">
      <c r="A304" t="s">
        <v>308</v>
      </c>
      <c r="B304">
        <v>9.2366666666666593</v>
      </c>
      <c r="C304">
        <v>11.983333333333301</v>
      </c>
      <c r="D304">
        <v>14.5766666666666</v>
      </c>
      <c r="E304">
        <v>13.1316666666666</v>
      </c>
      <c r="F304">
        <v>46.759333333333302</v>
      </c>
    </row>
    <row r="305" spans="1:6">
      <c r="A305" t="s">
        <v>309</v>
      </c>
      <c r="B305">
        <v>4.0433333333333303</v>
      </c>
      <c r="C305">
        <v>5.43333333333333</v>
      </c>
      <c r="D305">
        <v>6.3033333333333301</v>
      </c>
      <c r="E305">
        <v>13.094666666666599</v>
      </c>
      <c r="F305">
        <v>46.333666666666602</v>
      </c>
    </row>
    <row r="306" spans="1:6">
      <c r="A306" t="s">
        <v>310</v>
      </c>
      <c r="B306">
        <v>5.9866666666666601</v>
      </c>
      <c r="C306">
        <v>7.94</v>
      </c>
      <c r="D306">
        <v>10.809999999999899</v>
      </c>
      <c r="E306">
        <v>12.9806666666666</v>
      </c>
      <c r="F306">
        <v>47.563666666666599</v>
      </c>
    </row>
    <row r="307" spans="1:6">
      <c r="A307" t="s">
        <v>311</v>
      </c>
      <c r="B307">
        <v>2.8166666666666602</v>
      </c>
      <c r="C307">
        <v>3.6333333333333302</v>
      </c>
      <c r="D307">
        <v>4.8099999999999996</v>
      </c>
      <c r="E307">
        <v>13.063999999999901</v>
      </c>
      <c r="F307">
        <v>46.482999999999898</v>
      </c>
    </row>
    <row r="308" spans="1:6">
      <c r="A308" t="s">
        <v>312</v>
      </c>
      <c r="B308">
        <v>3.6566666666666601</v>
      </c>
      <c r="C308">
        <v>4.9433333333333298</v>
      </c>
      <c r="D308">
        <v>6.2699999999999898</v>
      </c>
      <c r="E308">
        <v>13.091666666666599</v>
      </c>
      <c r="F308">
        <v>46.476666666666603</v>
      </c>
    </row>
    <row r="309" spans="1:6">
      <c r="A309" t="s">
        <v>313</v>
      </c>
      <c r="B309">
        <v>8.2733333333333299</v>
      </c>
      <c r="C309">
        <v>10.9266666666666</v>
      </c>
      <c r="D309">
        <v>13.466666666666599</v>
      </c>
      <c r="E309">
        <v>12.6676666666666</v>
      </c>
      <c r="F309">
        <v>47.200999999999901</v>
      </c>
    </row>
    <row r="310" spans="1:6">
      <c r="A310" t="s">
        <v>314</v>
      </c>
      <c r="B310">
        <v>8.1033333333333299</v>
      </c>
      <c r="C310">
        <v>10.723333333333301</v>
      </c>
      <c r="D310">
        <v>13.3266666666666</v>
      </c>
      <c r="E310">
        <v>12.249333333333301</v>
      </c>
      <c r="F310">
        <v>47.917333333333303</v>
      </c>
    </row>
    <row r="311" spans="1:6">
      <c r="A311" t="s">
        <v>315</v>
      </c>
      <c r="B311">
        <v>8.1666666666666607</v>
      </c>
      <c r="C311">
        <v>10.703333333333299</v>
      </c>
      <c r="D311">
        <v>12.986666666666601</v>
      </c>
      <c r="E311">
        <v>12.175333333333301</v>
      </c>
      <c r="F311">
        <v>47.941999999999901</v>
      </c>
    </row>
    <row r="312" spans="1:6">
      <c r="A312" t="s">
        <v>316</v>
      </c>
      <c r="B312">
        <v>6.76</v>
      </c>
      <c r="C312">
        <v>8.8000000000000007</v>
      </c>
      <c r="D312">
        <v>10.713333333333299</v>
      </c>
      <c r="E312">
        <v>12.2303333333333</v>
      </c>
      <c r="F312">
        <v>47.918999999999997</v>
      </c>
    </row>
    <row r="313" spans="1:6">
      <c r="A313" t="s">
        <v>317</v>
      </c>
      <c r="B313">
        <v>12.2566666666666</v>
      </c>
      <c r="C313">
        <v>15.65</v>
      </c>
      <c r="D313">
        <v>16.956666666666599</v>
      </c>
      <c r="E313">
        <v>12.4556666666666</v>
      </c>
      <c r="F313">
        <v>48.655000000000001</v>
      </c>
    </row>
    <row r="314" spans="1:6">
      <c r="A314" t="s">
        <v>318</v>
      </c>
      <c r="B314">
        <v>11.976666666666601</v>
      </c>
      <c r="C314">
        <v>15.02</v>
      </c>
      <c r="D314">
        <v>18.156666666666599</v>
      </c>
      <c r="E314">
        <v>12.543999999999899</v>
      </c>
      <c r="F314">
        <v>48.778666666666602</v>
      </c>
    </row>
    <row r="315" spans="1:6">
      <c r="A315" t="s">
        <v>319</v>
      </c>
      <c r="B315">
        <v>10.06</v>
      </c>
      <c r="C315">
        <v>13.3466666666666</v>
      </c>
      <c r="D315">
        <v>16.086666666666599</v>
      </c>
      <c r="E315">
        <v>12.402999999999899</v>
      </c>
      <c r="F315">
        <v>48.408333333333303</v>
      </c>
    </row>
    <row r="316" spans="1:6">
      <c r="A316" t="s">
        <v>320</v>
      </c>
      <c r="B316">
        <v>11.533333333333299</v>
      </c>
      <c r="C316">
        <v>14.126666666666599</v>
      </c>
      <c r="D316">
        <v>16.5766666666666</v>
      </c>
      <c r="E316">
        <v>12.188333333333301</v>
      </c>
      <c r="F316">
        <v>49.268000000000001</v>
      </c>
    </row>
    <row r="317" spans="1:6">
      <c r="A317" t="s">
        <v>321</v>
      </c>
      <c r="B317">
        <v>11.543333333333299</v>
      </c>
      <c r="C317">
        <v>14.5133333333333</v>
      </c>
      <c r="D317">
        <v>17.336666666666599</v>
      </c>
      <c r="E317">
        <v>11.7626666666666</v>
      </c>
      <c r="F317">
        <v>50.359666666666598</v>
      </c>
    </row>
    <row r="318" spans="1:6">
      <c r="A318" t="s">
        <v>322</v>
      </c>
      <c r="B318">
        <v>12.486666666666601</v>
      </c>
      <c r="C318">
        <v>15.466666666666599</v>
      </c>
      <c r="D318">
        <v>19.889999999999901</v>
      </c>
      <c r="E318">
        <v>11.530666666666599</v>
      </c>
      <c r="F318">
        <v>50.6576666666666</v>
      </c>
    </row>
    <row r="319" spans="1:6">
      <c r="A319" t="s">
        <v>323</v>
      </c>
      <c r="B319">
        <v>14.6999999999999</v>
      </c>
      <c r="C319">
        <v>19.7</v>
      </c>
      <c r="D319">
        <v>22.033333333333299</v>
      </c>
      <c r="E319">
        <v>11.407999999999999</v>
      </c>
      <c r="F319">
        <v>51.304333333333297</v>
      </c>
    </row>
    <row r="320" spans="1:6">
      <c r="A320" t="s">
        <v>324</v>
      </c>
      <c r="B320">
        <v>17.11</v>
      </c>
      <c r="C320">
        <v>22.343333333333302</v>
      </c>
      <c r="D320">
        <v>27</v>
      </c>
      <c r="E320">
        <v>11.3083333333333</v>
      </c>
      <c r="F320">
        <v>51.059666666666601</v>
      </c>
    </row>
    <row r="321" spans="1:6">
      <c r="A321" t="s">
        <v>325</v>
      </c>
      <c r="B321">
        <v>14.543333333333299</v>
      </c>
      <c r="C321">
        <v>17.8799999999999</v>
      </c>
      <c r="D321">
        <v>20.82</v>
      </c>
      <c r="E321">
        <v>11.316333333333301</v>
      </c>
      <c r="F321">
        <v>50.655999999999899</v>
      </c>
    </row>
    <row r="322" spans="1:6">
      <c r="A322" t="s">
        <v>326</v>
      </c>
      <c r="B322">
        <v>13.12</v>
      </c>
      <c r="C322">
        <v>16.963333333333299</v>
      </c>
      <c r="D322">
        <v>19.04</v>
      </c>
      <c r="E322">
        <v>11.2309999999999</v>
      </c>
      <c r="F322">
        <v>51.075666666666599</v>
      </c>
    </row>
    <row r="323" spans="1:6">
      <c r="A323" t="s">
        <v>327</v>
      </c>
      <c r="B323">
        <v>9.4600000000000009</v>
      </c>
      <c r="C323">
        <v>12.0033333333333</v>
      </c>
      <c r="D323">
        <v>14.04</v>
      </c>
      <c r="E323">
        <v>11.3143333333333</v>
      </c>
      <c r="F323">
        <v>50.838333333333303</v>
      </c>
    </row>
    <row r="324" spans="1:6">
      <c r="A324" t="s">
        <v>328</v>
      </c>
      <c r="B324">
        <v>6.6066666666666602</v>
      </c>
      <c r="C324">
        <v>9.0533333333333292</v>
      </c>
      <c r="D324">
        <v>12.579999999999901</v>
      </c>
      <c r="E324">
        <v>11.562666666666599</v>
      </c>
      <c r="F324">
        <v>50.132666666666601</v>
      </c>
    </row>
    <row r="325" spans="1:6">
      <c r="A325" t="s">
        <v>329</v>
      </c>
      <c r="B325">
        <v>5.59</v>
      </c>
      <c r="C325">
        <v>7.8733333333333304</v>
      </c>
      <c r="D325">
        <v>9.3766666666666598</v>
      </c>
      <c r="E325">
        <v>11.822666666666599</v>
      </c>
      <c r="F325">
        <v>49.987666666666598</v>
      </c>
    </row>
    <row r="326" spans="1:6">
      <c r="A326" t="s">
        <v>330</v>
      </c>
      <c r="B326">
        <v>5.2066666666666599</v>
      </c>
      <c r="C326">
        <v>6.9533333333333296</v>
      </c>
      <c r="D326">
        <v>7.7366666666666601</v>
      </c>
      <c r="E326">
        <v>12.023</v>
      </c>
      <c r="F326">
        <v>49.799666666666603</v>
      </c>
    </row>
    <row r="327" spans="1:6">
      <c r="A327" t="s">
        <v>331</v>
      </c>
      <c r="B327">
        <v>7.18</v>
      </c>
      <c r="C327">
        <v>9.02</v>
      </c>
      <c r="D327">
        <v>10.49</v>
      </c>
      <c r="E327">
        <v>12.1483333333333</v>
      </c>
      <c r="F327">
        <v>49.827999999999903</v>
      </c>
    </row>
    <row r="328" spans="1:6">
      <c r="A328" t="s">
        <v>332</v>
      </c>
      <c r="B328">
        <v>10.79</v>
      </c>
      <c r="C328">
        <v>14.3266666666666</v>
      </c>
      <c r="D328">
        <v>17.133333333333301</v>
      </c>
      <c r="E328">
        <v>12.206</v>
      </c>
      <c r="F328">
        <v>49.966666666666598</v>
      </c>
    </row>
    <row r="329" spans="1:6">
      <c r="A329" t="s">
        <v>333</v>
      </c>
      <c r="B329">
        <v>6.1</v>
      </c>
      <c r="C329">
        <v>7.7566666666666597</v>
      </c>
      <c r="D329">
        <v>8.6399999999999899</v>
      </c>
      <c r="E329">
        <v>12.486333333333301</v>
      </c>
      <c r="F329">
        <v>49.994999999999997</v>
      </c>
    </row>
    <row r="330" spans="1:6">
      <c r="A330" t="s">
        <v>334</v>
      </c>
      <c r="B330">
        <v>5.61666666666666</v>
      </c>
      <c r="C330">
        <v>7.3866666666666596</v>
      </c>
      <c r="D330">
        <v>10.5933333333333</v>
      </c>
      <c r="E330">
        <v>12.617333333333301</v>
      </c>
      <c r="F330">
        <v>50.151333333333298</v>
      </c>
    </row>
    <row r="331" spans="1:6">
      <c r="A331" t="s">
        <v>335</v>
      </c>
      <c r="B331">
        <v>5.6866666666666603</v>
      </c>
      <c r="C331">
        <v>7.2833333333333297</v>
      </c>
      <c r="D331">
        <v>8.3633333333333297</v>
      </c>
      <c r="E331">
        <v>12.726000000000001</v>
      </c>
      <c r="F331">
        <v>50.286333333333303</v>
      </c>
    </row>
    <row r="332" spans="1:6">
      <c r="A332" t="s">
        <v>336</v>
      </c>
      <c r="B332">
        <v>6.4633333333333303</v>
      </c>
      <c r="C332">
        <v>8.18333333333333</v>
      </c>
      <c r="D332">
        <v>9.6733333333333302</v>
      </c>
      <c r="E332">
        <v>12.890333333333301</v>
      </c>
      <c r="F332">
        <v>50.204000000000001</v>
      </c>
    </row>
    <row r="333" spans="1:6">
      <c r="A333" t="s">
        <v>337</v>
      </c>
      <c r="B333">
        <v>4.6966666666666601</v>
      </c>
      <c r="C333">
        <v>5.7299999999999898</v>
      </c>
      <c r="D333">
        <v>5.9833333333333298</v>
      </c>
      <c r="E333">
        <v>13.053333333333301</v>
      </c>
      <c r="F333">
        <v>50.106666666666598</v>
      </c>
    </row>
    <row r="334" spans="1:6">
      <c r="A334" t="s">
        <v>338</v>
      </c>
      <c r="B334">
        <v>6.7033333333333296</v>
      </c>
      <c r="C334">
        <v>8.82</v>
      </c>
      <c r="D334">
        <v>11.83</v>
      </c>
      <c r="E334">
        <v>13.172333333333301</v>
      </c>
      <c r="F334">
        <v>50.463000000000001</v>
      </c>
    </row>
    <row r="335" spans="1:6">
      <c r="A335" t="s">
        <v>339</v>
      </c>
      <c r="B335">
        <v>5.4666666666666597</v>
      </c>
      <c r="C335">
        <v>6.75</v>
      </c>
      <c r="D335">
        <v>9.36</v>
      </c>
      <c r="E335">
        <v>13.175333333333301</v>
      </c>
      <c r="F335">
        <v>50.640999999999998</v>
      </c>
    </row>
    <row r="336" spans="1:6">
      <c r="A336" t="s">
        <v>340</v>
      </c>
      <c r="B336">
        <v>5.2533333333333303</v>
      </c>
      <c r="C336">
        <v>6.6499999999999897</v>
      </c>
      <c r="D336">
        <v>8.4566666666666599</v>
      </c>
      <c r="E336">
        <v>13.091333333333299</v>
      </c>
      <c r="F336">
        <v>51.726333333333301</v>
      </c>
    </row>
    <row r="337" spans="1:6">
      <c r="A337" t="s">
        <v>341</v>
      </c>
      <c r="B337">
        <v>5.1333333333333302</v>
      </c>
      <c r="C337">
        <v>6.34</v>
      </c>
      <c r="D337">
        <v>7.79</v>
      </c>
      <c r="E337">
        <v>13.190666666666599</v>
      </c>
      <c r="F337">
        <v>52.143333333333302</v>
      </c>
    </row>
    <row r="338" spans="1:6">
      <c r="A338" t="s">
        <v>342</v>
      </c>
      <c r="B338">
        <v>3.4299999999999899</v>
      </c>
      <c r="C338">
        <v>4.9166666666666599</v>
      </c>
      <c r="D338">
        <v>6.44</v>
      </c>
      <c r="E338">
        <v>13.6486666666666</v>
      </c>
      <c r="F338">
        <v>52.811333333333302</v>
      </c>
    </row>
    <row r="339" spans="1:6">
      <c r="A339" t="s">
        <v>343</v>
      </c>
      <c r="B339">
        <v>3.4666666666666601</v>
      </c>
      <c r="C339">
        <v>4.5833333333333304</v>
      </c>
      <c r="D339">
        <v>7.0466666666666598</v>
      </c>
      <c r="E339">
        <v>14.1513333333333</v>
      </c>
      <c r="F339">
        <v>53.777333333333303</v>
      </c>
    </row>
    <row r="340" spans="1:6">
      <c r="A340" t="s">
        <v>344</v>
      </c>
      <c r="B340">
        <v>3.4566666666666599</v>
      </c>
      <c r="C340">
        <v>5.5066666666666597</v>
      </c>
      <c r="D340">
        <v>7.6233333333333304</v>
      </c>
      <c r="E340">
        <v>14.566333333333301</v>
      </c>
      <c r="F340">
        <v>54.588999999999999</v>
      </c>
    </row>
    <row r="341" spans="1:6">
      <c r="A341" t="s">
        <v>345</v>
      </c>
      <c r="B341">
        <v>3.3433333333333302</v>
      </c>
      <c r="C341">
        <v>3.7133333333333298</v>
      </c>
      <c r="D341">
        <v>5.03666666666666</v>
      </c>
      <c r="E341">
        <v>14.7766666666666</v>
      </c>
      <c r="F341">
        <v>58.314333333333302</v>
      </c>
    </row>
    <row r="342" spans="1:6">
      <c r="A342" t="s">
        <v>346</v>
      </c>
      <c r="B342">
        <v>4.2666666666666604</v>
      </c>
      <c r="C342">
        <v>4.75</v>
      </c>
      <c r="D342">
        <v>6.43333333333333</v>
      </c>
      <c r="E342">
        <v>14.802</v>
      </c>
      <c r="F342">
        <v>59.265999999999998</v>
      </c>
    </row>
    <row r="343" spans="1:6">
      <c r="A343" t="s">
        <v>347</v>
      </c>
      <c r="B343">
        <v>3.1866666666666599</v>
      </c>
      <c r="C343">
        <v>3.5499999999999901</v>
      </c>
      <c r="D343">
        <v>4.8099999999999996</v>
      </c>
      <c r="E343">
        <v>14.8943333333333</v>
      </c>
      <c r="F343">
        <v>58.125</v>
      </c>
    </row>
    <row r="344" spans="1:6">
      <c r="A344" t="s">
        <v>348</v>
      </c>
      <c r="B344">
        <v>2.6</v>
      </c>
      <c r="C344">
        <v>3.5866666666666598</v>
      </c>
      <c r="D344">
        <v>4.82666666666666</v>
      </c>
      <c r="E344">
        <v>14.707999999999901</v>
      </c>
      <c r="F344">
        <v>57.296333333333301</v>
      </c>
    </row>
    <row r="345" spans="1:6">
      <c r="A345" t="s">
        <v>349</v>
      </c>
      <c r="B345">
        <v>3.2499999999999898</v>
      </c>
      <c r="C345">
        <v>4.83</v>
      </c>
      <c r="D345">
        <v>7.59</v>
      </c>
      <c r="E345">
        <v>14.527333333333299</v>
      </c>
      <c r="F345">
        <v>57.381333333333302</v>
      </c>
    </row>
    <row r="346" spans="1:6">
      <c r="A346" t="s">
        <v>350</v>
      </c>
      <c r="B346">
        <v>2.66333333333333</v>
      </c>
      <c r="C346">
        <v>3.7499999999999898</v>
      </c>
      <c r="D346">
        <v>6.3</v>
      </c>
      <c r="E346">
        <v>14.331</v>
      </c>
      <c r="F346">
        <v>57.1009999999999</v>
      </c>
    </row>
    <row r="347" spans="1:6">
      <c r="A347" t="s">
        <v>351</v>
      </c>
      <c r="B347">
        <v>3.05666666666666</v>
      </c>
      <c r="C347">
        <v>3.99</v>
      </c>
      <c r="D347">
        <v>5.25</v>
      </c>
      <c r="E347">
        <v>13.973000000000001</v>
      </c>
      <c r="F347">
        <v>57.691000000000003</v>
      </c>
    </row>
    <row r="348" spans="1:6">
      <c r="A348" t="s">
        <v>352</v>
      </c>
      <c r="B348">
        <v>3.67</v>
      </c>
      <c r="C348">
        <v>4.12</v>
      </c>
      <c r="D348">
        <v>5.5833333333333304</v>
      </c>
      <c r="E348">
        <v>13.822999999999899</v>
      </c>
      <c r="F348">
        <v>58.243666666666599</v>
      </c>
    </row>
    <row r="349" spans="1:6">
      <c r="A349" t="s">
        <v>353</v>
      </c>
      <c r="B349">
        <v>2.1566666666666601</v>
      </c>
      <c r="C349">
        <v>2.4366666666666599</v>
      </c>
      <c r="D349">
        <v>3.4033333333333302</v>
      </c>
      <c r="E349">
        <v>13.9206666666666</v>
      </c>
      <c r="F349">
        <v>57.462999999999901</v>
      </c>
    </row>
    <row r="350" spans="1:6">
      <c r="A350" t="s">
        <v>354</v>
      </c>
      <c r="B350">
        <v>3.2133333333333298</v>
      </c>
      <c r="C350">
        <v>4.3733333333333304</v>
      </c>
      <c r="D350">
        <v>5.6733333333333302</v>
      </c>
      <c r="E350">
        <v>14.005000000000001</v>
      </c>
      <c r="F350">
        <v>57.368000000000002</v>
      </c>
    </row>
    <row r="351" spans="1:6">
      <c r="A351" t="s">
        <v>355</v>
      </c>
      <c r="B351">
        <v>3.7833333333333301</v>
      </c>
      <c r="C351">
        <v>4.6533333333333298</v>
      </c>
      <c r="D351">
        <v>6.9766666666666604</v>
      </c>
      <c r="E351">
        <v>14.133333333333301</v>
      </c>
      <c r="F351">
        <v>56.8346666666666</v>
      </c>
    </row>
    <row r="352" spans="1:6">
      <c r="A352" t="s">
        <v>356</v>
      </c>
      <c r="B352">
        <v>2.58</v>
      </c>
      <c r="C352">
        <v>3.7533333333333299</v>
      </c>
      <c r="D352">
        <v>6.7266666666666604</v>
      </c>
      <c r="E352">
        <v>14.281333333333301</v>
      </c>
      <c r="F352">
        <v>56.31</v>
      </c>
    </row>
    <row r="353" spans="1:6">
      <c r="A353" t="s">
        <v>357</v>
      </c>
      <c r="B353">
        <v>2.0433333333333299</v>
      </c>
      <c r="C353">
        <v>3.28666666666666</v>
      </c>
      <c r="D353">
        <v>4.3033333333333301</v>
      </c>
      <c r="E353">
        <v>14.4889999999999</v>
      </c>
      <c r="F353">
        <v>55.664999999999999</v>
      </c>
    </row>
    <row r="354" spans="1:6">
      <c r="A354" t="s">
        <v>358</v>
      </c>
      <c r="B354">
        <v>3.1866666666666599</v>
      </c>
      <c r="C354">
        <v>4.5333333333333297</v>
      </c>
      <c r="D354">
        <v>5.9366666666666603</v>
      </c>
      <c r="E354">
        <v>14.5453333333333</v>
      </c>
      <c r="F354">
        <v>55.381333333333302</v>
      </c>
    </row>
    <row r="355" spans="1:6">
      <c r="A355" t="s">
        <v>359</v>
      </c>
      <c r="B355">
        <v>3.32</v>
      </c>
      <c r="C355">
        <v>4.9966666666666599</v>
      </c>
      <c r="D355">
        <v>7.82666666666666</v>
      </c>
      <c r="E355">
        <v>14.8023333333333</v>
      </c>
      <c r="F355">
        <v>54.890666666666597</v>
      </c>
    </row>
    <row r="356" spans="1:6">
      <c r="A356" t="s">
        <v>360</v>
      </c>
      <c r="B356">
        <v>4.64333333333333</v>
      </c>
      <c r="C356">
        <v>6.4366666666666603</v>
      </c>
      <c r="D356">
        <v>10.9266666666666</v>
      </c>
      <c r="E356">
        <v>14.957333333333301</v>
      </c>
      <c r="F356">
        <v>53.829666666666597</v>
      </c>
    </row>
    <row r="357" spans="1:6">
      <c r="A357" t="s">
        <v>361</v>
      </c>
      <c r="B357">
        <v>3.21</v>
      </c>
      <c r="C357">
        <v>4.4366666666666603</v>
      </c>
      <c r="D357">
        <v>7.0033333333333303</v>
      </c>
      <c r="E357">
        <v>14.7893333333333</v>
      </c>
      <c r="F357">
        <v>53.849999999999902</v>
      </c>
    </row>
    <row r="358" spans="1:6">
      <c r="A358" t="s">
        <v>362</v>
      </c>
      <c r="B358">
        <v>3.0599999999999898</v>
      </c>
      <c r="C358">
        <v>4.6633333333333304</v>
      </c>
      <c r="D358">
        <v>7.3066666666666604</v>
      </c>
      <c r="E358">
        <v>15.030666666666599</v>
      </c>
      <c r="F358">
        <v>53.145999999999901</v>
      </c>
    </row>
    <row r="359" spans="1:6">
      <c r="A359" t="s">
        <v>363</v>
      </c>
      <c r="B359">
        <v>2.7466666666666599</v>
      </c>
      <c r="C359">
        <v>4.9233333333333302</v>
      </c>
      <c r="D359">
        <v>7.8499999999999899</v>
      </c>
      <c r="E359">
        <v>15.4306666666666</v>
      </c>
      <c r="F359">
        <v>52.161999999999999</v>
      </c>
    </row>
    <row r="360" spans="1:6">
      <c r="A360" t="s">
        <v>364</v>
      </c>
      <c r="B360">
        <v>2.6766666666666601</v>
      </c>
      <c r="C360">
        <v>3.5666666666666602</v>
      </c>
      <c r="D360">
        <v>6.9466666666666601</v>
      </c>
      <c r="E360">
        <v>15.9553333333333</v>
      </c>
      <c r="F360">
        <v>51.250999999999998</v>
      </c>
    </row>
    <row r="361" spans="1:6">
      <c r="A361" t="s">
        <v>365</v>
      </c>
      <c r="B361">
        <v>2.4933333333333301</v>
      </c>
      <c r="C361">
        <v>3.6566666666666601</v>
      </c>
      <c r="D361">
        <v>5.2166666666666597</v>
      </c>
      <c r="E361">
        <v>16.604666666666599</v>
      </c>
      <c r="F361">
        <v>49.7096666666666</v>
      </c>
    </row>
    <row r="362" spans="1:6">
      <c r="A362" t="s">
        <v>366</v>
      </c>
      <c r="B362">
        <v>2.85</v>
      </c>
      <c r="C362">
        <v>4.3499999999999996</v>
      </c>
      <c r="D362">
        <v>8.8000000000000007</v>
      </c>
      <c r="E362">
        <v>17.495666666666601</v>
      </c>
      <c r="F362">
        <v>47.683999999999997</v>
      </c>
    </row>
    <row r="363" spans="1:6">
      <c r="A363" t="s">
        <v>367</v>
      </c>
      <c r="B363">
        <v>2.30666666666666</v>
      </c>
      <c r="C363">
        <v>3.2333333333333298</v>
      </c>
      <c r="D363">
        <v>4.7033333333333296</v>
      </c>
      <c r="E363">
        <v>17.950333333333301</v>
      </c>
      <c r="F363">
        <v>46.155666666666598</v>
      </c>
    </row>
    <row r="364" spans="1:6">
      <c r="A364" t="s">
        <v>368</v>
      </c>
      <c r="B364">
        <v>2.4633333333333298</v>
      </c>
      <c r="C364">
        <v>3.2533333333333299</v>
      </c>
      <c r="D364">
        <v>5.3333333333333304</v>
      </c>
      <c r="E364">
        <v>18.751333333333299</v>
      </c>
      <c r="F364">
        <v>44.389999999999901</v>
      </c>
    </row>
    <row r="365" spans="1:6">
      <c r="A365" t="s">
        <v>369</v>
      </c>
      <c r="B365">
        <v>2.09666666666666</v>
      </c>
      <c r="C365">
        <v>3.03666666666666</v>
      </c>
      <c r="D365">
        <v>3.7733333333333299</v>
      </c>
      <c r="E365">
        <v>19.6516666666666</v>
      </c>
      <c r="F365">
        <v>42.631999999999998</v>
      </c>
    </row>
    <row r="366" spans="1:6">
      <c r="A366" t="s">
        <v>370</v>
      </c>
      <c r="B366">
        <v>1.8533333333333299</v>
      </c>
      <c r="C366">
        <v>2.5233333333333299</v>
      </c>
      <c r="D366">
        <v>5.09</v>
      </c>
      <c r="E366">
        <v>20.4076666666666</v>
      </c>
      <c r="F366">
        <v>41.378999999999898</v>
      </c>
    </row>
    <row r="367" spans="1:6">
      <c r="A367" t="s">
        <v>371</v>
      </c>
      <c r="B367">
        <v>1.37666666666666</v>
      </c>
      <c r="C367">
        <v>2.2999999999999998</v>
      </c>
      <c r="D367">
        <v>3.01</v>
      </c>
      <c r="E367">
        <v>20.1316666666666</v>
      </c>
      <c r="F367">
        <v>40.173666666666598</v>
      </c>
    </row>
    <row r="368" spans="1:6">
      <c r="A368" t="s">
        <v>372</v>
      </c>
      <c r="B368">
        <v>1.4299999999999899</v>
      </c>
      <c r="C368">
        <v>2.27</v>
      </c>
      <c r="D368">
        <v>3.74</v>
      </c>
      <c r="E368">
        <v>19.843</v>
      </c>
      <c r="F368">
        <v>40.5043333333333</v>
      </c>
    </row>
    <row r="369" spans="1:6">
      <c r="A369" t="s">
        <v>373</v>
      </c>
      <c r="B369">
        <v>1.61666666666666</v>
      </c>
      <c r="C369">
        <v>2.2466666666666599</v>
      </c>
      <c r="D369">
        <v>3.0166666666666599</v>
      </c>
      <c r="E369">
        <v>22.192333333333298</v>
      </c>
      <c r="F369">
        <v>35.869</v>
      </c>
    </row>
    <row r="370" spans="1:6">
      <c r="A370" t="s">
        <v>374</v>
      </c>
      <c r="B370">
        <v>1.5066666666666599</v>
      </c>
      <c r="C370">
        <v>2.0433333333333299</v>
      </c>
      <c r="D370">
        <v>3.9299999999999899</v>
      </c>
      <c r="E370">
        <v>27.093</v>
      </c>
      <c r="F370">
        <v>27.999333333333301</v>
      </c>
    </row>
    <row r="371" spans="1:6">
      <c r="A371" t="s">
        <v>375</v>
      </c>
      <c r="B371">
        <v>1.1000000000000001</v>
      </c>
      <c r="C371">
        <v>1.28666666666666</v>
      </c>
      <c r="D371">
        <v>2.41333333333333</v>
      </c>
      <c r="E371">
        <v>28.019666666666598</v>
      </c>
      <c r="F371">
        <v>25.658999999999999</v>
      </c>
    </row>
    <row r="372" spans="1:6">
      <c r="A372" t="s">
        <v>376</v>
      </c>
      <c r="B372">
        <v>1.29666666666666</v>
      </c>
      <c r="C372">
        <v>1.96333333333333</v>
      </c>
      <c r="D372">
        <v>2.7666666666666599</v>
      </c>
      <c r="E372">
        <v>26.423666666666598</v>
      </c>
      <c r="F372">
        <v>27.604333333333301</v>
      </c>
    </row>
    <row r="373" spans="1:6">
      <c r="A373" t="s">
        <v>377</v>
      </c>
      <c r="B373">
        <v>1.66333333333333</v>
      </c>
      <c r="C373">
        <v>2.86</v>
      </c>
      <c r="D373">
        <v>3.87333333333333</v>
      </c>
      <c r="E373">
        <v>28.3363333333333</v>
      </c>
      <c r="F373">
        <v>25.300333333333299</v>
      </c>
    </row>
    <row r="374" spans="1:6">
      <c r="A374" t="s">
        <v>378</v>
      </c>
      <c r="B374">
        <v>1.7233333333333301</v>
      </c>
      <c r="C374">
        <v>2.8033333333333301</v>
      </c>
      <c r="D374">
        <v>5.6633333333333304</v>
      </c>
      <c r="E374">
        <v>31.7403333333333</v>
      </c>
      <c r="F374">
        <v>21.665333333333301</v>
      </c>
    </row>
    <row r="375" spans="1:6">
      <c r="A375" t="s">
        <v>379</v>
      </c>
      <c r="B375">
        <v>1.61666666666666</v>
      </c>
      <c r="C375">
        <v>2.6366666666666601</v>
      </c>
      <c r="D375">
        <v>4.4066666666666601</v>
      </c>
      <c r="E375">
        <v>28.559666666666601</v>
      </c>
      <c r="F375">
        <v>24.614999999999899</v>
      </c>
    </row>
    <row r="376" spans="1:6">
      <c r="A376" t="s">
        <v>380</v>
      </c>
      <c r="B376">
        <v>2.57666666666666</v>
      </c>
      <c r="C376">
        <v>3.61</v>
      </c>
      <c r="D376">
        <v>5.3133333333333299</v>
      </c>
      <c r="E376">
        <v>28.729666666666599</v>
      </c>
      <c r="F376">
        <v>26.0929999999999</v>
      </c>
    </row>
    <row r="377" spans="1:6">
      <c r="A377" t="s">
        <v>381</v>
      </c>
      <c r="B377">
        <v>3.74</v>
      </c>
      <c r="C377">
        <v>6.4866666666666601</v>
      </c>
      <c r="D377">
        <v>10.563333333333301</v>
      </c>
      <c r="E377">
        <v>24.9106666666666</v>
      </c>
      <c r="F377">
        <v>32.1533333333333</v>
      </c>
    </row>
    <row r="378" spans="1:6">
      <c r="A378" t="s">
        <v>382</v>
      </c>
      <c r="B378">
        <v>3.6199999999999899</v>
      </c>
      <c r="C378">
        <v>5.6566666666666601</v>
      </c>
      <c r="D378">
        <v>9.6033333333333299</v>
      </c>
      <c r="E378">
        <v>24.252999999999901</v>
      </c>
      <c r="F378">
        <v>32.957000000000001</v>
      </c>
    </row>
    <row r="379" spans="1:6">
      <c r="A379" t="s">
        <v>383</v>
      </c>
      <c r="B379">
        <v>3.6799999999999899</v>
      </c>
      <c r="C379">
        <v>5.6266666666666598</v>
      </c>
      <c r="D379">
        <v>11.479999999999899</v>
      </c>
      <c r="E379">
        <v>26.882000000000001</v>
      </c>
      <c r="F379">
        <v>29.456666666666599</v>
      </c>
    </row>
    <row r="380" spans="1:6">
      <c r="A380" t="s">
        <v>384</v>
      </c>
      <c r="B380">
        <v>3.3833333333333302</v>
      </c>
      <c r="C380">
        <v>5.3299999999999903</v>
      </c>
      <c r="D380">
        <v>9.6666666666666607</v>
      </c>
      <c r="E380">
        <v>27.902999999999999</v>
      </c>
      <c r="F380">
        <v>28.303000000000001</v>
      </c>
    </row>
    <row r="381" spans="1:6">
      <c r="A381" t="s">
        <v>385</v>
      </c>
      <c r="B381">
        <v>3.45333333333333</v>
      </c>
      <c r="C381">
        <v>5.3966666666666603</v>
      </c>
      <c r="D381">
        <v>7.0166666666666604</v>
      </c>
      <c r="E381">
        <v>27.144666666666598</v>
      </c>
      <c r="F381">
        <v>28.792666666666602</v>
      </c>
    </row>
    <row r="382" spans="1:6">
      <c r="A382" t="s">
        <v>386</v>
      </c>
      <c r="B382">
        <v>3.0033333333333299</v>
      </c>
      <c r="C382">
        <v>4.7766666666666602</v>
      </c>
      <c r="D382">
        <v>7.8033333333333301</v>
      </c>
      <c r="E382">
        <v>27.1836666666666</v>
      </c>
      <c r="F382">
        <v>29.541</v>
      </c>
    </row>
    <row r="383" spans="1:6">
      <c r="A383" t="s">
        <v>387</v>
      </c>
      <c r="B383">
        <v>3.6466666666666598</v>
      </c>
      <c r="C383">
        <v>5.7933333333333303</v>
      </c>
      <c r="D383">
        <v>10.393333333333301</v>
      </c>
      <c r="E383">
        <v>24.773</v>
      </c>
      <c r="F383">
        <v>32.488666666666603</v>
      </c>
    </row>
    <row r="384" spans="1:6">
      <c r="A384" t="s">
        <v>388</v>
      </c>
      <c r="B384">
        <v>4.28</v>
      </c>
      <c r="C384">
        <v>6.5733333333333297</v>
      </c>
      <c r="D384">
        <v>10.9366666666666</v>
      </c>
      <c r="E384">
        <v>21.402999999999999</v>
      </c>
      <c r="F384">
        <v>38.875999999999998</v>
      </c>
    </row>
    <row r="385" spans="1:6">
      <c r="A385" t="s">
        <v>389</v>
      </c>
      <c r="B385">
        <v>3.9833333333333298</v>
      </c>
      <c r="C385">
        <v>5.8133333333333299</v>
      </c>
      <c r="D385">
        <v>8.5433333333333294</v>
      </c>
      <c r="E385">
        <v>21.4366666666666</v>
      </c>
      <c r="F385">
        <v>39.016666666666602</v>
      </c>
    </row>
    <row r="386" spans="1:6">
      <c r="A386" t="s">
        <v>390</v>
      </c>
      <c r="B386">
        <v>4.2033333333333296</v>
      </c>
      <c r="C386">
        <v>6.55</v>
      </c>
      <c r="D386">
        <v>9.0666666666666593</v>
      </c>
      <c r="E386">
        <v>19.6153333333333</v>
      </c>
      <c r="F386">
        <v>41.953666666666599</v>
      </c>
    </row>
    <row r="387" spans="1:6">
      <c r="A387" t="s">
        <v>391</v>
      </c>
      <c r="B387">
        <v>4.47</v>
      </c>
      <c r="C387">
        <v>6.9266666666666596</v>
      </c>
      <c r="D387">
        <v>12.9499999999999</v>
      </c>
      <c r="E387">
        <v>18.775666666666599</v>
      </c>
      <c r="F387">
        <v>43.594999999999999</v>
      </c>
    </row>
    <row r="388" spans="1:6">
      <c r="A388" t="s">
        <v>392</v>
      </c>
      <c r="B388">
        <v>5.5533333333333301</v>
      </c>
      <c r="C388">
        <v>8.4466666666666601</v>
      </c>
      <c r="D388">
        <v>14.53</v>
      </c>
      <c r="E388">
        <v>18.023</v>
      </c>
      <c r="F388">
        <v>46.655333333333303</v>
      </c>
    </row>
    <row r="389" spans="1:6">
      <c r="A389" t="s">
        <v>393</v>
      </c>
      <c r="B389">
        <v>5.0333333333333297</v>
      </c>
      <c r="C389">
        <v>8.78666666666666</v>
      </c>
      <c r="D389">
        <v>15.983333333333301</v>
      </c>
      <c r="E389">
        <v>17.566333333333301</v>
      </c>
      <c r="F389">
        <v>46.483333333333299</v>
      </c>
    </row>
    <row r="390" spans="1:6">
      <c r="A390" t="s">
        <v>394</v>
      </c>
      <c r="B390">
        <v>6.52</v>
      </c>
      <c r="C390">
        <v>10.3366666666666</v>
      </c>
      <c r="D390">
        <v>17.336666666666599</v>
      </c>
      <c r="E390">
        <v>17.2433333333333</v>
      </c>
      <c r="F390">
        <v>47.883999999999901</v>
      </c>
    </row>
    <row r="391" spans="1:6">
      <c r="A391" t="s">
        <v>395</v>
      </c>
      <c r="B391">
        <v>5.95</v>
      </c>
      <c r="C391">
        <v>9.5533333333333292</v>
      </c>
      <c r="D391">
        <v>18.033333333333299</v>
      </c>
      <c r="E391">
        <v>17.126999999999999</v>
      </c>
      <c r="F391">
        <v>48.158666666666598</v>
      </c>
    </row>
    <row r="392" spans="1:6">
      <c r="A392" t="s">
        <v>396</v>
      </c>
      <c r="B392">
        <v>5.0166666666666604</v>
      </c>
      <c r="C392">
        <v>8.6466666666666594</v>
      </c>
      <c r="D392">
        <v>14.55</v>
      </c>
      <c r="E392">
        <v>17.089666666666599</v>
      </c>
      <c r="F392">
        <v>47.536666666666598</v>
      </c>
    </row>
    <row r="393" spans="1:6">
      <c r="A393" t="s">
        <v>397</v>
      </c>
      <c r="B393">
        <v>4.7233333333333301</v>
      </c>
      <c r="C393">
        <v>6.9</v>
      </c>
      <c r="D393">
        <v>12.0233333333333</v>
      </c>
      <c r="E393">
        <v>17.017666666666599</v>
      </c>
      <c r="F393">
        <v>47.508999999999901</v>
      </c>
    </row>
    <row r="394" spans="1:6">
      <c r="A394" t="s">
        <v>398</v>
      </c>
      <c r="B394">
        <v>3.8366666666666598</v>
      </c>
      <c r="C394">
        <v>5.8566666666666602</v>
      </c>
      <c r="D394">
        <v>10.81</v>
      </c>
      <c r="E394">
        <v>16.812666666666601</v>
      </c>
      <c r="F394">
        <v>47.728333333333303</v>
      </c>
    </row>
    <row r="395" spans="1:6">
      <c r="A395" t="s">
        <v>399</v>
      </c>
      <c r="B395">
        <v>4.9366666666666603</v>
      </c>
      <c r="C395">
        <v>7.4266666666666596</v>
      </c>
      <c r="D395">
        <v>12.5299999999999</v>
      </c>
      <c r="E395">
        <v>16.393999999999998</v>
      </c>
      <c r="F395">
        <v>49.024333333333303</v>
      </c>
    </row>
    <row r="396" spans="1:6">
      <c r="A396" t="s">
        <v>400</v>
      </c>
      <c r="B396">
        <v>6.9733333333333301</v>
      </c>
      <c r="C396">
        <v>11.046666666666599</v>
      </c>
      <c r="D396">
        <v>18.206666666666599</v>
      </c>
      <c r="E396">
        <v>15.993</v>
      </c>
      <c r="F396">
        <v>50.969666666666598</v>
      </c>
    </row>
    <row r="397" spans="1:6">
      <c r="A397" t="s">
        <v>401</v>
      </c>
      <c r="B397">
        <v>10.24</v>
      </c>
      <c r="C397">
        <v>14.6133333333333</v>
      </c>
      <c r="D397">
        <v>23.093333333333302</v>
      </c>
      <c r="E397">
        <v>15.3979999999999</v>
      </c>
      <c r="F397">
        <v>51.802333333333301</v>
      </c>
    </row>
    <row r="398" spans="1:6">
      <c r="A398" t="s">
        <v>402</v>
      </c>
      <c r="B398">
        <v>12.6899999999999</v>
      </c>
      <c r="C398">
        <v>18.0766666666666</v>
      </c>
      <c r="D398">
        <v>25.206666666666599</v>
      </c>
      <c r="E398">
        <v>14.8596666666666</v>
      </c>
      <c r="F398">
        <v>52.890333333333302</v>
      </c>
    </row>
    <row r="399" spans="1:6">
      <c r="A399" t="s">
        <v>403</v>
      </c>
      <c r="B399">
        <v>14.8333333333333</v>
      </c>
      <c r="C399">
        <v>20.783333333333299</v>
      </c>
      <c r="D399">
        <v>30.123333333333299</v>
      </c>
      <c r="E399">
        <v>14.5383333333333</v>
      </c>
      <c r="F399">
        <v>52.796999999999997</v>
      </c>
    </row>
    <row r="400" spans="1:6">
      <c r="A400" t="s">
        <v>404</v>
      </c>
      <c r="B400">
        <v>15.873333333333299</v>
      </c>
      <c r="C400">
        <v>22.569999999999901</v>
      </c>
      <c r="D400">
        <v>32.796666666666603</v>
      </c>
      <c r="E400">
        <v>14.1966666666666</v>
      </c>
      <c r="F400">
        <v>53.042333333333303</v>
      </c>
    </row>
    <row r="401" spans="1:6">
      <c r="A401" t="s">
        <v>405</v>
      </c>
      <c r="B401">
        <v>14.03</v>
      </c>
      <c r="C401">
        <v>18.286666666666601</v>
      </c>
      <c r="D401">
        <v>25.843333333333302</v>
      </c>
      <c r="E401">
        <v>13.8533333333333</v>
      </c>
      <c r="F401">
        <v>53.326999999999998</v>
      </c>
    </row>
    <row r="402" spans="1:6">
      <c r="A402" t="s">
        <v>406</v>
      </c>
      <c r="B402">
        <v>14.389999999999899</v>
      </c>
      <c r="C402">
        <v>18.556666666666601</v>
      </c>
      <c r="D402">
        <v>27.386666666666599</v>
      </c>
      <c r="E402">
        <v>13.5689999999999</v>
      </c>
      <c r="F402">
        <v>53.7603333333333</v>
      </c>
    </row>
    <row r="403" spans="1:6">
      <c r="A403" t="s">
        <v>407</v>
      </c>
      <c r="B403">
        <v>18.389999999999901</v>
      </c>
      <c r="C403">
        <v>25.146666666666601</v>
      </c>
      <c r="D403">
        <v>32.753333333333302</v>
      </c>
      <c r="E403">
        <v>13.303000000000001</v>
      </c>
      <c r="F403">
        <v>54.660333333333298</v>
      </c>
    </row>
    <row r="404" spans="1:6">
      <c r="A404" t="s">
        <v>408</v>
      </c>
      <c r="B404">
        <v>17.0766666666666</v>
      </c>
      <c r="C404">
        <v>23.25</v>
      </c>
      <c r="D404">
        <v>30.6166666666666</v>
      </c>
      <c r="E404">
        <v>13.1256666666666</v>
      </c>
      <c r="F404">
        <v>55.024333333333303</v>
      </c>
    </row>
    <row r="405" spans="1:6">
      <c r="A405" t="s">
        <v>409</v>
      </c>
      <c r="B405">
        <v>16.373333333333299</v>
      </c>
      <c r="C405">
        <v>21.803333333333299</v>
      </c>
      <c r="D405">
        <v>29.146666666666601</v>
      </c>
      <c r="E405">
        <v>13.001999999999899</v>
      </c>
      <c r="F405">
        <v>55.644666666666602</v>
      </c>
    </row>
    <row r="406" spans="1:6">
      <c r="A406" t="s">
        <v>410</v>
      </c>
      <c r="B406">
        <v>16.413333333333298</v>
      </c>
      <c r="C406">
        <v>22.473333333333301</v>
      </c>
      <c r="D406">
        <v>29.3466666666666</v>
      </c>
      <c r="E406">
        <v>12.9036666666666</v>
      </c>
      <c r="F406">
        <v>55.6516666666666</v>
      </c>
    </row>
    <row r="407" spans="1:6">
      <c r="A407" t="s">
        <v>411</v>
      </c>
      <c r="B407">
        <v>16.563333333333301</v>
      </c>
      <c r="C407">
        <v>22.959999999999901</v>
      </c>
      <c r="D407">
        <v>28.97</v>
      </c>
      <c r="E407">
        <v>12.719666666666599</v>
      </c>
      <c r="F407">
        <v>55.896666666666597</v>
      </c>
    </row>
    <row r="408" spans="1:6">
      <c r="A408" t="s">
        <v>412</v>
      </c>
      <c r="B408">
        <v>15.98</v>
      </c>
      <c r="C408">
        <v>20.996666666666599</v>
      </c>
      <c r="D408">
        <v>29.5966666666666</v>
      </c>
      <c r="E408">
        <v>12.6326666666666</v>
      </c>
      <c r="F408">
        <v>55.845333333333301</v>
      </c>
    </row>
    <row r="409" spans="1:6">
      <c r="A409" t="s">
        <v>413</v>
      </c>
      <c r="B409">
        <v>13.02</v>
      </c>
      <c r="C409">
        <v>17.709999999999901</v>
      </c>
      <c r="D409">
        <v>24.2766666666666</v>
      </c>
      <c r="E409">
        <v>12.437333333333299</v>
      </c>
      <c r="F409">
        <v>55.218999999999902</v>
      </c>
    </row>
    <row r="410" spans="1:6">
      <c r="A410" t="s">
        <v>414</v>
      </c>
      <c r="B410">
        <v>13.22</v>
      </c>
      <c r="C410">
        <v>18.876666666666601</v>
      </c>
      <c r="D410">
        <v>25.726666666666599</v>
      </c>
      <c r="E410">
        <v>12.3183333333333</v>
      </c>
      <c r="F410">
        <v>55.520333333333298</v>
      </c>
    </row>
    <row r="411" spans="1:6">
      <c r="A411" t="s">
        <v>415</v>
      </c>
      <c r="B411">
        <v>11.303333333333301</v>
      </c>
      <c r="C411">
        <v>15.983333333333301</v>
      </c>
      <c r="D411">
        <v>21.046666666666599</v>
      </c>
      <c r="E411">
        <v>12.4013333333333</v>
      </c>
      <c r="F411">
        <v>54.9433333333333</v>
      </c>
    </row>
    <row r="412" spans="1:6">
      <c r="A412" t="s">
        <v>416</v>
      </c>
      <c r="B412">
        <v>11.986666666666601</v>
      </c>
      <c r="C412">
        <v>16.0766666666666</v>
      </c>
      <c r="D412">
        <v>22.819999999999901</v>
      </c>
      <c r="E412">
        <v>12.3189999999999</v>
      </c>
      <c r="F412">
        <v>55.142666666666599</v>
      </c>
    </row>
    <row r="413" spans="1:6">
      <c r="A413" t="s">
        <v>417</v>
      </c>
      <c r="B413">
        <v>13.58</v>
      </c>
      <c r="C413">
        <v>18.803333333333299</v>
      </c>
      <c r="D413">
        <v>26.9033333333333</v>
      </c>
      <c r="E413">
        <v>12.3213333333333</v>
      </c>
      <c r="F413">
        <v>55.702666666666602</v>
      </c>
    </row>
    <row r="414" spans="1:6">
      <c r="A414" t="s">
        <v>418</v>
      </c>
      <c r="B414">
        <v>10.6966666666666</v>
      </c>
      <c r="C414">
        <v>14.066666666666601</v>
      </c>
      <c r="D414">
        <v>20.2566666666666</v>
      </c>
      <c r="E414">
        <v>12.43</v>
      </c>
      <c r="F414">
        <v>55.385999999999903</v>
      </c>
    </row>
    <row r="415" spans="1:6">
      <c r="A415" t="s">
        <v>419</v>
      </c>
      <c r="B415">
        <v>10.6066666666666</v>
      </c>
      <c r="C415">
        <v>15.0366666666666</v>
      </c>
      <c r="D415">
        <v>19.056666666666601</v>
      </c>
      <c r="E415">
        <v>12.6643333333333</v>
      </c>
      <c r="F415">
        <v>55.234333333333304</v>
      </c>
    </row>
    <row r="416" spans="1:6">
      <c r="A416" t="s">
        <v>420</v>
      </c>
      <c r="B416">
        <v>6.7266666666666604</v>
      </c>
      <c r="C416">
        <v>10.0066666666666</v>
      </c>
      <c r="D416">
        <v>16.79</v>
      </c>
      <c r="E416">
        <v>12.8626666666666</v>
      </c>
      <c r="F416">
        <v>55.332666666666597</v>
      </c>
    </row>
    <row r="417" spans="1:6">
      <c r="A417" t="s">
        <v>421</v>
      </c>
      <c r="B417">
        <v>6.67</v>
      </c>
      <c r="C417">
        <v>10.2633333333333</v>
      </c>
      <c r="D417">
        <v>16.146666666666601</v>
      </c>
      <c r="E417">
        <v>13.281333333333301</v>
      </c>
      <c r="F417">
        <v>54.747</v>
      </c>
    </row>
    <row r="418" spans="1:6">
      <c r="A418" t="s">
        <v>422</v>
      </c>
      <c r="B418">
        <v>8.9666666666666597</v>
      </c>
      <c r="C418">
        <v>13.1933333333333</v>
      </c>
      <c r="D418">
        <v>20.053333333333299</v>
      </c>
      <c r="E418">
        <v>13.4586666666666</v>
      </c>
      <c r="F418">
        <v>54.028666666666602</v>
      </c>
    </row>
    <row r="419" spans="1:6">
      <c r="A419" t="s">
        <v>423</v>
      </c>
      <c r="B419">
        <v>9.3333333333333304</v>
      </c>
      <c r="C419">
        <v>13.1866666666666</v>
      </c>
      <c r="D419">
        <v>17.95</v>
      </c>
      <c r="E419">
        <v>13.0979999999999</v>
      </c>
      <c r="F419">
        <v>54.156333333333301</v>
      </c>
    </row>
    <row r="420" spans="1:6">
      <c r="A420" t="s">
        <v>424</v>
      </c>
      <c r="B420">
        <v>7.3</v>
      </c>
      <c r="C420">
        <v>10.18</v>
      </c>
      <c r="D420">
        <v>18.063333333333301</v>
      </c>
      <c r="E420">
        <v>13.071</v>
      </c>
      <c r="F420">
        <v>54.066333333333297</v>
      </c>
    </row>
    <row r="421" spans="1:6">
      <c r="A421" t="s">
        <v>425</v>
      </c>
      <c r="B421">
        <v>7.38</v>
      </c>
      <c r="C421">
        <v>10.3466666666666</v>
      </c>
      <c r="D421">
        <v>15.486666666666601</v>
      </c>
      <c r="E421">
        <v>13.0166666666666</v>
      </c>
      <c r="F421">
        <v>54.239333333333299</v>
      </c>
    </row>
    <row r="422" spans="1:6">
      <c r="A422" t="s">
        <v>426</v>
      </c>
      <c r="B422">
        <v>7.1899999999999897</v>
      </c>
      <c r="C422">
        <v>10.5233333333333</v>
      </c>
      <c r="D422">
        <v>16.239999999999998</v>
      </c>
      <c r="E422">
        <v>13.0746666666666</v>
      </c>
      <c r="F422">
        <v>53.454666666666597</v>
      </c>
    </row>
    <row r="423" spans="1:6">
      <c r="A423" t="s">
        <v>427</v>
      </c>
      <c r="B423">
        <v>6.65</v>
      </c>
      <c r="C423">
        <v>9.5500000000000007</v>
      </c>
      <c r="D423">
        <v>13.2533333333333</v>
      </c>
      <c r="E423">
        <v>12.905666666666599</v>
      </c>
      <c r="F423">
        <v>52.377666666666599</v>
      </c>
    </row>
    <row r="424" spans="1:6">
      <c r="A424" t="s">
        <v>428</v>
      </c>
      <c r="B424">
        <v>6.1966666666666601</v>
      </c>
      <c r="C424">
        <v>8.0466666666666598</v>
      </c>
      <c r="D424">
        <v>12.78</v>
      </c>
      <c r="E424">
        <v>12.877666666666601</v>
      </c>
      <c r="F424">
        <v>52.3273333333333</v>
      </c>
    </row>
    <row r="425" spans="1:6">
      <c r="A425" t="s">
        <v>429</v>
      </c>
      <c r="B425">
        <v>5.1233333333333304</v>
      </c>
      <c r="C425">
        <v>7.5033333333333303</v>
      </c>
      <c r="D425">
        <v>9.2799999999999994</v>
      </c>
      <c r="E425">
        <v>13.0733333333333</v>
      </c>
      <c r="F425">
        <v>51.967333333333301</v>
      </c>
    </row>
    <row r="426" spans="1:6">
      <c r="A426" t="s">
        <v>430</v>
      </c>
      <c r="B426">
        <v>4.13</v>
      </c>
      <c r="C426">
        <v>5.9033333333333298</v>
      </c>
      <c r="D426">
        <v>9.0633333333333308</v>
      </c>
      <c r="E426">
        <v>13.290333333333299</v>
      </c>
      <c r="F426">
        <v>51.523999999999901</v>
      </c>
    </row>
    <row r="427" spans="1:6">
      <c r="A427" t="s">
        <v>431</v>
      </c>
      <c r="B427">
        <v>4.5199999999999996</v>
      </c>
      <c r="C427">
        <v>6.5733333333333297</v>
      </c>
      <c r="D427">
        <v>8.5266666666666602</v>
      </c>
      <c r="E427">
        <v>13.322333333333299</v>
      </c>
      <c r="F427">
        <v>50.730333333333299</v>
      </c>
    </row>
    <row r="428" spans="1:6">
      <c r="A428" t="s">
        <v>432</v>
      </c>
      <c r="B428">
        <v>4.91</v>
      </c>
      <c r="C428">
        <v>7.1666666666666599</v>
      </c>
      <c r="D428">
        <v>11.963333333333299</v>
      </c>
      <c r="E428">
        <v>13.4396666666666</v>
      </c>
      <c r="F428">
        <v>50.292000000000002</v>
      </c>
    </row>
    <row r="429" spans="1:6">
      <c r="A429" t="s">
        <v>433</v>
      </c>
      <c r="B429">
        <v>5.4466666666666601</v>
      </c>
      <c r="C429">
        <v>7.78</v>
      </c>
      <c r="D429">
        <v>9.7166666666666597</v>
      </c>
      <c r="E429">
        <v>13.4013333333333</v>
      </c>
      <c r="F429">
        <v>50.126333333333299</v>
      </c>
    </row>
    <row r="430" spans="1:6">
      <c r="A430" t="s">
        <v>434</v>
      </c>
      <c r="B430">
        <v>4.3833333333333302</v>
      </c>
      <c r="C430">
        <v>6.2566666666666597</v>
      </c>
      <c r="D430">
        <v>9.6233333333333295</v>
      </c>
      <c r="E430">
        <v>13.346</v>
      </c>
      <c r="F430">
        <v>50.781999999999996</v>
      </c>
    </row>
    <row r="431" spans="1:6">
      <c r="A431" t="s">
        <v>435</v>
      </c>
      <c r="B431">
        <v>4.2233333333333301</v>
      </c>
      <c r="C431">
        <v>6.3066666666666604</v>
      </c>
      <c r="D431">
        <v>10.19</v>
      </c>
      <c r="E431">
        <v>13.5543333333333</v>
      </c>
      <c r="F431">
        <v>50.609000000000002</v>
      </c>
    </row>
    <row r="432" spans="1:6">
      <c r="A432" t="s">
        <v>436</v>
      </c>
      <c r="B432">
        <v>3.28</v>
      </c>
      <c r="C432">
        <v>4.4566666666666599</v>
      </c>
      <c r="D432">
        <v>8.9</v>
      </c>
      <c r="E432">
        <v>13.8209999999999</v>
      </c>
      <c r="F432">
        <v>54.038333333333298</v>
      </c>
    </row>
    <row r="433" spans="1:6">
      <c r="A433" t="s">
        <v>437</v>
      </c>
      <c r="B433">
        <v>3.55</v>
      </c>
      <c r="C433">
        <v>4.9166666666666599</v>
      </c>
      <c r="D433">
        <v>9.3466666666666605</v>
      </c>
      <c r="E433">
        <v>13.841666666666599</v>
      </c>
      <c r="F433">
        <v>55.1293333333333</v>
      </c>
    </row>
    <row r="434" spans="1:6">
      <c r="A434" t="s">
        <v>438</v>
      </c>
      <c r="B434">
        <v>3.29</v>
      </c>
      <c r="C434">
        <v>4.61666666666666</v>
      </c>
      <c r="D434">
        <v>6.42</v>
      </c>
      <c r="E434">
        <v>13.2943333333333</v>
      </c>
      <c r="F434">
        <v>56.646999999999998</v>
      </c>
    </row>
    <row r="435" spans="1:6">
      <c r="A435" t="s">
        <v>439</v>
      </c>
      <c r="B435">
        <v>3.1566666666666601</v>
      </c>
      <c r="C435">
        <v>4.43</v>
      </c>
      <c r="D435">
        <v>6.8833333333333302</v>
      </c>
      <c r="E435">
        <v>13.201000000000001</v>
      </c>
      <c r="F435">
        <v>56.945999999999998</v>
      </c>
    </row>
    <row r="436" spans="1:6">
      <c r="A436" t="s">
        <v>440</v>
      </c>
      <c r="B436">
        <v>3.25999999999999</v>
      </c>
      <c r="C436">
        <v>4.13</v>
      </c>
      <c r="D436">
        <v>6.25</v>
      </c>
      <c r="E436">
        <v>13.0293333333333</v>
      </c>
      <c r="F436">
        <v>57.870666666666601</v>
      </c>
    </row>
    <row r="437" spans="1:6">
      <c r="A437" t="s">
        <v>441</v>
      </c>
      <c r="B437">
        <v>3.0466666666666602</v>
      </c>
      <c r="C437">
        <v>3.3966666666666598</v>
      </c>
      <c r="D437">
        <v>4.6033333333333299</v>
      </c>
      <c r="E437">
        <v>12.8726666666666</v>
      </c>
      <c r="F437">
        <v>58.472000000000001</v>
      </c>
    </row>
    <row r="438" spans="1:6">
      <c r="A438" t="s">
        <v>442</v>
      </c>
      <c r="B438">
        <v>2.8299999999999899</v>
      </c>
      <c r="C438">
        <v>3.1466666666666598</v>
      </c>
      <c r="D438">
        <v>4.2633333333333301</v>
      </c>
      <c r="E438">
        <v>12.984</v>
      </c>
      <c r="F438">
        <v>58.330999999999896</v>
      </c>
    </row>
    <row r="439" spans="1:6">
      <c r="A439" t="s">
        <v>443</v>
      </c>
      <c r="B439">
        <v>2.2433333333333301</v>
      </c>
      <c r="C439">
        <v>2.4866666666666601</v>
      </c>
      <c r="D439">
        <v>3.39</v>
      </c>
      <c r="E439">
        <v>13.0329999999999</v>
      </c>
      <c r="F439">
        <v>58.197000000000003</v>
      </c>
    </row>
    <row r="440" spans="1:6">
      <c r="A440" t="s">
        <v>444</v>
      </c>
      <c r="B440">
        <v>2.13</v>
      </c>
      <c r="C440">
        <v>2.3766666666666598</v>
      </c>
      <c r="D440">
        <v>3.21999999999999</v>
      </c>
      <c r="E440">
        <v>12.9723333333333</v>
      </c>
      <c r="F440">
        <v>58.146333333333303</v>
      </c>
    </row>
    <row r="441" spans="1:6">
      <c r="A441" t="s">
        <v>445</v>
      </c>
      <c r="B441">
        <v>1.8799999999999899</v>
      </c>
      <c r="C441">
        <v>2.09</v>
      </c>
      <c r="D441">
        <v>2.84666666666666</v>
      </c>
      <c r="E441">
        <v>13.078666666666599</v>
      </c>
      <c r="F441">
        <v>58.217333333333301</v>
      </c>
    </row>
    <row r="442" spans="1:6">
      <c r="A442" t="s">
        <v>446</v>
      </c>
      <c r="B442">
        <v>1.90333333333333</v>
      </c>
      <c r="C442">
        <v>2.12</v>
      </c>
      <c r="D442">
        <v>2.8833333333333302</v>
      </c>
      <c r="E442">
        <v>13.338333333333299</v>
      </c>
      <c r="F442">
        <v>57.598999999999997</v>
      </c>
    </row>
    <row r="443" spans="1:6">
      <c r="A443" t="s">
        <v>447</v>
      </c>
      <c r="B443">
        <v>1.2833333333333301</v>
      </c>
      <c r="C443">
        <v>1.4166666666666601</v>
      </c>
      <c r="D443">
        <v>1.95</v>
      </c>
      <c r="E443">
        <v>13.579333333333301</v>
      </c>
      <c r="F443">
        <v>57.245333333333299</v>
      </c>
    </row>
    <row r="444" spans="1:6">
      <c r="A444" t="s">
        <v>448</v>
      </c>
      <c r="B444">
        <v>1.0233333333333301</v>
      </c>
      <c r="C444">
        <v>1.4299999999999899</v>
      </c>
      <c r="D444">
        <v>2.03666666666666</v>
      </c>
      <c r="E444">
        <v>13.715999999999999</v>
      </c>
      <c r="F444">
        <v>57.060333333333297</v>
      </c>
    </row>
    <row r="445" spans="1:6">
      <c r="A445" t="s">
        <v>449</v>
      </c>
      <c r="B445">
        <v>1.71333333333333</v>
      </c>
      <c r="C445">
        <v>1.90333333333333</v>
      </c>
      <c r="D445">
        <v>2.59666666666666</v>
      </c>
      <c r="E445">
        <v>13.672333333333301</v>
      </c>
      <c r="F445">
        <v>57.548000000000002</v>
      </c>
    </row>
    <row r="446" spans="1:6">
      <c r="A446" t="s">
        <v>450</v>
      </c>
      <c r="B446">
        <v>1.8333333333333299</v>
      </c>
      <c r="C446">
        <v>2.03666666666666</v>
      </c>
      <c r="D446">
        <v>2.7766666666666602</v>
      </c>
      <c r="E446">
        <v>13.6863333333333</v>
      </c>
      <c r="F446">
        <v>57.926666666666598</v>
      </c>
    </row>
    <row r="447" spans="1:6">
      <c r="A447" t="s">
        <v>451</v>
      </c>
      <c r="B447">
        <v>2.2633333333333301</v>
      </c>
      <c r="C447">
        <v>2.5166666666666599</v>
      </c>
      <c r="D447">
        <v>3.4166666666666599</v>
      </c>
      <c r="E447">
        <v>13.6446666666666</v>
      </c>
      <c r="F447">
        <v>58.450333333333298</v>
      </c>
    </row>
    <row r="448" spans="1:6">
      <c r="A448" t="s">
        <v>452</v>
      </c>
      <c r="B448">
        <v>2.5533333333333301</v>
      </c>
      <c r="C448">
        <v>2.8366666666666598</v>
      </c>
      <c r="D448">
        <v>3.8533333333333299</v>
      </c>
      <c r="E448">
        <v>13.5906666666666</v>
      </c>
      <c r="F448">
        <v>59.266999999999904</v>
      </c>
    </row>
    <row r="449" spans="1:6">
      <c r="A449" t="s">
        <v>453</v>
      </c>
      <c r="B449">
        <v>2.5033333333333299</v>
      </c>
      <c r="C449">
        <v>2.7733333333333299</v>
      </c>
      <c r="D449">
        <v>3.78666666666666</v>
      </c>
      <c r="E449">
        <v>13.6316666666666</v>
      </c>
      <c r="F449">
        <v>59.548333333333296</v>
      </c>
    </row>
    <row r="450" spans="1:6">
      <c r="A450" t="s">
        <v>454</v>
      </c>
      <c r="B450">
        <v>3.6333333333333302</v>
      </c>
      <c r="C450">
        <v>4.03666666666666</v>
      </c>
      <c r="D450">
        <v>5.4733333333333301</v>
      </c>
      <c r="E450">
        <v>13.6326666666666</v>
      </c>
      <c r="F450">
        <v>59.893666666666597</v>
      </c>
    </row>
    <row r="451" spans="1:6">
      <c r="A451" t="s">
        <v>455</v>
      </c>
      <c r="B451">
        <v>2.6099999999999901</v>
      </c>
      <c r="C451">
        <v>2.8966666666666598</v>
      </c>
      <c r="D451">
        <v>3.93333333333333</v>
      </c>
      <c r="E451">
        <v>13.6376666666666</v>
      </c>
      <c r="F451">
        <v>60.319333333333297</v>
      </c>
    </row>
    <row r="452" spans="1:6">
      <c r="A452" t="s">
        <v>456</v>
      </c>
      <c r="B452">
        <v>2.86</v>
      </c>
      <c r="C452">
        <v>3.18333333333333</v>
      </c>
      <c r="D452">
        <v>4.3233333333333297</v>
      </c>
      <c r="E452">
        <v>13.594333333333299</v>
      </c>
      <c r="F452">
        <v>60.806999999999903</v>
      </c>
    </row>
    <row r="453" spans="1:6">
      <c r="A453" t="s">
        <v>457</v>
      </c>
      <c r="B453">
        <v>2.4799999999999902</v>
      </c>
      <c r="C453">
        <v>2.7666666666666599</v>
      </c>
      <c r="D453">
        <v>3.7699999999999898</v>
      </c>
      <c r="E453">
        <v>13.620333333333299</v>
      </c>
      <c r="F453">
        <v>60.806333333333299</v>
      </c>
    </row>
    <row r="454" spans="1:6">
      <c r="A454" t="s">
        <v>458</v>
      </c>
      <c r="B454">
        <v>2.04</v>
      </c>
      <c r="C454">
        <v>2.2766666666666602</v>
      </c>
      <c r="D454">
        <v>3.09666666666666</v>
      </c>
      <c r="E454">
        <v>13.4299999999999</v>
      </c>
      <c r="F454">
        <v>60.548666666666598</v>
      </c>
    </row>
    <row r="455" spans="1:6">
      <c r="A455" t="s">
        <v>459</v>
      </c>
      <c r="B455">
        <v>2.4599999999999902</v>
      </c>
      <c r="C455">
        <v>2.7466666666666599</v>
      </c>
      <c r="D455">
        <v>3.71</v>
      </c>
      <c r="E455">
        <v>13.0979999999999</v>
      </c>
      <c r="F455">
        <v>60.355999999999902</v>
      </c>
    </row>
    <row r="456" spans="1:6">
      <c r="A456" t="s">
        <v>460</v>
      </c>
      <c r="B456">
        <v>2.46</v>
      </c>
      <c r="C456">
        <v>2.7366666666666601</v>
      </c>
      <c r="D456">
        <v>3.7133333333333298</v>
      </c>
      <c r="E456">
        <v>12.718</v>
      </c>
      <c r="F456">
        <v>59.686666666666603</v>
      </c>
    </row>
    <row r="457" spans="1:6">
      <c r="A457" t="s">
        <v>461</v>
      </c>
      <c r="B457">
        <v>1.4066666666666601</v>
      </c>
      <c r="C457">
        <v>1.55666666666666</v>
      </c>
      <c r="D457">
        <v>2.1333333333333302</v>
      </c>
      <c r="E457">
        <v>12.6736666666666</v>
      </c>
      <c r="F457">
        <v>59.4613333333333</v>
      </c>
    </row>
    <row r="458" spans="1:6">
      <c r="A458" t="s">
        <v>462</v>
      </c>
      <c r="B458">
        <v>1.3866666666666601</v>
      </c>
      <c r="C458">
        <v>1.5499999999999901</v>
      </c>
      <c r="D458">
        <v>2.11</v>
      </c>
      <c r="E458">
        <v>12.7866666666666</v>
      </c>
      <c r="F458">
        <v>59.549333333333301</v>
      </c>
    </row>
    <row r="459" spans="1:6">
      <c r="A459" t="s">
        <v>463</v>
      </c>
      <c r="B459">
        <v>1.5133333333333301</v>
      </c>
      <c r="C459">
        <v>1.67333333333333</v>
      </c>
      <c r="D459">
        <v>2.2999999999999901</v>
      </c>
      <c r="E459">
        <v>13.181333333333299</v>
      </c>
      <c r="F459">
        <v>59.159999999999897</v>
      </c>
    </row>
    <row r="460" spans="1:6">
      <c r="A460" t="s">
        <v>464</v>
      </c>
      <c r="B460">
        <v>1.75</v>
      </c>
      <c r="C460">
        <v>1.9466666666666601</v>
      </c>
      <c r="D460">
        <v>2.6466666666666598</v>
      </c>
      <c r="E460">
        <v>13.592666666666601</v>
      </c>
      <c r="F460">
        <v>58.470666666666602</v>
      </c>
    </row>
    <row r="461" spans="1:6">
      <c r="A461" t="s">
        <v>465</v>
      </c>
      <c r="B461">
        <v>2.5433333333333299</v>
      </c>
      <c r="C461">
        <v>2.8333333333333299</v>
      </c>
      <c r="D461">
        <v>3.8433333333333302</v>
      </c>
      <c r="E461">
        <v>13.9843333333333</v>
      </c>
      <c r="F461">
        <v>58.269666666666602</v>
      </c>
    </row>
    <row r="462" spans="1:6">
      <c r="A462" t="s">
        <v>466</v>
      </c>
      <c r="B462">
        <v>2.69999999999999</v>
      </c>
      <c r="C462">
        <v>2.9933333333333301</v>
      </c>
      <c r="D462">
        <v>4.0666666666666602</v>
      </c>
      <c r="E462">
        <v>14.393333333333301</v>
      </c>
      <c r="F462">
        <v>57.6696666666666</v>
      </c>
    </row>
    <row r="463" spans="1:6">
      <c r="A463" t="s">
        <v>467</v>
      </c>
      <c r="B463">
        <v>2.46999999999999</v>
      </c>
      <c r="C463">
        <v>2.7566666666666602</v>
      </c>
      <c r="D463">
        <v>4.1799999999999899</v>
      </c>
      <c r="E463">
        <v>14.515666666666601</v>
      </c>
      <c r="F463">
        <v>56.625333333333302</v>
      </c>
    </row>
    <row r="464" spans="1:6">
      <c r="A464" t="s">
        <v>468</v>
      </c>
      <c r="B464">
        <v>3.2166666666666601</v>
      </c>
      <c r="C464">
        <v>3.7433333333333301</v>
      </c>
      <c r="D464">
        <v>5.9266666666666596</v>
      </c>
      <c r="E464">
        <v>14.7736666666666</v>
      </c>
      <c r="F464">
        <v>56.320333333333302</v>
      </c>
    </row>
    <row r="465" spans="1:6">
      <c r="A465" t="s">
        <v>469</v>
      </c>
      <c r="B465">
        <v>3.07</v>
      </c>
      <c r="C465">
        <v>3.8766666666666598</v>
      </c>
      <c r="D465">
        <v>5.4566666666666599</v>
      </c>
      <c r="E465">
        <v>15.193</v>
      </c>
      <c r="F465">
        <v>55.911999999999999</v>
      </c>
    </row>
    <row r="466" spans="1:6">
      <c r="A466" t="s">
        <v>470</v>
      </c>
      <c r="B466">
        <v>3.2733333333333299</v>
      </c>
      <c r="C466">
        <v>4.25</v>
      </c>
      <c r="D466">
        <v>5.9233333333333302</v>
      </c>
      <c r="E466">
        <v>15.26</v>
      </c>
      <c r="F466">
        <v>54.606333333333303</v>
      </c>
    </row>
    <row r="467" spans="1:6">
      <c r="A467" t="s">
        <v>471</v>
      </c>
      <c r="B467">
        <v>3.62333333333333</v>
      </c>
      <c r="C467">
        <v>5.3366666666666598</v>
      </c>
      <c r="D467">
        <v>6.9033333333333298</v>
      </c>
      <c r="E467">
        <v>15.3696666666666</v>
      </c>
      <c r="F467">
        <v>54.672333333333299</v>
      </c>
    </row>
    <row r="468" spans="1:6">
      <c r="A468" t="s">
        <v>472</v>
      </c>
      <c r="B468">
        <v>3.66333333333333</v>
      </c>
      <c r="C468">
        <v>5.2833333333333297</v>
      </c>
      <c r="D468">
        <v>7.09</v>
      </c>
      <c r="E468">
        <v>15.603</v>
      </c>
      <c r="F468">
        <v>54.658000000000001</v>
      </c>
    </row>
    <row r="469" spans="1:6">
      <c r="A469" t="s">
        <v>473</v>
      </c>
      <c r="B469">
        <v>2.3833333333333302</v>
      </c>
      <c r="C469">
        <v>3.6966666666666601</v>
      </c>
      <c r="D469">
        <v>6.91</v>
      </c>
      <c r="E469">
        <v>15.749666666666601</v>
      </c>
      <c r="F469">
        <v>53.690666666666601</v>
      </c>
    </row>
    <row r="470" spans="1:6">
      <c r="A470" t="s">
        <v>474</v>
      </c>
      <c r="B470">
        <v>2.4733333333333301</v>
      </c>
      <c r="C470">
        <v>3.3833333333333302</v>
      </c>
      <c r="D470">
        <v>4.4233333333333302</v>
      </c>
      <c r="E470">
        <v>15.957333333333301</v>
      </c>
      <c r="F470">
        <v>53.191999999999901</v>
      </c>
    </row>
    <row r="471" spans="1:6">
      <c r="A471" t="s">
        <v>475</v>
      </c>
      <c r="B471">
        <v>2.2933333333333299</v>
      </c>
      <c r="C471">
        <v>2.9933333333333301</v>
      </c>
      <c r="D471">
        <v>3.2933333333333299</v>
      </c>
      <c r="E471">
        <v>16.3213333333333</v>
      </c>
      <c r="F471">
        <v>52.434999999999903</v>
      </c>
    </row>
    <row r="472" spans="1:6">
      <c r="A472" t="s">
        <v>476</v>
      </c>
      <c r="B472">
        <v>2.9966666666666599</v>
      </c>
      <c r="C472">
        <v>4.1899999999999897</v>
      </c>
      <c r="D472">
        <v>6.0866666666666598</v>
      </c>
      <c r="E472">
        <v>16.777999999999999</v>
      </c>
      <c r="F472">
        <v>51.408333333333303</v>
      </c>
    </row>
    <row r="473" spans="1:6">
      <c r="A473" t="s">
        <v>477</v>
      </c>
      <c r="B473">
        <v>3.20333333333333</v>
      </c>
      <c r="C473">
        <v>5.36</v>
      </c>
      <c r="D473">
        <v>8.2033333333333296</v>
      </c>
      <c r="E473">
        <v>17.801666666666598</v>
      </c>
      <c r="F473">
        <v>49.305666666666603</v>
      </c>
    </row>
    <row r="474" spans="1:6">
      <c r="A474" t="s">
        <v>478</v>
      </c>
      <c r="B474">
        <v>4.22</v>
      </c>
      <c r="C474">
        <v>6.2433333333333296</v>
      </c>
      <c r="D474">
        <v>8.64</v>
      </c>
      <c r="E474">
        <v>17.742000000000001</v>
      </c>
      <c r="F474">
        <v>48.288333333333298</v>
      </c>
    </row>
    <row r="475" spans="1:6">
      <c r="A475" t="s">
        <v>479</v>
      </c>
      <c r="B475">
        <v>4.45</v>
      </c>
      <c r="C475">
        <v>6.7166666666666597</v>
      </c>
      <c r="D475">
        <v>11.5866666666666</v>
      </c>
      <c r="E475">
        <v>16.985666666666599</v>
      </c>
      <c r="F475">
        <v>50.344999999999999</v>
      </c>
    </row>
    <row r="476" spans="1:6">
      <c r="A476" t="s">
        <v>480</v>
      </c>
      <c r="B476">
        <v>4.5733333333333297</v>
      </c>
      <c r="C476">
        <v>6.56</v>
      </c>
      <c r="D476">
        <v>9.3433333333333302</v>
      </c>
      <c r="E476">
        <v>16.481999999999999</v>
      </c>
      <c r="F476">
        <v>51.87</v>
      </c>
    </row>
    <row r="477" spans="1:6">
      <c r="A477" t="s">
        <v>481</v>
      </c>
      <c r="B477">
        <v>4.8766666666666598</v>
      </c>
      <c r="C477">
        <v>7.0966666666666596</v>
      </c>
      <c r="D477">
        <v>10.09</v>
      </c>
      <c r="E477">
        <v>15.9873333333333</v>
      </c>
      <c r="F477">
        <v>53.143999999999899</v>
      </c>
    </row>
    <row r="478" spans="1:6">
      <c r="A478" t="s">
        <v>482</v>
      </c>
      <c r="B478">
        <v>3.9799999999999902</v>
      </c>
      <c r="C478">
        <v>5.59</v>
      </c>
      <c r="D478">
        <v>9.2733333333333299</v>
      </c>
      <c r="E478">
        <v>16.156333333333301</v>
      </c>
      <c r="F478">
        <v>53.4613333333333</v>
      </c>
    </row>
    <row r="479" spans="1:6">
      <c r="A479" t="s">
        <v>483</v>
      </c>
      <c r="B479">
        <v>4.3466666666666596</v>
      </c>
      <c r="C479">
        <v>6.3399999999999901</v>
      </c>
      <c r="D479">
        <v>9.4733333333333292</v>
      </c>
      <c r="E479">
        <v>16.378</v>
      </c>
      <c r="F479">
        <v>53.347333333333303</v>
      </c>
    </row>
    <row r="480" spans="1:6">
      <c r="A480" t="s">
        <v>484</v>
      </c>
      <c r="B480">
        <v>4.7166666666666597</v>
      </c>
      <c r="C480">
        <v>6.2233333333333301</v>
      </c>
      <c r="D480">
        <v>8.8366666666666607</v>
      </c>
      <c r="E480">
        <v>16.722000000000001</v>
      </c>
      <c r="F480">
        <v>52.753666666666597</v>
      </c>
    </row>
    <row r="481" spans="1:6">
      <c r="A481" t="s">
        <v>485</v>
      </c>
      <c r="B481">
        <v>2.8866666666666601</v>
      </c>
      <c r="C481">
        <v>3.70333333333333</v>
      </c>
      <c r="D481">
        <v>5.3033333333333301</v>
      </c>
      <c r="E481">
        <v>17.351666666666599</v>
      </c>
      <c r="F481">
        <v>52.125</v>
      </c>
    </row>
    <row r="482" spans="1:6">
      <c r="A482" t="s">
        <v>486</v>
      </c>
      <c r="B482">
        <v>3.49</v>
      </c>
      <c r="C482">
        <v>5.1733333333333302</v>
      </c>
      <c r="D482">
        <v>7.6266666666666598</v>
      </c>
      <c r="E482">
        <v>17.293333333333301</v>
      </c>
      <c r="F482">
        <v>51.533666666666598</v>
      </c>
    </row>
    <row r="483" spans="1:6">
      <c r="A483" t="s">
        <v>487</v>
      </c>
      <c r="B483">
        <v>3.4999999999999898</v>
      </c>
      <c r="C483">
        <v>4.5133333333333301</v>
      </c>
      <c r="D483">
        <v>5.9833333333333298</v>
      </c>
      <c r="E483">
        <v>16.758666666666599</v>
      </c>
      <c r="F483">
        <v>52.117333333333299</v>
      </c>
    </row>
    <row r="484" spans="1:6">
      <c r="A484" t="s">
        <v>488</v>
      </c>
      <c r="B484">
        <v>3.42</v>
      </c>
      <c r="C484">
        <v>4.6233333333333304</v>
      </c>
      <c r="D484">
        <v>6.5266666666666602</v>
      </c>
      <c r="E484">
        <v>16.0773333333333</v>
      </c>
      <c r="F484">
        <v>53.4149999999999</v>
      </c>
    </row>
    <row r="485" spans="1:6">
      <c r="A485" t="s">
        <v>489</v>
      </c>
      <c r="B485">
        <v>3.53666666666666</v>
      </c>
      <c r="C485">
        <v>4.3899999999999997</v>
      </c>
      <c r="D485">
        <v>6.4799999999999898</v>
      </c>
      <c r="E485">
        <v>15.5123333333333</v>
      </c>
      <c r="F485">
        <v>54.182333333333297</v>
      </c>
    </row>
    <row r="486" spans="1:6">
      <c r="A486" t="s">
        <v>490</v>
      </c>
      <c r="B486">
        <v>3.8233333333333301</v>
      </c>
      <c r="C486">
        <v>4.87</v>
      </c>
      <c r="D486">
        <v>6.53666666666666</v>
      </c>
      <c r="E486">
        <v>15.040333333333299</v>
      </c>
      <c r="F486">
        <v>54.815666666666601</v>
      </c>
    </row>
    <row r="487" spans="1:6">
      <c r="A487" t="s">
        <v>491</v>
      </c>
      <c r="B487">
        <v>3.30666666666666</v>
      </c>
      <c r="C487">
        <v>4.6933333333333298</v>
      </c>
      <c r="D487">
        <v>5.7533333333333303</v>
      </c>
      <c r="E487">
        <v>14.7153333333333</v>
      </c>
      <c r="F487">
        <v>55.277000000000001</v>
      </c>
    </row>
    <row r="488" spans="1:6">
      <c r="A488" t="s">
        <v>492</v>
      </c>
      <c r="B488">
        <v>3.1866666666666599</v>
      </c>
      <c r="C488">
        <v>4.2333333333333298</v>
      </c>
      <c r="D488">
        <v>5.9899999999999904</v>
      </c>
      <c r="E488">
        <v>14.354999999999899</v>
      </c>
      <c r="F488">
        <v>55.649333333333303</v>
      </c>
    </row>
    <row r="489" spans="1:6">
      <c r="A489" t="s">
        <v>493</v>
      </c>
      <c r="B489">
        <v>3.99</v>
      </c>
      <c r="C489">
        <v>5.41</v>
      </c>
      <c r="D489">
        <v>7.1966666666666601</v>
      </c>
      <c r="E489">
        <v>14.2213333333333</v>
      </c>
      <c r="F489">
        <v>56.198</v>
      </c>
    </row>
    <row r="490" spans="1:6">
      <c r="A490" t="s">
        <v>494</v>
      </c>
      <c r="B490">
        <v>4.47</v>
      </c>
      <c r="C490">
        <v>5.4599999999999902</v>
      </c>
      <c r="D490">
        <v>6.3866666666666596</v>
      </c>
      <c r="E490">
        <v>13.968999999999999</v>
      </c>
      <c r="F490">
        <v>57.194000000000003</v>
      </c>
    </row>
    <row r="491" spans="1:6">
      <c r="A491" t="s">
        <v>495</v>
      </c>
      <c r="B491">
        <v>4.8999999999999897</v>
      </c>
      <c r="C491">
        <v>5.4166666666666599</v>
      </c>
      <c r="D491">
        <v>7.2433333333333296</v>
      </c>
      <c r="E491">
        <v>13.707333333333301</v>
      </c>
      <c r="F491">
        <v>57.620999999999903</v>
      </c>
    </row>
    <row r="492" spans="1:6">
      <c r="A492" t="s">
        <v>496</v>
      </c>
      <c r="B492">
        <v>7.27</v>
      </c>
      <c r="C492">
        <v>8.0833333333333304</v>
      </c>
      <c r="D492">
        <v>10.9399999999999</v>
      </c>
      <c r="E492">
        <v>13.5573333333333</v>
      </c>
      <c r="F492">
        <v>58.200666666666599</v>
      </c>
    </row>
    <row r="493" spans="1:6">
      <c r="A493" t="s">
        <v>497</v>
      </c>
      <c r="B493">
        <v>8.24</v>
      </c>
      <c r="C493">
        <v>9.1633333333333304</v>
      </c>
      <c r="D493">
        <v>12.383333333333301</v>
      </c>
      <c r="E493">
        <v>13.398999999999999</v>
      </c>
      <c r="F493">
        <v>58.241333333333301</v>
      </c>
    </row>
    <row r="494" spans="1:6">
      <c r="A494" t="s">
        <v>498</v>
      </c>
      <c r="B494">
        <v>14.25</v>
      </c>
      <c r="C494">
        <v>15.8266666666666</v>
      </c>
      <c r="D494">
        <v>21.4</v>
      </c>
      <c r="E494">
        <v>13.3203333333333</v>
      </c>
      <c r="F494">
        <v>58.986333333333299</v>
      </c>
    </row>
    <row r="495" spans="1:6">
      <c r="A495" t="s">
        <v>499</v>
      </c>
      <c r="B495">
        <v>18.55</v>
      </c>
      <c r="C495">
        <v>20.599999999999898</v>
      </c>
      <c r="D495">
        <v>27.8533333333333</v>
      </c>
      <c r="E495">
        <v>13.203999999999899</v>
      </c>
      <c r="F495">
        <v>59.489666666666601</v>
      </c>
    </row>
    <row r="496" spans="1:6">
      <c r="A496" t="s">
        <v>500</v>
      </c>
      <c r="B496">
        <v>20.696666666666601</v>
      </c>
      <c r="C496">
        <v>22.976666666666599</v>
      </c>
      <c r="D496">
        <v>31.056666666666601</v>
      </c>
      <c r="E496">
        <v>13.102</v>
      </c>
      <c r="F496">
        <v>59.683999999999898</v>
      </c>
    </row>
    <row r="497" spans="1:6">
      <c r="A497" t="s">
        <v>501</v>
      </c>
      <c r="B497">
        <v>12.4199999999999</v>
      </c>
      <c r="C497">
        <v>13.796666666666599</v>
      </c>
      <c r="D497">
        <v>18.656666666666599</v>
      </c>
      <c r="E497">
        <v>13.093999999999999</v>
      </c>
      <c r="F497">
        <v>59.49</v>
      </c>
    </row>
    <row r="498" spans="1:6">
      <c r="A498" t="s">
        <v>502</v>
      </c>
      <c r="B498">
        <v>7.6866666666666603</v>
      </c>
      <c r="C498">
        <v>8.5399999999999991</v>
      </c>
      <c r="D498">
        <v>11.559999999999899</v>
      </c>
      <c r="E498">
        <v>13.124333333333301</v>
      </c>
      <c r="F498">
        <v>59.159333333333201</v>
      </c>
    </row>
    <row r="499" spans="1:6">
      <c r="A499" t="s">
        <v>503</v>
      </c>
      <c r="B499">
        <v>7.9666666666666597</v>
      </c>
      <c r="C499">
        <v>8.8499999999999908</v>
      </c>
      <c r="D499">
        <v>11.969999999999899</v>
      </c>
      <c r="E499">
        <v>13.135999999999999</v>
      </c>
      <c r="F499">
        <v>59.109000000000002</v>
      </c>
    </row>
    <row r="500" spans="1:6">
      <c r="A500" t="s">
        <v>504</v>
      </c>
      <c r="B500">
        <v>8.8833333333333293</v>
      </c>
      <c r="C500">
        <v>9.8699999999999903</v>
      </c>
      <c r="D500">
        <v>13.3566666666666</v>
      </c>
      <c r="E500">
        <v>13.1573333333333</v>
      </c>
      <c r="F500">
        <v>58.898333333333298</v>
      </c>
    </row>
    <row r="501" spans="1:6">
      <c r="A501" t="s">
        <v>505</v>
      </c>
      <c r="B501">
        <v>8.3466666666666605</v>
      </c>
      <c r="C501">
        <v>9.2933333333333294</v>
      </c>
      <c r="D501">
        <v>12.566666666666601</v>
      </c>
      <c r="E501">
        <v>13.2723333333333</v>
      </c>
      <c r="F501">
        <v>58.838333333333303</v>
      </c>
    </row>
    <row r="502" spans="1:6">
      <c r="A502" t="s">
        <v>506</v>
      </c>
      <c r="B502">
        <v>7.87</v>
      </c>
      <c r="C502">
        <v>8.7366666666666593</v>
      </c>
      <c r="D502">
        <v>11.8266666666666</v>
      </c>
      <c r="E502">
        <v>13.300333333333301</v>
      </c>
      <c r="F502">
        <v>58.677333333333301</v>
      </c>
    </row>
    <row r="503" spans="1:6">
      <c r="A503" t="s">
        <v>507</v>
      </c>
      <c r="B503">
        <v>6.1966666666666601</v>
      </c>
      <c r="C503">
        <v>6.9</v>
      </c>
      <c r="D503">
        <v>9.3433333333333302</v>
      </c>
      <c r="E503">
        <v>13.2576666666666</v>
      </c>
      <c r="F503">
        <v>58.597999999999999</v>
      </c>
    </row>
    <row r="504" spans="1:6">
      <c r="A504" t="s">
        <v>508</v>
      </c>
      <c r="B504">
        <v>4.8966666666666603</v>
      </c>
      <c r="C504">
        <v>5.4399999999999897</v>
      </c>
      <c r="D504">
        <v>7.3766666666666598</v>
      </c>
      <c r="E504">
        <v>13.077999999999999</v>
      </c>
      <c r="F504">
        <v>58.531333333333301</v>
      </c>
    </row>
    <row r="505" spans="1:6">
      <c r="A505" t="s">
        <v>509</v>
      </c>
      <c r="B505">
        <v>4.1266666666666598</v>
      </c>
      <c r="C505">
        <v>4.57666666666666</v>
      </c>
      <c r="D505">
        <v>6.2133333333333303</v>
      </c>
      <c r="E505">
        <v>12.8476666666666</v>
      </c>
      <c r="F505">
        <v>58.400333333333201</v>
      </c>
    </row>
    <row r="506" spans="1:6">
      <c r="A506" t="s">
        <v>510</v>
      </c>
      <c r="B506">
        <v>3.84666666666666</v>
      </c>
      <c r="C506">
        <v>4.6733333333333302</v>
      </c>
      <c r="D506">
        <v>6.4933333333333296</v>
      </c>
      <c r="E506">
        <v>12.9136666666666</v>
      </c>
      <c r="F506">
        <v>57.105999999999902</v>
      </c>
    </row>
    <row r="507" spans="1:6">
      <c r="A507" t="s">
        <v>511</v>
      </c>
      <c r="B507">
        <v>2.7566666666666602</v>
      </c>
      <c r="C507">
        <v>4.0033333333333303</v>
      </c>
      <c r="D507">
        <v>4.5533333333333301</v>
      </c>
      <c r="E507">
        <v>13.0063333333333</v>
      </c>
      <c r="F507">
        <v>56.042333333333303</v>
      </c>
    </row>
    <row r="508" spans="1:6">
      <c r="A508" t="s">
        <v>512</v>
      </c>
      <c r="B508">
        <v>2.3566666666666598</v>
      </c>
      <c r="C508">
        <v>2.9233333333333298</v>
      </c>
      <c r="D508">
        <v>3.89</v>
      </c>
      <c r="E508">
        <v>12.9583333333333</v>
      </c>
      <c r="F508">
        <v>55.954666666666597</v>
      </c>
    </row>
    <row r="509" spans="1:6">
      <c r="A509" t="s">
        <v>513</v>
      </c>
      <c r="B509">
        <v>3.18333333333333</v>
      </c>
      <c r="C509">
        <v>4.5033333333333303</v>
      </c>
      <c r="D509">
        <v>5.1733333333333302</v>
      </c>
      <c r="E509">
        <v>12.844666666666599</v>
      </c>
      <c r="F509">
        <v>55.894666666666602</v>
      </c>
    </row>
    <row r="510" spans="1:6">
      <c r="A510" t="s">
        <v>514</v>
      </c>
      <c r="B510">
        <v>2.7966666666666602</v>
      </c>
      <c r="C510">
        <v>3.7899999999999898</v>
      </c>
      <c r="D510">
        <v>5.53666666666666</v>
      </c>
      <c r="E510">
        <v>12.891999999999999</v>
      </c>
      <c r="F510">
        <v>55.592333333333301</v>
      </c>
    </row>
    <row r="511" spans="1:6">
      <c r="A511" t="s">
        <v>515</v>
      </c>
      <c r="B511">
        <v>1.86666666666666</v>
      </c>
      <c r="C511">
        <v>2.5466666666666602</v>
      </c>
      <c r="D511">
        <v>4.1100000000000003</v>
      </c>
      <c r="E511">
        <v>12.9116666666666</v>
      </c>
      <c r="F511">
        <v>55.5399999999999</v>
      </c>
    </row>
    <row r="512" spans="1:6">
      <c r="A512" t="s">
        <v>516</v>
      </c>
      <c r="B512">
        <v>1.7733333333333301</v>
      </c>
      <c r="C512">
        <v>2.7633333333333301</v>
      </c>
      <c r="D512">
        <v>4.0433333333333303</v>
      </c>
      <c r="E512">
        <v>12.8249999999999</v>
      </c>
      <c r="F512">
        <v>55.733333333333299</v>
      </c>
    </row>
    <row r="513" spans="1:6">
      <c r="A513" t="s">
        <v>517</v>
      </c>
      <c r="B513">
        <v>1.5699999999999901</v>
      </c>
      <c r="C513">
        <v>2.0499999999999998</v>
      </c>
      <c r="D513">
        <v>2.6133333333333302</v>
      </c>
      <c r="E513">
        <v>12.7723333333333</v>
      </c>
      <c r="F513">
        <v>55.790333333333301</v>
      </c>
    </row>
    <row r="514" spans="1:6">
      <c r="A514" t="s">
        <v>518</v>
      </c>
      <c r="B514">
        <v>1.96333333333333</v>
      </c>
      <c r="C514">
        <v>2.7133333333333298</v>
      </c>
      <c r="D514">
        <v>3.3166666666666602</v>
      </c>
      <c r="E514">
        <v>12.8669999999999</v>
      </c>
      <c r="F514">
        <v>55.7096666666666</v>
      </c>
    </row>
    <row r="515" spans="1:6">
      <c r="A515" t="s">
        <v>519</v>
      </c>
      <c r="B515">
        <v>1.8133333333333299</v>
      </c>
      <c r="C515">
        <v>2.63</v>
      </c>
      <c r="D515">
        <v>3.0833333333333299</v>
      </c>
      <c r="E515">
        <v>12.764333333333299</v>
      </c>
      <c r="F515">
        <v>56.043666666666603</v>
      </c>
    </row>
    <row r="516" spans="1:6">
      <c r="A516" t="s">
        <v>520</v>
      </c>
      <c r="B516">
        <v>1.8333333333333299</v>
      </c>
      <c r="C516">
        <v>2.3566666666666598</v>
      </c>
      <c r="D516">
        <v>4.1500000000000004</v>
      </c>
      <c r="E516">
        <v>12.6053333333333</v>
      </c>
      <c r="F516">
        <v>56.470666666666602</v>
      </c>
    </row>
    <row r="517" spans="1:6">
      <c r="A517" t="s">
        <v>521</v>
      </c>
      <c r="B517">
        <v>1.6666666666666601</v>
      </c>
      <c r="C517">
        <v>2.04</v>
      </c>
      <c r="D517">
        <v>2.9933333333333301</v>
      </c>
      <c r="E517">
        <v>12.482666666666599</v>
      </c>
      <c r="F517">
        <v>56.805999999999997</v>
      </c>
    </row>
    <row r="518" spans="1:6">
      <c r="A518" t="s">
        <v>522</v>
      </c>
      <c r="B518">
        <v>1.64333333333333</v>
      </c>
      <c r="C518">
        <v>2.3099999999999898</v>
      </c>
      <c r="D518">
        <v>3.54</v>
      </c>
      <c r="E518">
        <v>12.3176666666666</v>
      </c>
      <c r="F518">
        <v>57.124333333333297</v>
      </c>
    </row>
    <row r="519" spans="1:6">
      <c r="A519" t="s">
        <v>523</v>
      </c>
      <c r="B519">
        <v>2.1</v>
      </c>
      <c r="C519">
        <v>2.3433333333333302</v>
      </c>
      <c r="D519">
        <v>3.1766666666666601</v>
      </c>
      <c r="E519">
        <v>12.3526666666666</v>
      </c>
      <c r="F519">
        <v>57.295333333333303</v>
      </c>
    </row>
    <row r="520" spans="1:6">
      <c r="A520" t="s">
        <v>524</v>
      </c>
      <c r="B520">
        <v>1.94999999999999</v>
      </c>
      <c r="C520">
        <v>2.16</v>
      </c>
      <c r="D520">
        <v>2.9466666666666601</v>
      </c>
      <c r="E520">
        <v>12.111333333333301</v>
      </c>
      <c r="F520">
        <v>57.881333333333302</v>
      </c>
    </row>
    <row r="521" spans="1:6">
      <c r="A521" t="s">
        <v>525</v>
      </c>
      <c r="B521">
        <v>2.1566666666666601</v>
      </c>
      <c r="C521">
        <v>2.41333333333333</v>
      </c>
      <c r="D521">
        <v>3.2766666666666602</v>
      </c>
      <c r="E521">
        <v>11.8813333333333</v>
      </c>
      <c r="F521">
        <v>58.253333333333302</v>
      </c>
    </row>
    <row r="522" spans="1:6">
      <c r="A522" t="s">
        <v>526</v>
      </c>
      <c r="B522">
        <v>1.9866666666666599</v>
      </c>
      <c r="C522">
        <v>2.21</v>
      </c>
      <c r="D522">
        <v>3.0166666666666599</v>
      </c>
      <c r="E522">
        <v>12.191666666666601</v>
      </c>
      <c r="F522">
        <v>57.710666666666597</v>
      </c>
    </row>
    <row r="523" spans="1:6">
      <c r="A523" t="s">
        <v>527</v>
      </c>
      <c r="B523">
        <v>2.1866666666666599</v>
      </c>
      <c r="C523">
        <v>2.8966666666666598</v>
      </c>
      <c r="D523">
        <v>3.3866666666666601</v>
      </c>
      <c r="E523">
        <v>12.133333333333301</v>
      </c>
      <c r="F523">
        <v>57.420666666666598</v>
      </c>
    </row>
    <row r="524" spans="1:6">
      <c r="A524" t="s">
        <v>528</v>
      </c>
      <c r="B524">
        <v>1.7633333333333301</v>
      </c>
      <c r="C524">
        <v>2.0699999999999998</v>
      </c>
      <c r="D524">
        <v>2.52</v>
      </c>
      <c r="E524">
        <v>12.322333333333299</v>
      </c>
      <c r="F524">
        <v>56.755666666666599</v>
      </c>
    </row>
    <row r="525" spans="1:6">
      <c r="A525" t="s">
        <v>529</v>
      </c>
      <c r="B525">
        <v>2.4466666666666601</v>
      </c>
      <c r="C525">
        <v>3.33</v>
      </c>
      <c r="D525">
        <v>4.49</v>
      </c>
      <c r="E525">
        <v>12.17</v>
      </c>
      <c r="F525">
        <v>56.445999999999998</v>
      </c>
    </row>
    <row r="526" spans="1:6">
      <c r="A526" t="s">
        <v>530</v>
      </c>
      <c r="B526">
        <v>2.8133333333333299</v>
      </c>
      <c r="C526">
        <v>3.9933333333333301</v>
      </c>
      <c r="D526">
        <v>5.3133333333333299</v>
      </c>
      <c r="E526">
        <v>11.9163333333333</v>
      </c>
      <c r="F526">
        <v>56.481000000000002</v>
      </c>
    </row>
    <row r="527" spans="1:6">
      <c r="A527" t="s">
        <v>531</v>
      </c>
      <c r="B527">
        <v>3.8366666666666598</v>
      </c>
      <c r="C527">
        <v>4.8499999999999996</v>
      </c>
      <c r="D527">
        <v>6.35</v>
      </c>
      <c r="E527">
        <v>11.8203333333333</v>
      </c>
      <c r="F527">
        <v>56.346333333333298</v>
      </c>
    </row>
    <row r="528" spans="1:6">
      <c r="A528" t="s">
        <v>532</v>
      </c>
      <c r="B528">
        <v>4.7133333333333303</v>
      </c>
      <c r="C528">
        <v>5.7066666666666599</v>
      </c>
      <c r="D528">
        <v>8</v>
      </c>
      <c r="E528">
        <v>11.844666666666599</v>
      </c>
      <c r="F528">
        <v>56.290666666666603</v>
      </c>
    </row>
    <row r="529" spans="1:6">
      <c r="A529" t="s">
        <v>533</v>
      </c>
      <c r="B529">
        <v>5.3233333333333297</v>
      </c>
      <c r="C529">
        <v>7.4233333333333302</v>
      </c>
      <c r="D529">
        <v>10.126666666666599</v>
      </c>
      <c r="E529">
        <v>12.0126666666666</v>
      </c>
      <c r="F529">
        <v>55.941333333333297</v>
      </c>
    </row>
    <row r="530" spans="1:6">
      <c r="A530" t="s">
        <v>534</v>
      </c>
      <c r="B530">
        <v>5.3799999999999901</v>
      </c>
      <c r="C530">
        <v>6.28666666666666</v>
      </c>
      <c r="D530">
        <v>8.75</v>
      </c>
      <c r="E530">
        <v>12.120999999999899</v>
      </c>
      <c r="F530">
        <v>55.670333333333303</v>
      </c>
    </row>
    <row r="531" spans="1:6">
      <c r="A531" t="s">
        <v>535</v>
      </c>
      <c r="B531">
        <v>4.22</v>
      </c>
      <c r="C531">
        <v>5.8866666666666596</v>
      </c>
      <c r="D531">
        <v>7.7233333333333301</v>
      </c>
      <c r="E531">
        <v>12.614999999999901</v>
      </c>
      <c r="F531">
        <v>53.681666666666601</v>
      </c>
    </row>
    <row r="532" spans="1:6">
      <c r="A532" t="s">
        <v>536</v>
      </c>
      <c r="B532">
        <v>3.84666666666666</v>
      </c>
      <c r="C532">
        <v>5.94</v>
      </c>
      <c r="D532">
        <v>6.3133333333333299</v>
      </c>
      <c r="E532">
        <v>12.9263333333333</v>
      </c>
      <c r="F532">
        <v>52.341333333333303</v>
      </c>
    </row>
    <row r="533" spans="1:6">
      <c r="A533" t="s">
        <v>537</v>
      </c>
      <c r="B533">
        <v>3.9833333333333298</v>
      </c>
      <c r="C533">
        <v>5.6366666666666596</v>
      </c>
      <c r="D533">
        <v>6.7466666666666599</v>
      </c>
      <c r="E533">
        <v>12.946999999999999</v>
      </c>
      <c r="F533">
        <v>51.848333333333301</v>
      </c>
    </row>
    <row r="534" spans="1:6">
      <c r="A534" t="s">
        <v>538</v>
      </c>
      <c r="B534">
        <v>4.1766666666666596</v>
      </c>
      <c r="C534">
        <v>5.3499999999999899</v>
      </c>
      <c r="D534">
        <v>6.82</v>
      </c>
      <c r="E534">
        <v>12.882999999999999</v>
      </c>
      <c r="F534">
        <v>51.902000000000001</v>
      </c>
    </row>
    <row r="535" spans="1:6">
      <c r="A535" t="s">
        <v>539</v>
      </c>
      <c r="B535">
        <v>3.55666666666666</v>
      </c>
      <c r="C535">
        <v>4.8766666666666598</v>
      </c>
      <c r="D535">
        <v>6.2633333333333301</v>
      </c>
      <c r="E535">
        <v>12.7083333333333</v>
      </c>
      <c r="F535">
        <v>52.109333333333304</v>
      </c>
    </row>
    <row r="536" spans="1:6">
      <c r="A536" t="s">
        <v>540</v>
      </c>
      <c r="B536">
        <v>3.8033333333333301</v>
      </c>
      <c r="C536">
        <v>4.5999999999999899</v>
      </c>
      <c r="D536">
        <v>7.0566666666666604</v>
      </c>
      <c r="E536">
        <v>12.953333333333299</v>
      </c>
      <c r="F536">
        <v>51.423666666666598</v>
      </c>
    </row>
    <row r="537" spans="1:6">
      <c r="A537" t="s">
        <v>541</v>
      </c>
      <c r="B537">
        <v>4.0933333333333302</v>
      </c>
      <c r="C537">
        <v>5.5666666666666602</v>
      </c>
      <c r="D537">
        <v>7.26</v>
      </c>
      <c r="E537">
        <v>12.7566666666666</v>
      </c>
      <c r="F537">
        <v>52.064999999999998</v>
      </c>
    </row>
    <row r="538" spans="1:6">
      <c r="A538" t="s">
        <v>542</v>
      </c>
      <c r="B538">
        <v>4.4899999999999904</v>
      </c>
      <c r="C538">
        <v>5.9099999999999904</v>
      </c>
      <c r="D538">
        <v>8.7233333333333292</v>
      </c>
      <c r="E538">
        <v>12.5356666666666</v>
      </c>
      <c r="F538">
        <v>52.819333333333297</v>
      </c>
    </row>
    <row r="539" spans="1:6">
      <c r="A539" t="s">
        <v>543</v>
      </c>
      <c r="B539">
        <v>4.6399999999999997</v>
      </c>
      <c r="C539">
        <v>6.46999999999999</v>
      </c>
      <c r="D539">
        <v>7.9999999999999902</v>
      </c>
      <c r="E539">
        <v>12.181333333333299</v>
      </c>
      <c r="F539">
        <v>53.695333333333302</v>
      </c>
    </row>
    <row r="540" spans="1:6">
      <c r="A540" t="s">
        <v>544</v>
      </c>
      <c r="B540">
        <v>5.0199999999999996</v>
      </c>
      <c r="C540">
        <v>7.2066666666666599</v>
      </c>
      <c r="D540">
        <v>8.8033333333333292</v>
      </c>
      <c r="E540">
        <v>11.8526666666666</v>
      </c>
      <c r="F540">
        <v>54.670333333333303</v>
      </c>
    </row>
    <row r="541" spans="1:6">
      <c r="A541" t="s">
        <v>545</v>
      </c>
      <c r="B541">
        <v>4.3233333333333297</v>
      </c>
      <c r="C541">
        <v>5.7</v>
      </c>
      <c r="D541">
        <v>8.1266666666666598</v>
      </c>
      <c r="E541">
        <v>12.007</v>
      </c>
      <c r="F541">
        <v>54.6963333333333</v>
      </c>
    </row>
    <row r="542" spans="1:6">
      <c r="A542" t="s">
        <v>546</v>
      </c>
      <c r="B542">
        <v>3.9866666666666601</v>
      </c>
      <c r="C542">
        <v>5.1566666666666601</v>
      </c>
      <c r="D542">
        <v>5.84</v>
      </c>
      <c r="E542">
        <v>12.267333333333299</v>
      </c>
      <c r="F542">
        <v>54.101333333333301</v>
      </c>
    </row>
    <row r="543" spans="1:6">
      <c r="A543" t="s">
        <v>547</v>
      </c>
      <c r="B543">
        <v>4.0666666666666602</v>
      </c>
      <c r="C543">
        <v>5.69</v>
      </c>
      <c r="D543">
        <v>8.2399999999999896</v>
      </c>
      <c r="E543">
        <v>12.2086666666666</v>
      </c>
      <c r="F543">
        <v>54.437333333333299</v>
      </c>
    </row>
    <row r="544" spans="1:6">
      <c r="A544" t="s">
        <v>548</v>
      </c>
      <c r="B544">
        <v>4.1966666666666601</v>
      </c>
      <c r="C544">
        <v>5.7266666666666604</v>
      </c>
      <c r="D544">
        <v>8.0433333333333294</v>
      </c>
      <c r="E544">
        <v>12.366</v>
      </c>
      <c r="F544">
        <v>54.123333333333299</v>
      </c>
    </row>
    <row r="545" spans="1:6">
      <c r="A545" t="s">
        <v>549</v>
      </c>
      <c r="B545">
        <v>4.4666666666666597</v>
      </c>
      <c r="C545">
        <v>6.53</v>
      </c>
      <c r="D545">
        <v>7.6799999999999899</v>
      </c>
      <c r="E545">
        <v>12.481999999999999</v>
      </c>
      <c r="F545">
        <v>53.749666666666599</v>
      </c>
    </row>
    <row r="546" spans="1:6">
      <c r="A546" t="s">
        <v>550</v>
      </c>
      <c r="B546">
        <v>4.1966666666666601</v>
      </c>
      <c r="C546">
        <v>4.76</v>
      </c>
      <c r="D546">
        <v>6.7633333333333301</v>
      </c>
      <c r="E546">
        <v>12.656666666666601</v>
      </c>
      <c r="F546">
        <v>53.723333333333301</v>
      </c>
    </row>
    <row r="547" spans="1:6">
      <c r="A547" t="s">
        <v>551</v>
      </c>
      <c r="B547">
        <v>5.4833333333333298</v>
      </c>
      <c r="C547">
        <v>7.53666666666666</v>
      </c>
      <c r="D547">
        <v>10.149999999999901</v>
      </c>
      <c r="E547">
        <v>12.893000000000001</v>
      </c>
      <c r="F547">
        <v>53.341666666666598</v>
      </c>
    </row>
    <row r="548" spans="1:6">
      <c r="A548" t="s">
        <v>552</v>
      </c>
      <c r="B548">
        <v>4.4666666666666597</v>
      </c>
      <c r="C548">
        <v>5.8533333333333299</v>
      </c>
      <c r="D548">
        <v>7.9266666666666596</v>
      </c>
      <c r="E548">
        <v>13.133999999999901</v>
      </c>
      <c r="F548">
        <v>52.704666666666597</v>
      </c>
    </row>
    <row r="549" spans="1:6">
      <c r="A549" t="s">
        <v>553</v>
      </c>
      <c r="B549">
        <v>3.4066666666666601</v>
      </c>
      <c r="C549">
        <v>4.6666666666666599</v>
      </c>
      <c r="D549">
        <v>6.5533333333333301</v>
      </c>
      <c r="E549">
        <v>13.126333333333299</v>
      </c>
      <c r="F549">
        <v>51.99</v>
      </c>
    </row>
    <row r="550" spans="1:6">
      <c r="A550" t="s">
        <v>554</v>
      </c>
      <c r="B550">
        <v>3.1933333333333298</v>
      </c>
      <c r="C550">
        <v>4.2633333333333301</v>
      </c>
      <c r="D550">
        <v>5.5433333333333303</v>
      </c>
      <c r="E550">
        <v>13.1699999999999</v>
      </c>
      <c r="F550">
        <v>51.290333333333301</v>
      </c>
    </row>
    <row r="551" spans="1:6">
      <c r="A551" t="s">
        <v>555</v>
      </c>
      <c r="B551">
        <v>3.03</v>
      </c>
      <c r="C551">
        <v>3.64333333333333</v>
      </c>
      <c r="D551">
        <v>6.03666666666666</v>
      </c>
      <c r="E551">
        <v>13.76</v>
      </c>
      <c r="F551">
        <v>50.432000000000002</v>
      </c>
    </row>
    <row r="552" spans="1:6">
      <c r="A552" t="s">
        <v>556</v>
      </c>
      <c r="B552">
        <v>2.4633333333333298</v>
      </c>
      <c r="C552">
        <v>3.6666666666666599</v>
      </c>
      <c r="D552">
        <v>4.9599999999999902</v>
      </c>
      <c r="E552">
        <v>14.3243333333333</v>
      </c>
      <c r="F552">
        <v>49.039333333333303</v>
      </c>
    </row>
    <row r="553" spans="1:6">
      <c r="A553" t="s">
        <v>557</v>
      </c>
      <c r="B553">
        <v>2.2000000000000002</v>
      </c>
      <c r="C553">
        <v>2.7233333333333301</v>
      </c>
      <c r="D553">
        <v>3.9066666666666601</v>
      </c>
      <c r="E553">
        <v>15.207999999999901</v>
      </c>
      <c r="F553">
        <v>47.608666666666601</v>
      </c>
    </row>
    <row r="554" spans="1:6">
      <c r="A554" t="s">
        <v>558</v>
      </c>
      <c r="B554">
        <v>2.31</v>
      </c>
      <c r="C554">
        <v>3.5533333333333301</v>
      </c>
      <c r="D554">
        <v>5.0166666666666604</v>
      </c>
      <c r="E554">
        <v>15.8046666666666</v>
      </c>
      <c r="F554">
        <v>45.654999999999902</v>
      </c>
    </row>
    <row r="555" spans="1:6">
      <c r="A555" t="s">
        <v>559</v>
      </c>
      <c r="B555">
        <v>2.4666666666666601</v>
      </c>
      <c r="C555">
        <v>3.62333333333333</v>
      </c>
      <c r="D555">
        <v>4.62</v>
      </c>
      <c r="E555">
        <v>16.678999999999899</v>
      </c>
      <c r="F555">
        <v>44.096999999999902</v>
      </c>
    </row>
    <row r="556" spans="1:6">
      <c r="A556" t="s">
        <v>560</v>
      </c>
      <c r="B556">
        <v>2.33</v>
      </c>
      <c r="C556">
        <v>2.8399999999999901</v>
      </c>
      <c r="D556">
        <v>3.4366666666666599</v>
      </c>
      <c r="E556">
        <v>18.032</v>
      </c>
      <c r="F556">
        <v>42.646999999999998</v>
      </c>
    </row>
    <row r="557" spans="1:6">
      <c r="A557" t="s">
        <v>561</v>
      </c>
      <c r="B557">
        <v>2.3866666666666601</v>
      </c>
      <c r="C557">
        <v>3.66333333333333</v>
      </c>
      <c r="D557">
        <v>4.4133333333333304</v>
      </c>
      <c r="E557">
        <v>18.614666666666601</v>
      </c>
      <c r="F557">
        <v>40.181999999999903</v>
      </c>
    </row>
    <row r="558" spans="1:6">
      <c r="A558" t="s">
        <v>562</v>
      </c>
      <c r="B558">
        <v>2.1133333333333302</v>
      </c>
      <c r="C558">
        <v>3.2133333333333298</v>
      </c>
      <c r="D558">
        <v>4.79</v>
      </c>
      <c r="E558">
        <v>19.258333333333301</v>
      </c>
      <c r="F558">
        <v>39.164999999999999</v>
      </c>
    </row>
    <row r="559" spans="1:6">
      <c r="A559" t="s">
        <v>563</v>
      </c>
      <c r="B559">
        <v>1.7466666666666599</v>
      </c>
      <c r="C559">
        <v>2.2999999999999998</v>
      </c>
      <c r="D559">
        <v>3.1333333333333302</v>
      </c>
      <c r="E559">
        <v>19.661999999999999</v>
      </c>
      <c r="F559">
        <v>38.967999999999897</v>
      </c>
    </row>
    <row r="560" spans="1:6">
      <c r="A560" t="s">
        <v>564</v>
      </c>
      <c r="B560">
        <v>2.0166666666666599</v>
      </c>
      <c r="C560">
        <v>2.9033333333333302</v>
      </c>
      <c r="D560">
        <v>4.2766666666666602</v>
      </c>
      <c r="E560">
        <v>19.9046666666666</v>
      </c>
      <c r="F560">
        <v>38.8393333333333</v>
      </c>
    </row>
    <row r="561" spans="1:6">
      <c r="A561" t="s">
        <v>565</v>
      </c>
      <c r="B561">
        <v>1.85666666666666</v>
      </c>
      <c r="C561">
        <v>2.4300000000000002</v>
      </c>
      <c r="D561">
        <v>2.9933333333333301</v>
      </c>
      <c r="E561">
        <v>21.819333333333301</v>
      </c>
      <c r="F561">
        <v>34.997</v>
      </c>
    </row>
    <row r="562" spans="1:6">
      <c r="A562" t="s">
        <v>566</v>
      </c>
      <c r="B562">
        <v>1.6</v>
      </c>
      <c r="C562">
        <v>2.1466666666666598</v>
      </c>
      <c r="D562">
        <v>3.1199999999999899</v>
      </c>
      <c r="E562">
        <v>24.937666666666601</v>
      </c>
      <c r="F562">
        <v>29.688666666666599</v>
      </c>
    </row>
    <row r="563" spans="1:6">
      <c r="A563" t="s">
        <v>567</v>
      </c>
      <c r="B563">
        <v>1.3333333333333299</v>
      </c>
      <c r="C563">
        <v>1.9266666666666601</v>
      </c>
      <c r="D563">
        <v>2.5733333333333301</v>
      </c>
      <c r="E563">
        <v>24.228000000000002</v>
      </c>
      <c r="F563">
        <v>30.010666666666602</v>
      </c>
    </row>
    <row r="564" spans="1:6">
      <c r="A564" t="s">
        <v>568</v>
      </c>
      <c r="B564">
        <v>1.08666666666666</v>
      </c>
      <c r="C564">
        <v>1.7066666666666599</v>
      </c>
      <c r="D564">
        <v>2.48</v>
      </c>
      <c r="E564">
        <v>28.261999999999901</v>
      </c>
      <c r="F564">
        <v>24.038</v>
      </c>
    </row>
    <row r="565" spans="1:6">
      <c r="A565" t="s">
        <v>569</v>
      </c>
      <c r="B565">
        <v>0.87</v>
      </c>
      <c r="C565">
        <v>1.1766666666666601</v>
      </c>
      <c r="D565">
        <v>2.4033333333333302</v>
      </c>
      <c r="E565">
        <v>25.16</v>
      </c>
      <c r="F565">
        <v>27.651</v>
      </c>
    </row>
    <row r="566" spans="1:6">
      <c r="A566" t="s">
        <v>570</v>
      </c>
      <c r="B566">
        <v>0.78</v>
      </c>
      <c r="C566">
        <v>1.1599999999999999</v>
      </c>
      <c r="D566">
        <v>1.17333333333333</v>
      </c>
      <c r="E566">
        <v>26.231000000000002</v>
      </c>
      <c r="F566">
        <v>26.424666666666599</v>
      </c>
    </row>
    <row r="567" spans="1:6">
      <c r="A567" t="s">
        <v>571</v>
      </c>
      <c r="B567">
        <v>0.67333333333333301</v>
      </c>
      <c r="C567">
        <v>0.93333333333333302</v>
      </c>
      <c r="D567">
        <v>1.08</v>
      </c>
      <c r="E567">
        <v>26.107999999999901</v>
      </c>
      <c r="F567">
        <v>25.582000000000001</v>
      </c>
    </row>
    <row r="568" spans="1:6">
      <c r="A568" t="s">
        <v>572</v>
      </c>
      <c r="B568">
        <v>0.64999999999999902</v>
      </c>
      <c r="C568">
        <v>0.88999999999999901</v>
      </c>
      <c r="D568">
        <v>1.2933333333333299</v>
      </c>
      <c r="E568">
        <v>23.228666666666602</v>
      </c>
      <c r="F568">
        <v>28.8056666666666</v>
      </c>
    </row>
    <row r="569" spans="1:6">
      <c r="A569" t="s">
        <v>573</v>
      </c>
      <c r="B569">
        <v>0.79</v>
      </c>
      <c r="C569">
        <v>1.0900000000000001</v>
      </c>
      <c r="D569">
        <v>1.2566666666666599</v>
      </c>
      <c r="E569">
        <v>21.513666666666602</v>
      </c>
      <c r="F569">
        <v>32.060666666666599</v>
      </c>
    </row>
    <row r="570" spans="1:6">
      <c r="A570" t="s">
        <v>574</v>
      </c>
      <c r="B570">
        <v>0.75666666666666704</v>
      </c>
      <c r="C570">
        <v>1.5</v>
      </c>
      <c r="D570">
        <v>1.68</v>
      </c>
      <c r="E570">
        <v>22.1643333333333</v>
      </c>
      <c r="F570">
        <v>31.582333333333299</v>
      </c>
    </row>
    <row r="571" spans="1:6">
      <c r="A571" t="s">
        <v>575</v>
      </c>
      <c r="B571">
        <v>0.96</v>
      </c>
      <c r="C571">
        <v>1.1366666666666601</v>
      </c>
      <c r="D571">
        <v>1.4566666666666599</v>
      </c>
      <c r="E571">
        <v>26.980999999999899</v>
      </c>
      <c r="F571">
        <v>26.505333333333301</v>
      </c>
    </row>
    <row r="572" spans="1:6">
      <c r="A572" t="s">
        <v>576</v>
      </c>
      <c r="B572">
        <v>0.65333333333333299</v>
      </c>
      <c r="C572">
        <v>0.94666666666666599</v>
      </c>
      <c r="D572">
        <v>1.27</v>
      </c>
      <c r="E572">
        <v>27.526999999999902</v>
      </c>
      <c r="F572">
        <v>25.8146666666666</v>
      </c>
    </row>
    <row r="573" spans="1:6">
      <c r="A573" t="s">
        <v>577</v>
      </c>
      <c r="B573">
        <v>0.85</v>
      </c>
      <c r="C573">
        <v>1.13333333333333</v>
      </c>
      <c r="D573">
        <v>1.6866666666666601</v>
      </c>
      <c r="E573">
        <v>28.238</v>
      </c>
      <c r="F573">
        <v>24.9426666666666</v>
      </c>
    </row>
    <row r="574" spans="1:6">
      <c r="A574" t="s">
        <v>578</v>
      </c>
      <c r="B574">
        <v>0.62</v>
      </c>
      <c r="C574">
        <v>0.88333333333333297</v>
      </c>
      <c r="D574">
        <v>1.6033333333333299</v>
      </c>
      <c r="E574">
        <v>27.844000000000001</v>
      </c>
      <c r="F574">
        <v>24.707000000000001</v>
      </c>
    </row>
    <row r="575" spans="1:6">
      <c r="A575" t="s">
        <v>579</v>
      </c>
      <c r="B575">
        <v>1.03</v>
      </c>
      <c r="C575">
        <v>1.6666666666666601</v>
      </c>
      <c r="D575">
        <v>1.92333333333333</v>
      </c>
      <c r="E575">
        <v>24.728666666666602</v>
      </c>
      <c r="F575">
        <v>28.0126666666666</v>
      </c>
    </row>
    <row r="576" spans="1:6">
      <c r="A576" t="s">
        <v>580</v>
      </c>
      <c r="B576">
        <v>1.03</v>
      </c>
      <c r="C576">
        <v>1.5333333333333301</v>
      </c>
      <c r="D576">
        <v>1.7933333333333299</v>
      </c>
      <c r="E576">
        <v>21.556333333333299</v>
      </c>
      <c r="F576">
        <v>31.4916666666666</v>
      </c>
    </row>
    <row r="577" spans="1:6">
      <c r="A577" t="s">
        <v>581</v>
      </c>
      <c r="B577">
        <v>0.93666666666666698</v>
      </c>
      <c r="C577">
        <v>1.53666666666666</v>
      </c>
      <c r="D577">
        <v>2.58</v>
      </c>
      <c r="E577">
        <v>21.044333333333299</v>
      </c>
      <c r="F577">
        <v>32.5206666666666</v>
      </c>
    </row>
    <row r="578" spans="1:6">
      <c r="A578" t="s">
        <v>582</v>
      </c>
      <c r="B578">
        <v>1.2833333333333301</v>
      </c>
      <c r="C578">
        <v>1.61333333333333</v>
      </c>
      <c r="D578">
        <v>2.4033333333333302</v>
      </c>
      <c r="E578">
        <v>19.002666666666599</v>
      </c>
      <c r="F578">
        <v>35.845333333333301</v>
      </c>
    </row>
    <row r="579" spans="1:6">
      <c r="A579" t="s">
        <v>583</v>
      </c>
      <c r="B579">
        <v>1.01999999999999</v>
      </c>
      <c r="C579">
        <v>1.38</v>
      </c>
      <c r="D579">
        <v>2.3033333333333301</v>
      </c>
      <c r="E579">
        <v>18.260666666666602</v>
      </c>
      <c r="F579">
        <v>38.073666666666597</v>
      </c>
    </row>
    <row r="580" spans="1:6">
      <c r="A580" t="s">
        <v>584</v>
      </c>
      <c r="B580">
        <v>1.19333333333333</v>
      </c>
      <c r="C580">
        <v>1.44</v>
      </c>
      <c r="D580">
        <v>1.61333333333333</v>
      </c>
      <c r="E580">
        <v>17.819666666666599</v>
      </c>
      <c r="F580">
        <v>39.684333333333299</v>
      </c>
    </row>
    <row r="581" spans="1:6">
      <c r="A581" t="s">
        <v>585</v>
      </c>
      <c r="B581">
        <v>1.92</v>
      </c>
      <c r="C581">
        <v>2.65</v>
      </c>
      <c r="D581">
        <v>3.6066666666666598</v>
      </c>
      <c r="E581">
        <v>17.448</v>
      </c>
      <c r="F581">
        <v>40.869333333333302</v>
      </c>
    </row>
    <row r="582" spans="1:6">
      <c r="A582" t="s">
        <v>586</v>
      </c>
      <c r="B582">
        <v>1.34666666666666</v>
      </c>
      <c r="C582">
        <v>1.6566666666666601</v>
      </c>
      <c r="D582">
        <v>2.1766666666666601</v>
      </c>
      <c r="E582">
        <v>17.143999999999998</v>
      </c>
      <c r="F582">
        <v>41.192666666666597</v>
      </c>
    </row>
    <row r="583" spans="1:6">
      <c r="A583" t="s">
        <v>587</v>
      </c>
      <c r="B583">
        <v>1.39333333333333</v>
      </c>
      <c r="C583">
        <v>1.68</v>
      </c>
      <c r="D583">
        <v>3.2433333333333301</v>
      </c>
      <c r="E583">
        <v>16.820333333333298</v>
      </c>
      <c r="F583">
        <v>42.636666666666599</v>
      </c>
    </row>
    <row r="584" spans="1:6">
      <c r="A584" t="s">
        <v>588</v>
      </c>
      <c r="B584">
        <v>1.2733333333333301</v>
      </c>
      <c r="C584">
        <v>1.52</v>
      </c>
      <c r="D584">
        <v>2.04</v>
      </c>
      <c r="E584">
        <v>16.640666666666601</v>
      </c>
      <c r="F584">
        <v>42.682000000000002</v>
      </c>
    </row>
    <row r="585" spans="1:6">
      <c r="A585" t="s">
        <v>589</v>
      </c>
      <c r="B585">
        <v>1.8133333333333299</v>
      </c>
      <c r="C585">
        <v>2.67</v>
      </c>
      <c r="D585">
        <v>3.6266666666666598</v>
      </c>
      <c r="E585">
        <v>16.525666666666599</v>
      </c>
      <c r="F585">
        <v>44.081999999999901</v>
      </c>
    </row>
    <row r="586" spans="1:6">
      <c r="A586" t="s">
        <v>590</v>
      </c>
      <c r="B586">
        <v>2.1466666666666598</v>
      </c>
      <c r="C586">
        <v>2.7666666666666599</v>
      </c>
      <c r="D586">
        <v>4.07666666666666</v>
      </c>
      <c r="E586">
        <v>16.419333333333299</v>
      </c>
      <c r="F586">
        <v>45.942333333333302</v>
      </c>
    </row>
    <row r="587" spans="1:6">
      <c r="A587" t="s">
        <v>591</v>
      </c>
      <c r="B587">
        <v>2.7166666666666601</v>
      </c>
      <c r="C587">
        <v>4.2033333333333296</v>
      </c>
      <c r="D587">
        <v>6.7666666666666604</v>
      </c>
      <c r="E587">
        <v>16.323</v>
      </c>
      <c r="F587">
        <v>48.158000000000001</v>
      </c>
    </row>
    <row r="588" spans="1:6">
      <c r="A588" t="s">
        <v>592</v>
      </c>
      <c r="B588">
        <v>3.0833333333333299</v>
      </c>
      <c r="C588">
        <v>5.0333333333333297</v>
      </c>
      <c r="D588">
        <v>8.3733333333333295</v>
      </c>
      <c r="E588">
        <v>16.306666666666601</v>
      </c>
      <c r="F588">
        <v>50.533666666666598</v>
      </c>
    </row>
    <row r="589" spans="1:6">
      <c r="A589" t="s">
        <v>593</v>
      </c>
      <c r="B589">
        <v>2.4266666666666601</v>
      </c>
      <c r="C589">
        <v>3.34666666666666</v>
      </c>
      <c r="D589">
        <v>5.58</v>
      </c>
      <c r="E589">
        <v>16.242333333333299</v>
      </c>
      <c r="F589">
        <v>50.153999999999897</v>
      </c>
    </row>
    <row r="590" spans="1:6">
      <c r="A590" t="s">
        <v>594</v>
      </c>
      <c r="B590">
        <v>3.47</v>
      </c>
      <c r="C590">
        <v>4.7833333333333297</v>
      </c>
      <c r="D590">
        <v>6.7333333333333298</v>
      </c>
      <c r="E590">
        <v>16.126333333333299</v>
      </c>
      <c r="F590">
        <v>50.3883333333333</v>
      </c>
    </row>
    <row r="591" spans="1:6">
      <c r="A591" t="s">
        <v>595</v>
      </c>
      <c r="B591">
        <v>4.0233333333333299</v>
      </c>
      <c r="C591">
        <v>5.6066666666666602</v>
      </c>
      <c r="D591">
        <v>10.226666666666601</v>
      </c>
      <c r="E591">
        <v>16.199666666666602</v>
      </c>
      <c r="F591">
        <v>50.710333333333303</v>
      </c>
    </row>
    <row r="592" spans="1:6">
      <c r="A592" t="s">
        <v>596</v>
      </c>
      <c r="B592">
        <v>14.2466666666666</v>
      </c>
      <c r="C592">
        <v>18.68</v>
      </c>
      <c r="D592">
        <v>21.41</v>
      </c>
      <c r="E592">
        <v>15.605</v>
      </c>
      <c r="F592">
        <v>49.84</v>
      </c>
    </row>
    <row r="593" spans="1:6">
      <c r="A593" t="s">
        <v>597</v>
      </c>
      <c r="B593">
        <v>17.260000000000002</v>
      </c>
      <c r="C593">
        <v>22.213333333333299</v>
      </c>
      <c r="D593">
        <v>27.283333333333299</v>
      </c>
      <c r="E593">
        <v>14.8813333333333</v>
      </c>
      <c r="F593">
        <v>50.005666666666599</v>
      </c>
    </row>
    <row r="594" spans="1:6">
      <c r="A594" t="s">
        <v>598</v>
      </c>
      <c r="B594">
        <v>12.953333333333299</v>
      </c>
      <c r="C594">
        <v>16.286666666666601</v>
      </c>
      <c r="D594">
        <v>20.7433333333333</v>
      </c>
      <c r="E594">
        <v>14.4816666666666</v>
      </c>
      <c r="F594">
        <v>51.268666666666597</v>
      </c>
    </row>
    <row r="595" spans="1:6">
      <c r="A595" t="s">
        <v>599</v>
      </c>
      <c r="B595">
        <v>12.3666666666666</v>
      </c>
      <c r="C595">
        <v>16.3266666666666</v>
      </c>
      <c r="D595">
        <v>18.5266666666666</v>
      </c>
      <c r="E595">
        <v>14.5396666666666</v>
      </c>
      <c r="F595">
        <v>51.373999999999903</v>
      </c>
    </row>
    <row r="596" spans="1:6">
      <c r="A596" t="s">
        <v>600</v>
      </c>
      <c r="B596">
        <v>12.39</v>
      </c>
      <c r="C596">
        <v>16.1866666666666</v>
      </c>
      <c r="D596">
        <v>19.323333333333299</v>
      </c>
      <c r="E596">
        <v>14.3143333333333</v>
      </c>
      <c r="F596">
        <v>52.015666666666597</v>
      </c>
    </row>
    <row r="597" spans="1:6">
      <c r="A597" t="s">
        <v>601</v>
      </c>
      <c r="B597">
        <v>15.986666666666601</v>
      </c>
      <c r="C597">
        <v>20.8266666666666</v>
      </c>
      <c r="D597">
        <v>25.003333333333298</v>
      </c>
      <c r="E597">
        <v>14.025</v>
      </c>
      <c r="F597">
        <v>52.6486666666666</v>
      </c>
    </row>
    <row r="598" spans="1:6">
      <c r="A598" t="s">
        <v>602</v>
      </c>
      <c r="B598">
        <v>15.9133333333333</v>
      </c>
      <c r="C598">
        <v>20.023333333333301</v>
      </c>
      <c r="D598">
        <v>23.29</v>
      </c>
      <c r="E598">
        <v>13.5903333333333</v>
      </c>
      <c r="F598">
        <v>53.734666666666598</v>
      </c>
    </row>
    <row r="599" spans="1:6">
      <c r="A599" t="s">
        <v>603</v>
      </c>
      <c r="B599">
        <v>16.27</v>
      </c>
      <c r="C599">
        <v>20.856666666666602</v>
      </c>
      <c r="D599">
        <v>26.5066666666666</v>
      </c>
      <c r="E599">
        <v>13.4049999999999</v>
      </c>
      <c r="F599">
        <v>53.403999999999897</v>
      </c>
    </row>
    <row r="600" spans="1:6">
      <c r="A600" t="s">
        <v>604</v>
      </c>
      <c r="B600">
        <v>16.91</v>
      </c>
      <c r="C600">
        <v>21.043333333333301</v>
      </c>
      <c r="D600">
        <v>25.723333333333301</v>
      </c>
      <c r="E600">
        <v>13.3919999999999</v>
      </c>
      <c r="F600">
        <v>54.3913333333333</v>
      </c>
    </row>
    <row r="601" spans="1:6">
      <c r="A601" t="s">
        <v>605</v>
      </c>
      <c r="B601">
        <v>16.106666666666602</v>
      </c>
      <c r="C601">
        <v>19.8466666666666</v>
      </c>
      <c r="D601">
        <v>24.533333333333299</v>
      </c>
      <c r="E601">
        <v>13.343</v>
      </c>
      <c r="F601">
        <v>54.490333333333297</v>
      </c>
    </row>
    <row r="602" spans="1:6">
      <c r="A602" t="s">
        <v>606</v>
      </c>
      <c r="B602">
        <v>15.556666666666599</v>
      </c>
      <c r="C602">
        <v>19.989999999999998</v>
      </c>
      <c r="D602">
        <v>23.703333333333301</v>
      </c>
      <c r="E602">
        <v>13.4303333333333</v>
      </c>
      <c r="F602">
        <v>54.3793333333333</v>
      </c>
    </row>
    <row r="603" spans="1:6">
      <c r="A603" t="s">
        <v>607</v>
      </c>
      <c r="B603">
        <v>16.32</v>
      </c>
      <c r="C603">
        <v>20.079999999999998</v>
      </c>
      <c r="D603">
        <v>24.913333333333298</v>
      </c>
      <c r="E603">
        <v>13.421666666666599</v>
      </c>
      <c r="F603">
        <v>54.854999999999997</v>
      </c>
    </row>
    <row r="604" spans="1:6">
      <c r="A604" t="s">
        <v>608</v>
      </c>
      <c r="B604">
        <v>16.73</v>
      </c>
      <c r="C604">
        <v>20.6933333333333</v>
      </c>
      <c r="D604">
        <v>25.573333333333299</v>
      </c>
      <c r="E604">
        <v>13.393666666666601</v>
      </c>
      <c r="F604">
        <v>54.890999999999998</v>
      </c>
    </row>
    <row r="605" spans="1:6">
      <c r="A605" t="s">
        <v>609</v>
      </c>
      <c r="B605">
        <v>18.79</v>
      </c>
      <c r="C605">
        <v>23.523333333333301</v>
      </c>
      <c r="D605">
        <v>28.696666666666601</v>
      </c>
      <c r="E605">
        <v>13.284666666666601</v>
      </c>
      <c r="F605">
        <v>55.854333333333301</v>
      </c>
    </row>
    <row r="606" spans="1:6">
      <c r="A606" t="s">
        <v>610</v>
      </c>
      <c r="B606">
        <v>15.2</v>
      </c>
      <c r="C606">
        <v>19.91</v>
      </c>
      <c r="D606">
        <v>22.113333333333301</v>
      </c>
      <c r="E606">
        <v>13.204666666666601</v>
      </c>
      <c r="F606">
        <v>55.646333333333303</v>
      </c>
    </row>
    <row r="607" spans="1:6">
      <c r="A607" t="s">
        <v>611</v>
      </c>
      <c r="B607">
        <v>26.126666666666601</v>
      </c>
      <c r="C607">
        <v>34.213333333333303</v>
      </c>
      <c r="D607">
        <v>39.9433333333333</v>
      </c>
      <c r="E607">
        <v>12.901999999999999</v>
      </c>
      <c r="F607">
        <v>55.684666666666601</v>
      </c>
    </row>
    <row r="608" spans="1:6">
      <c r="A608" t="s">
        <v>612</v>
      </c>
      <c r="B608">
        <v>24.523333333333301</v>
      </c>
      <c r="C608">
        <v>33.056666666666601</v>
      </c>
      <c r="D608">
        <v>41.006666666666597</v>
      </c>
      <c r="E608">
        <v>12.743</v>
      </c>
      <c r="F608">
        <v>56.205666666666602</v>
      </c>
    </row>
    <row r="609" spans="1:6">
      <c r="A609" t="s">
        <v>613</v>
      </c>
      <c r="B609">
        <v>19.873333333333299</v>
      </c>
      <c r="C609">
        <v>26.82</v>
      </c>
      <c r="D609">
        <v>32.793333333333301</v>
      </c>
      <c r="E609">
        <v>12.5766666666666</v>
      </c>
      <c r="F609">
        <v>56.9329999999999</v>
      </c>
    </row>
    <row r="610" spans="1:6">
      <c r="A610" t="s">
        <v>614</v>
      </c>
      <c r="B610">
        <v>22.036666666666601</v>
      </c>
      <c r="C610">
        <v>25.843333333333302</v>
      </c>
      <c r="D610">
        <v>34.479999999999997</v>
      </c>
      <c r="E610">
        <v>12.462999999999999</v>
      </c>
      <c r="F610">
        <v>57.554666666666598</v>
      </c>
    </row>
    <row r="611" spans="1:6">
      <c r="A611" t="s">
        <v>615</v>
      </c>
      <c r="B611">
        <v>27.293333333333301</v>
      </c>
      <c r="C611">
        <v>30.286666666666601</v>
      </c>
      <c r="D611">
        <v>40.953333333333298</v>
      </c>
      <c r="E611">
        <v>12.501333333333299</v>
      </c>
      <c r="F611">
        <v>57.558333333333302</v>
      </c>
    </row>
    <row r="612" spans="1:6">
      <c r="A612" t="s">
        <v>616</v>
      </c>
      <c r="B612">
        <v>14.886666666666599</v>
      </c>
      <c r="C612">
        <v>16.53</v>
      </c>
      <c r="D612">
        <v>22.363333333333301</v>
      </c>
      <c r="E612">
        <v>12.611333333333301</v>
      </c>
      <c r="F612">
        <v>58.040666666666603</v>
      </c>
    </row>
    <row r="613" spans="1:6">
      <c r="A613" t="s">
        <v>617</v>
      </c>
      <c r="B613">
        <v>9.8433333333333302</v>
      </c>
      <c r="C613">
        <v>10.9299999999999</v>
      </c>
      <c r="D613">
        <v>14.79</v>
      </c>
      <c r="E613">
        <v>13.0866666666666</v>
      </c>
      <c r="F613">
        <v>57.483333333333299</v>
      </c>
    </row>
    <row r="614" spans="1:6">
      <c r="A614" t="s">
        <v>618</v>
      </c>
      <c r="B614">
        <v>9.15</v>
      </c>
      <c r="C614">
        <v>10.9166666666666</v>
      </c>
      <c r="D614">
        <v>14.52</v>
      </c>
      <c r="E614">
        <v>13.5009999999999</v>
      </c>
      <c r="F614">
        <v>57.109333333333304</v>
      </c>
    </row>
    <row r="615" spans="1:6">
      <c r="A615" t="s">
        <v>619</v>
      </c>
      <c r="B615">
        <v>7.7233333333333301</v>
      </c>
      <c r="C615">
        <v>10.466666666666599</v>
      </c>
      <c r="D615">
        <v>14.5766666666666</v>
      </c>
      <c r="E615">
        <v>13.6516666666666</v>
      </c>
      <c r="F615">
        <v>56.671999999999997</v>
      </c>
    </row>
    <row r="616" spans="1:6">
      <c r="A616" t="s">
        <v>620</v>
      </c>
      <c r="B616">
        <v>8.6300000000000008</v>
      </c>
      <c r="C616">
        <v>12.0233333333333</v>
      </c>
      <c r="D616">
        <v>17.2</v>
      </c>
      <c r="E616">
        <v>13.9133333333333</v>
      </c>
      <c r="F616">
        <v>56.558999999999997</v>
      </c>
    </row>
    <row r="617" spans="1:6">
      <c r="A617" t="s">
        <v>621</v>
      </c>
      <c r="B617">
        <v>7.9066666666666601</v>
      </c>
      <c r="C617">
        <v>11.963333333333299</v>
      </c>
      <c r="D617">
        <v>17.196666666666601</v>
      </c>
      <c r="E617">
        <v>13.9489999999999</v>
      </c>
      <c r="F617">
        <v>56.488666666666603</v>
      </c>
    </row>
    <row r="618" spans="1:6">
      <c r="A618" t="s">
        <v>622</v>
      </c>
      <c r="B618">
        <v>6.8066666666666604</v>
      </c>
      <c r="C618">
        <v>8.9266666666666694</v>
      </c>
      <c r="D618">
        <v>11.793333333333299</v>
      </c>
      <c r="E618">
        <v>14.194666666666601</v>
      </c>
      <c r="F618">
        <v>55.9046666666666</v>
      </c>
    </row>
    <row r="619" spans="1:6">
      <c r="A619" t="s">
        <v>623</v>
      </c>
      <c r="B619">
        <v>5.1266666666666598</v>
      </c>
      <c r="C619">
        <v>7.5899999999999901</v>
      </c>
      <c r="D619">
        <v>9.6199999999999992</v>
      </c>
      <c r="E619">
        <v>14.337999999999999</v>
      </c>
      <c r="F619">
        <v>55.57</v>
      </c>
    </row>
    <row r="620" spans="1:6">
      <c r="A620" t="s">
        <v>624</v>
      </c>
      <c r="B620">
        <v>4.3833333333333302</v>
      </c>
      <c r="C620">
        <v>6.4933333333333296</v>
      </c>
      <c r="D620">
        <v>9.2466666666666608</v>
      </c>
      <c r="E620">
        <v>14.594333333333299</v>
      </c>
      <c r="F620">
        <v>55.104999999999897</v>
      </c>
    </row>
    <row r="621" spans="1:6">
      <c r="A621" t="s">
        <v>625</v>
      </c>
      <c r="B621">
        <v>6.06</v>
      </c>
      <c r="C621">
        <v>7.9866666666666601</v>
      </c>
      <c r="D621">
        <v>11.13</v>
      </c>
      <c r="E621">
        <v>14.567</v>
      </c>
      <c r="F621">
        <v>55.270999999999901</v>
      </c>
    </row>
    <row r="622" spans="1:6">
      <c r="A622" t="s">
        <v>626</v>
      </c>
      <c r="B622">
        <v>6.1733333333333302</v>
      </c>
      <c r="C622">
        <v>8.3766666666666598</v>
      </c>
      <c r="D622">
        <v>11.733333333333301</v>
      </c>
      <c r="E622">
        <v>14.4646666666666</v>
      </c>
      <c r="F622">
        <v>55.377999999999901</v>
      </c>
    </row>
    <row r="623" spans="1:6">
      <c r="A623" t="s">
        <v>627</v>
      </c>
      <c r="B623">
        <v>4.7399999999999904</v>
      </c>
      <c r="C623">
        <v>6.82666666666666</v>
      </c>
      <c r="D623">
        <v>10.0033333333333</v>
      </c>
      <c r="E623">
        <v>14.5836666666666</v>
      </c>
      <c r="F623">
        <v>55.2</v>
      </c>
    </row>
    <row r="624" spans="1:6">
      <c r="A624" t="s">
        <v>628</v>
      </c>
      <c r="B624">
        <v>5.3466666666666596</v>
      </c>
      <c r="C624">
        <v>8.8566666666666602</v>
      </c>
      <c r="D624">
        <v>12.9466666666666</v>
      </c>
      <c r="E624">
        <v>14.3509999999999</v>
      </c>
      <c r="F624">
        <v>55.565999999999903</v>
      </c>
    </row>
    <row r="625" spans="1:6">
      <c r="A625" t="s">
        <v>629</v>
      </c>
      <c r="B625">
        <v>4.9800000000000004</v>
      </c>
      <c r="C625">
        <v>6.8699999999999903</v>
      </c>
      <c r="D625">
        <v>9.3333333333333304</v>
      </c>
      <c r="E625">
        <v>14.447333333333299</v>
      </c>
      <c r="F625">
        <v>55.496666666666599</v>
      </c>
    </row>
    <row r="626" spans="1:6">
      <c r="A626" t="s">
        <v>630</v>
      </c>
      <c r="B626">
        <v>6.5166666666666604</v>
      </c>
      <c r="C626">
        <v>9.4600000000000009</v>
      </c>
      <c r="D626">
        <v>13.1166666666666</v>
      </c>
      <c r="E626">
        <v>14.4523333333333</v>
      </c>
      <c r="F626">
        <v>55.234333333333304</v>
      </c>
    </row>
    <row r="627" spans="1:6">
      <c r="A627" t="s">
        <v>631</v>
      </c>
      <c r="B627">
        <v>5.2466666666666599</v>
      </c>
      <c r="C627">
        <v>7.5433333333333303</v>
      </c>
      <c r="D627">
        <v>10.473333333333301</v>
      </c>
      <c r="E627">
        <v>14.7226666666666</v>
      </c>
      <c r="F627">
        <v>55.744666666666603</v>
      </c>
    </row>
    <row r="628" spans="1:6">
      <c r="A628" t="s">
        <v>632</v>
      </c>
      <c r="B628">
        <v>3.99</v>
      </c>
      <c r="C628">
        <v>5.9266666666666596</v>
      </c>
      <c r="D628">
        <v>10.0866666666666</v>
      </c>
      <c r="E628">
        <v>15.04</v>
      </c>
      <c r="F628">
        <v>56.304333333333297</v>
      </c>
    </row>
    <row r="629" spans="1:6">
      <c r="A629" t="s">
        <v>633</v>
      </c>
      <c r="B629">
        <v>4.1733333333333302</v>
      </c>
      <c r="C629">
        <v>6.4366666666666603</v>
      </c>
      <c r="D629">
        <v>12.56</v>
      </c>
      <c r="E629">
        <v>15.171666666666599</v>
      </c>
      <c r="F629">
        <v>56.6636666666666</v>
      </c>
    </row>
    <row r="630" spans="1:6">
      <c r="A630" t="s">
        <v>634</v>
      </c>
      <c r="B630">
        <v>3.9233333333333298</v>
      </c>
      <c r="C630">
        <v>5.7066666666666599</v>
      </c>
      <c r="D630">
        <v>14.6666666666666</v>
      </c>
      <c r="E630">
        <v>15.143333333333301</v>
      </c>
      <c r="F630">
        <v>56.635666666666602</v>
      </c>
    </row>
    <row r="631" spans="1:6">
      <c r="A631" t="s">
        <v>635</v>
      </c>
      <c r="B631">
        <v>4.37</v>
      </c>
      <c r="C631">
        <v>6.8033333333333301</v>
      </c>
      <c r="D631">
        <v>14.1899999999999</v>
      </c>
      <c r="E631">
        <v>15.050666666666601</v>
      </c>
      <c r="F631">
        <v>56.489666666666601</v>
      </c>
    </row>
    <row r="632" spans="1:6">
      <c r="A632" t="s">
        <v>636</v>
      </c>
      <c r="B632">
        <v>5.0633333333333299</v>
      </c>
      <c r="C632">
        <v>8.0233333333333299</v>
      </c>
      <c r="D632">
        <v>12.706666666666599</v>
      </c>
      <c r="E632">
        <v>14.6923333333333</v>
      </c>
      <c r="F632">
        <v>56.587333333333298</v>
      </c>
    </row>
    <row r="633" spans="1:6">
      <c r="A633" t="s">
        <v>637</v>
      </c>
      <c r="B633">
        <v>5.31</v>
      </c>
      <c r="C633">
        <v>7.95</v>
      </c>
      <c r="D633">
        <v>12.33</v>
      </c>
      <c r="E633">
        <v>14.222</v>
      </c>
      <c r="F633">
        <v>57.182333333333297</v>
      </c>
    </row>
    <row r="634" spans="1:6">
      <c r="A634" t="s">
        <v>638</v>
      </c>
      <c r="B634">
        <v>5.1333333333333302</v>
      </c>
      <c r="C634">
        <v>5.7</v>
      </c>
      <c r="D634">
        <v>7.7233333333333301</v>
      </c>
      <c r="E634">
        <v>14.1126666666666</v>
      </c>
      <c r="F634">
        <v>57.863666666666603</v>
      </c>
    </row>
    <row r="635" spans="1:6">
      <c r="A635" t="s">
        <v>639</v>
      </c>
      <c r="B635">
        <v>5.4433333333333298</v>
      </c>
      <c r="C635">
        <v>6.0533333333333301</v>
      </c>
      <c r="D635">
        <v>8.1933333333333298</v>
      </c>
      <c r="E635">
        <v>14.081666666666599</v>
      </c>
      <c r="F635">
        <v>57.626999999999903</v>
      </c>
    </row>
    <row r="636" spans="1:6">
      <c r="A636" t="s">
        <v>640</v>
      </c>
      <c r="B636">
        <v>5.28666666666666</v>
      </c>
      <c r="C636">
        <v>5.8733333333333304</v>
      </c>
      <c r="D636">
        <v>7.9633333333333303</v>
      </c>
      <c r="E636">
        <v>14.079333333333301</v>
      </c>
      <c r="F636">
        <v>57.783000000000001</v>
      </c>
    </row>
    <row r="637" spans="1:6">
      <c r="A637" t="s">
        <v>641</v>
      </c>
      <c r="B637">
        <v>5.3733333333333304</v>
      </c>
      <c r="C637">
        <v>5.9666666666666597</v>
      </c>
      <c r="D637">
        <v>8.0933333333333302</v>
      </c>
      <c r="E637">
        <v>14.2189999999999</v>
      </c>
      <c r="F637">
        <v>57.526000000000003</v>
      </c>
    </row>
    <row r="638" spans="1:6">
      <c r="A638" t="s">
        <v>642</v>
      </c>
      <c r="B638">
        <v>5.1599999999999904</v>
      </c>
      <c r="C638">
        <v>5.7333333333333298</v>
      </c>
      <c r="D638">
        <v>7.7699999999999898</v>
      </c>
      <c r="E638">
        <v>14.343999999999999</v>
      </c>
      <c r="F638">
        <v>57.335000000000001</v>
      </c>
    </row>
    <row r="639" spans="1:6">
      <c r="A639" t="s">
        <v>643</v>
      </c>
      <c r="B639">
        <v>5.1933333333333298</v>
      </c>
      <c r="C639">
        <v>5.7666666666666604</v>
      </c>
      <c r="D639">
        <v>7.8199999999999896</v>
      </c>
      <c r="E639">
        <v>14.5239999999999</v>
      </c>
      <c r="F639">
        <v>57.153999999999897</v>
      </c>
    </row>
    <row r="640" spans="1:6">
      <c r="A640" t="s">
        <v>644</v>
      </c>
      <c r="B640">
        <v>4.7966666666666598</v>
      </c>
      <c r="C640">
        <v>7.08</v>
      </c>
      <c r="D640">
        <v>12.9599999999999</v>
      </c>
      <c r="E640">
        <v>14.7696666666666</v>
      </c>
      <c r="F640">
        <v>56.305</v>
      </c>
    </row>
    <row r="641" spans="1:6">
      <c r="A641" t="s">
        <v>645</v>
      </c>
      <c r="B641">
        <v>4.7766666666666602</v>
      </c>
      <c r="C641">
        <v>7.69</v>
      </c>
      <c r="D641">
        <v>13.1166666666666</v>
      </c>
      <c r="E641">
        <v>14.94</v>
      </c>
      <c r="F641">
        <v>55.631999999999898</v>
      </c>
    </row>
    <row r="642" spans="1:6">
      <c r="A642" t="s">
        <v>646</v>
      </c>
      <c r="B642">
        <v>4.75</v>
      </c>
      <c r="C642">
        <v>7.1899999999999897</v>
      </c>
      <c r="D642">
        <v>16.453333333333301</v>
      </c>
      <c r="E642">
        <v>15.1953333333333</v>
      </c>
      <c r="F642">
        <v>54.795333333333303</v>
      </c>
    </row>
    <row r="643" spans="1:6">
      <c r="A643" t="s">
        <v>647</v>
      </c>
      <c r="B643">
        <v>5.6366666666666596</v>
      </c>
      <c r="C643">
        <v>7.9966666666666599</v>
      </c>
      <c r="D643">
        <v>13.53</v>
      </c>
      <c r="E643">
        <v>15.9139999999999</v>
      </c>
      <c r="F643">
        <v>53.2053333333333</v>
      </c>
    </row>
    <row r="644" spans="1:6">
      <c r="A644" t="s">
        <v>648</v>
      </c>
      <c r="B644">
        <v>4.8600000000000003</v>
      </c>
      <c r="C644">
        <v>7.5166666666666604</v>
      </c>
      <c r="D644">
        <v>10.81</v>
      </c>
      <c r="E644">
        <v>15.9456666666666</v>
      </c>
      <c r="F644">
        <v>53.014000000000003</v>
      </c>
    </row>
    <row r="645" spans="1:6">
      <c r="A645" t="s">
        <v>649</v>
      </c>
      <c r="B645">
        <v>5.2433333333333296</v>
      </c>
      <c r="C645">
        <v>8.4766666666666595</v>
      </c>
      <c r="D645">
        <v>16.8666666666666</v>
      </c>
      <c r="E645">
        <v>16.6056666666666</v>
      </c>
      <c r="F645">
        <v>52.486666666666601</v>
      </c>
    </row>
    <row r="646" spans="1:6">
      <c r="A646" t="s">
        <v>650</v>
      </c>
      <c r="B646">
        <v>4.5466666666666598</v>
      </c>
      <c r="C646">
        <v>7.06</v>
      </c>
      <c r="D646">
        <v>12.049999999999899</v>
      </c>
      <c r="E646">
        <v>17.450666666666599</v>
      </c>
      <c r="F646">
        <v>51.317</v>
      </c>
    </row>
    <row r="647" spans="1:6">
      <c r="A647" t="s">
        <v>651</v>
      </c>
      <c r="B647">
        <v>3.89333333333333</v>
      </c>
      <c r="C647">
        <v>6.1733333333333302</v>
      </c>
      <c r="D647">
        <v>11.5833333333333</v>
      </c>
      <c r="E647">
        <v>18.146333333333299</v>
      </c>
      <c r="F647">
        <v>50.098333333333301</v>
      </c>
    </row>
    <row r="648" spans="1:6">
      <c r="A648" t="s">
        <v>652</v>
      </c>
      <c r="B648">
        <v>3.2833333333333301</v>
      </c>
      <c r="C648">
        <v>5.1266666666666598</v>
      </c>
      <c r="D648">
        <v>10.229999999999899</v>
      </c>
      <c r="E648">
        <v>18.1666666666666</v>
      </c>
      <c r="F648">
        <v>49.412666666666603</v>
      </c>
    </row>
    <row r="649" spans="1:6">
      <c r="A649" t="s">
        <v>653</v>
      </c>
      <c r="B649">
        <v>3.25999999999999</v>
      </c>
      <c r="C649">
        <v>5.2133333333333303</v>
      </c>
      <c r="D649">
        <v>10.906666666666601</v>
      </c>
      <c r="E649">
        <v>17.7</v>
      </c>
      <c r="F649">
        <v>49.8986666666666</v>
      </c>
    </row>
    <row r="650" spans="1:6">
      <c r="A650" t="s">
        <v>654</v>
      </c>
      <c r="B650">
        <v>4.05</v>
      </c>
      <c r="C650">
        <v>6.22</v>
      </c>
      <c r="D650">
        <v>11.78</v>
      </c>
      <c r="E650">
        <v>18.601333333333301</v>
      </c>
      <c r="F650">
        <v>47.334333333333298</v>
      </c>
    </row>
    <row r="651" spans="1:6">
      <c r="A651" t="s">
        <v>655</v>
      </c>
      <c r="B651">
        <v>4.4299999999999899</v>
      </c>
      <c r="C651">
        <v>7.1033333333333299</v>
      </c>
      <c r="D651">
        <v>14.0133333333333</v>
      </c>
      <c r="E651">
        <v>18.267333333333301</v>
      </c>
      <c r="F651">
        <v>47.3273333333333</v>
      </c>
    </row>
    <row r="652" spans="1:6">
      <c r="A652" t="s">
        <v>656</v>
      </c>
      <c r="B652">
        <v>4.03</v>
      </c>
      <c r="C652">
        <v>6.1033333333333299</v>
      </c>
      <c r="D652">
        <v>11.25</v>
      </c>
      <c r="E652">
        <v>18.530999999999999</v>
      </c>
      <c r="F652">
        <v>47.045333333333303</v>
      </c>
    </row>
    <row r="653" spans="1:6">
      <c r="A653" t="s">
        <v>657</v>
      </c>
      <c r="B653">
        <v>4.1633333333333304</v>
      </c>
      <c r="C653">
        <v>6.6299999999999901</v>
      </c>
      <c r="D653">
        <v>11.8633333333333</v>
      </c>
      <c r="E653">
        <v>18.580666666666598</v>
      </c>
      <c r="F653">
        <v>47.2543333333333</v>
      </c>
    </row>
    <row r="654" spans="1:6">
      <c r="A654" t="s">
        <v>658</v>
      </c>
      <c r="B654">
        <v>4.2699999999999996</v>
      </c>
      <c r="C654">
        <v>6.5266666666666602</v>
      </c>
      <c r="D654">
        <v>10.76</v>
      </c>
      <c r="E654">
        <v>18.2916666666666</v>
      </c>
      <c r="F654">
        <v>47.687999999999903</v>
      </c>
    </row>
    <row r="655" spans="1:6">
      <c r="A655" t="s">
        <v>659</v>
      </c>
      <c r="B655">
        <v>4.82</v>
      </c>
      <c r="C655">
        <v>7.36</v>
      </c>
      <c r="D655">
        <v>10.783333333333299</v>
      </c>
      <c r="E655">
        <v>18.437666666666601</v>
      </c>
      <c r="F655">
        <v>47.819666666666599</v>
      </c>
    </row>
    <row r="656" spans="1:6">
      <c r="A656" t="s">
        <v>660</v>
      </c>
      <c r="B656">
        <v>4.6566666666666601</v>
      </c>
      <c r="C656">
        <v>7.39</v>
      </c>
      <c r="D656">
        <v>12.9333333333333</v>
      </c>
      <c r="E656">
        <v>18.247999999999902</v>
      </c>
      <c r="F656">
        <v>48.325333333333298</v>
      </c>
    </row>
    <row r="657" spans="1:6">
      <c r="A657" t="s">
        <v>661</v>
      </c>
      <c r="B657">
        <v>4.5199999999999996</v>
      </c>
      <c r="C657">
        <v>7.3333333333333304</v>
      </c>
      <c r="D657">
        <v>10.62</v>
      </c>
      <c r="E657">
        <v>18.470333333333301</v>
      </c>
      <c r="F657">
        <v>47.922999999999902</v>
      </c>
    </row>
    <row r="658" spans="1:6">
      <c r="A658" t="s">
        <v>662</v>
      </c>
      <c r="B658">
        <v>4.9466666666666601</v>
      </c>
      <c r="C658">
        <v>7.86</v>
      </c>
      <c r="D658">
        <v>14.796666666666599</v>
      </c>
      <c r="E658">
        <v>18.181333333333299</v>
      </c>
      <c r="F658">
        <v>47.87</v>
      </c>
    </row>
    <row r="659" spans="1:6">
      <c r="A659" t="s">
        <v>663</v>
      </c>
      <c r="B659">
        <v>4.9466666666666601</v>
      </c>
      <c r="C659">
        <v>7.8533333333333299</v>
      </c>
      <c r="D659">
        <v>16.163333333333298</v>
      </c>
      <c r="E659">
        <v>18.035333333333298</v>
      </c>
      <c r="F659">
        <v>48.880666666666599</v>
      </c>
    </row>
    <row r="660" spans="1:6">
      <c r="A660" t="s">
        <v>664</v>
      </c>
      <c r="B660">
        <v>4.9466666666666601</v>
      </c>
      <c r="C660">
        <v>7.83</v>
      </c>
      <c r="D660">
        <v>13.8366666666666</v>
      </c>
      <c r="E660">
        <v>17.922333333333299</v>
      </c>
      <c r="F660">
        <v>49.756</v>
      </c>
    </row>
    <row r="661" spans="1:6">
      <c r="A661" t="s">
        <v>665</v>
      </c>
      <c r="B661">
        <v>4.6199999999999903</v>
      </c>
      <c r="C661">
        <v>7.1599999999999904</v>
      </c>
      <c r="D661">
        <v>11.97</v>
      </c>
      <c r="E661">
        <v>18.158333333333299</v>
      </c>
      <c r="F661">
        <v>49.187333333333299</v>
      </c>
    </row>
    <row r="662" spans="1:6">
      <c r="A662" t="s">
        <v>666</v>
      </c>
      <c r="B662">
        <v>4.91</v>
      </c>
      <c r="C662">
        <v>8.2933333333333294</v>
      </c>
      <c r="D662">
        <v>14.713333333333299</v>
      </c>
      <c r="E662">
        <v>18.041999999999899</v>
      </c>
      <c r="F662">
        <v>49.638999999999903</v>
      </c>
    </row>
    <row r="663" spans="1:6">
      <c r="A663" t="s">
        <v>667</v>
      </c>
      <c r="B663">
        <v>5.1666666666666599</v>
      </c>
      <c r="C663">
        <v>8.4066666666666592</v>
      </c>
      <c r="D663">
        <v>16.253333333333298</v>
      </c>
      <c r="E663">
        <v>18.377333333333301</v>
      </c>
      <c r="F663">
        <v>49.560666666666599</v>
      </c>
    </row>
    <row r="664" spans="1:6">
      <c r="A664" t="s">
        <v>668</v>
      </c>
      <c r="B664">
        <v>5.1766666666666596</v>
      </c>
      <c r="C664">
        <v>9.3866666666666596</v>
      </c>
      <c r="D664">
        <v>16.133333333333301</v>
      </c>
      <c r="E664">
        <v>18.347666666666601</v>
      </c>
      <c r="F664">
        <v>49.862333333333297</v>
      </c>
    </row>
    <row r="665" spans="1:6">
      <c r="A665" t="s">
        <v>669</v>
      </c>
      <c r="B665">
        <v>5.54</v>
      </c>
      <c r="C665">
        <v>8.2899999999999991</v>
      </c>
      <c r="D665">
        <v>15.04</v>
      </c>
      <c r="E665">
        <v>18.401</v>
      </c>
      <c r="F665">
        <v>50.330666666666602</v>
      </c>
    </row>
    <row r="666" spans="1:6">
      <c r="A666" t="s">
        <v>670</v>
      </c>
      <c r="B666">
        <v>5.7033333333333296</v>
      </c>
      <c r="C666">
        <v>9.6233333333333295</v>
      </c>
      <c r="D666">
        <v>17.96</v>
      </c>
      <c r="E666">
        <v>17.913999999999898</v>
      </c>
      <c r="F666">
        <v>53.614333333333299</v>
      </c>
    </row>
    <row r="667" spans="1:6">
      <c r="A667" t="s">
        <v>671</v>
      </c>
      <c r="B667">
        <v>5.6366666666666596</v>
      </c>
      <c r="C667">
        <v>9.3000000000000007</v>
      </c>
      <c r="D667">
        <v>17.343333333333302</v>
      </c>
      <c r="E667">
        <v>17.771666666666601</v>
      </c>
      <c r="F667">
        <v>55.230333333333299</v>
      </c>
    </row>
    <row r="668" spans="1:6">
      <c r="A668" t="s">
        <v>672</v>
      </c>
      <c r="B668">
        <v>6.07666666666666</v>
      </c>
      <c r="C668">
        <v>9.77</v>
      </c>
      <c r="D668">
        <v>17.28</v>
      </c>
      <c r="E668">
        <v>17.563333333333301</v>
      </c>
      <c r="F668">
        <v>55.368666666666599</v>
      </c>
    </row>
    <row r="669" spans="1:6">
      <c r="A669" t="s">
        <v>673</v>
      </c>
      <c r="B669">
        <v>6.0733333333333297</v>
      </c>
      <c r="C669">
        <v>9.2466666666666608</v>
      </c>
      <c r="D669">
        <v>16.96</v>
      </c>
      <c r="E669">
        <v>17.283333333333299</v>
      </c>
      <c r="F669">
        <v>56.1799999999999</v>
      </c>
    </row>
    <row r="670" spans="1:6">
      <c r="A670" t="s">
        <v>674</v>
      </c>
      <c r="B670">
        <v>6.1899999999999897</v>
      </c>
      <c r="C670">
        <v>10.476666666666601</v>
      </c>
      <c r="D670">
        <v>22.889999999999901</v>
      </c>
      <c r="E670">
        <v>17.157</v>
      </c>
      <c r="F670">
        <v>57.244999999999898</v>
      </c>
    </row>
    <row r="671" spans="1:6">
      <c r="A671" t="s">
        <v>675</v>
      </c>
      <c r="B671">
        <v>5.36</v>
      </c>
      <c r="C671">
        <v>5.9466666666666601</v>
      </c>
      <c r="D671">
        <v>8.0666666666666593</v>
      </c>
      <c r="E671">
        <v>17.104666666666599</v>
      </c>
      <c r="F671">
        <v>59.183</v>
      </c>
    </row>
    <row r="672" spans="1:6">
      <c r="A672" t="s">
        <v>676</v>
      </c>
      <c r="B672">
        <v>4.9233333333333302</v>
      </c>
      <c r="C672">
        <v>5.4666666666666597</v>
      </c>
      <c r="D672">
        <v>7.4099999999999904</v>
      </c>
      <c r="E672">
        <v>16.940000000000001</v>
      </c>
      <c r="F672">
        <v>59.569666666666599</v>
      </c>
    </row>
    <row r="673" spans="1:6">
      <c r="A673" t="s">
        <v>677</v>
      </c>
      <c r="B673">
        <v>4.9533333333333296</v>
      </c>
      <c r="C673">
        <v>5.4966666666666599</v>
      </c>
      <c r="D673">
        <v>7.4466666666666601</v>
      </c>
      <c r="E673">
        <v>16.893999999999998</v>
      </c>
      <c r="F673">
        <v>59.774999999999999</v>
      </c>
    </row>
    <row r="674" spans="1:6">
      <c r="A674" t="s">
        <v>678</v>
      </c>
      <c r="B674">
        <v>5.39</v>
      </c>
      <c r="C674">
        <v>6.0033333333333303</v>
      </c>
      <c r="D674">
        <v>8.1066666666666602</v>
      </c>
      <c r="E674">
        <v>16.595333333333301</v>
      </c>
      <c r="F674">
        <v>61.402000000000001</v>
      </c>
    </row>
    <row r="675" spans="1:6">
      <c r="A675" t="s">
        <v>679</v>
      </c>
      <c r="B675">
        <v>4.3566666666666602</v>
      </c>
      <c r="C675">
        <v>4.8533333333333299</v>
      </c>
      <c r="D675">
        <v>6.5666666666666602</v>
      </c>
      <c r="E675">
        <v>16.5833333333333</v>
      </c>
      <c r="F675">
        <v>61.963666666666597</v>
      </c>
    </row>
    <row r="676" spans="1:6">
      <c r="A676" t="s">
        <v>680</v>
      </c>
      <c r="B676">
        <v>3.12333333333333</v>
      </c>
      <c r="C676">
        <v>3.48</v>
      </c>
      <c r="D676">
        <v>4.72</v>
      </c>
      <c r="E676">
        <v>16.588999999999999</v>
      </c>
      <c r="F676">
        <v>62.542999999999999</v>
      </c>
    </row>
    <row r="677" spans="1:6">
      <c r="A677" t="s">
        <v>681</v>
      </c>
      <c r="B677">
        <v>2.8</v>
      </c>
      <c r="C677">
        <v>3.11666666666666</v>
      </c>
      <c r="D677">
        <v>4.22</v>
      </c>
      <c r="E677">
        <v>16.7439999999999</v>
      </c>
      <c r="F677">
        <v>62.328000000000003</v>
      </c>
    </row>
    <row r="678" spans="1:6">
      <c r="A678" t="s">
        <v>682</v>
      </c>
      <c r="B678">
        <v>4.0166666666666604</v>
      </c>
      <c r="C678">
        <v>4.4633333333333303</v>
      </c>
      <c r="D678">
        <v>6.0466666666666598</v>
      </c>
      <c r="E678">
        <v>16.6666666666666</v>
      </c>
      <c r="F678">
        <v>62.372</v>
      </c>
    </row>
    <row r="679" spans="1:6">
      <c r="A679" t="s">
        <v>683</v>
      </c>
      <c r="B679">
        <v>4.0133333333333301</v>
      </c>
      <c r="C679">
        <v>4.4666666666666597</v>
      </c>
      <c r="D679">
        <v>6.06</v>
      </c>
      <c r="E679">
        <v>16.695</v>
      </c>
      <c r="F679">
        <v>62.521666666666597</v>
      </c>
    </row>
    <row r="680" spans="1:6">
      <c r="A680" t="s">
        <v>684</v>
      </c>
      <c r="B680">
        <v>3.9099999999999899</v>
      </c>
      <c r="C680">
        <v>4.3466666666666596</v>
      </c>
      <c r="D680">
        <v>5.89333333333333</v>
      </c>
      <c r="E680">
        <v>16.8556666666666</v>
      </c>
      <c r="F680">
        <v>62.811333333333302</v>
      </c>
    </row>
    <row r="681" spans="1:6">
      <c r="A681" t="s">
        <v>685</v>
      </c>
      <c r="B681">
        <v>3.7666666666666599</v>
      </c>
      <c r="C681">
        <v>4.1866666666666603</v>
      </c>
      <c r="D681">
        <v>5.6733333333333302</v>
      </c>
      <c r="E681">
        <v>17.042666666666602</v>
      </c>
      <c r="F681">
        <v>62.471333333333298</v>
      </c>
    </row>
    <row r="682" spans="1:6">
      <c r="A682" t="s">
        <v>686</v>
      </c>
      <c r="B682">
        <v>4.0299999999999896</v>
      </c>
      <c r="C682">
        <v>4.4666666666666597</v>
      </c>
      <c r="D682">
        <v>6.0733333333333297</v>
      </c>
      <c r="E682">
        <v>17.198333333333299</v>
      </c>
      <c r="F682">
        <v>62.442666666666597</v>
      </c>
    </row>
    <row r="683" spans="1:6">
      <c r="A683" t="s">
        <v>687</v>
      </c>
      <c r="B683">
        <v>3.3133333333333299</v>
      </c>
      <c r="C683">
        <v>3.68333333333333</v>
      </c>
      <c r="D683">
        <v>4.9966666666666599</v>
      </c>
      <c r="E683">
        <v>17.0253333333333</v>
      </c>
      <c r="F683">
        <v>63.709333333333298</v>
      </c>
    </row>
    <row r="684" spans="1:6">
      <c r="A684" t="s">
        <v>688</v>
      </c>
      <c r="B684">
        <v>2.5833333333333299</v>
      </c>
      <c r="C684">
        <v>2.86666666666666</v>
      </c>
      <c r="D684">
        <v>3.8999999999999901</v>
      </c>
      <c r="E684">
        <v>17.084333333333301</v>
      </c>
      <c r="F684">
        <v>63.783999999999999</v>
      </c>
    </row>
    <row r="685" spans="1:6">
      <c r="A685" t="s">
        <v>689</v>
      </c>
      <c r="B685">
        <v>2.8</v>
      </c>
      <c r="C685">
        <v>3.11666666666666</v>
      </c>
      <c r="D685">
        <v>4.2266666666666604</v>
      </c>
      <c r="E685">
        <v>17.399999999999999</v>
      </c>
      <c r="F685">
        <v>63.298000000000002</v>
      </c>
    </row>
    <row r="686" spans="1:6">
      <c r="A686" t="s">
        <v>690</v>
      </c>
      <c r="B686">
        <v>3.9833333333333298</v>
      </c>
      <c r="C686">
        <v>4.43</v>
      </c>
      <c r="D686">
        <v>6.0166666666666604</v>
      </c>
      <c r="E686">
        <v>17.389333333333301</v>
      </c>
      <c r="F686">
        <v>64.056333333333299</v>
      </c>
    </row>
    <row r="687" spans="1:6">
      <c r="A687" t="s">
        <v>691</v>
      </c>
      <c r="B687">
        <v>6.47</v>
      </c>
      <c r="C687">
        <v>7.18</v>
      </c>
      <c r="D687">
        <v>9.7200000000000006</v>
      </c>
      <c r="E687">
        <v>17.764333333333301</v>
      </c>
      <c r="F687">
        <v>62.768666666666597</v>
      </c>
    </row>
    <row r="688" spans="1:6">
      <c r="A688" t="s">
        <v>692</v>
      </c>
      <c r="B688">
        <v>5.3366666666666598</v>
      </c>
      <c r="C688">
        <v>5.9366666666666603</v>
      </c>
      <c r="D688">
        <v>8.0399999999999991</v>
      </c>
      <c r="E688">
        <v>17.8073333333333</v>
      </c>
      <c r="F688">
        <v>62.785333333333298</v>
      </c>
    </row>
    <row r="689" spans="1:6">
      <c r="A689" t="s">
        <v>693</v>
      </c>
      <c r="B689">
        <v>9.3166666666666593</v>
      </c>
      <c r="C689">
        <v>10.3533333333333</v>
      </c>
      <c r="D689">
        <v>14.0066666666666</v>
      </c>
      <c r="E689">
        <v>17.983000000000001</v>
      </c>
      <c r="F689">
        <v>60.610666666666603</v>
      </c>
    </row>
    <row r="690" spans="1:6">
      <c r="A690" t="s">
        <v>694</v>
      </c>
      <c r="B690">
        <v>9.3099999999999898</v>
      </c>
      <c r="C690">
        <v>10.3433333333333</v>
      </c>
      <c r="D690">
        <v>13.9966666666666</v>
      </c>
      <c r="E690">
        <v>18.214666666666599</v>
      </c>
      <c r="F690">
        <v>59.988666666666603</v>
      </c>
    </row>
    <row r="691" spans="1:6">
      <c r="A691" t="s">
        <v>695</v>
      </c>
      <c r="B691">
        <v>8.5566666666666595</v>
      </c>
      <c r="C691">
        <v>9.5266666666666602</v>
      </c>
      <c r="D691">
        <v>12.95</v>
      </c>
      <c r="E691">
        <v>18.082333333333299</v>
      </c>
      <c r="F691">
        <v>59.292333333333303</v>
      </c>
    </row>
    <row r="692" spans="1:6">
      <c r="A692" t="s">
        <v>696</v>
      </c>
      <c r="B692">
        <v>7.4866666666666601</v>
      </c>
      <c r="C692">
        <v>11.1299999999999</v>
      </c>
      <c r="D692">
        <v>22.003333333333298</v>
      </c>
      <c r="E692">
        <v>18.257666666666601</v>
      </c>
      <c r="F692">
        <v>57.628333333333302</v>
      </c>
    </row>
    <row r="693" spans="1:6">
      <c r="A693" t="s">
        <v>697</v>
      </c>
      <c r="B693">
        <v>8.4966666666666608</v>
      </c>
      <c r="C693">
        <v>9.68</v>
      </c>
      <c r="D693">
        <v>13.84</v>
      </c>
      <c r="E693">
        <v>18.2566666666666</v>
      </c>
      <c r="F693">
        <v>57.8363333333333</v>
      </c>
    </row>
    <row r="694" spans="1:6">
      <c r="A694" t="s">
        <v>698</v>
      </c>
      <c r="B694">
        <v>8.1466666666666594</v>
      </c>
      <c r="C694">
        <v>12.2099999999999</v>
      </c>
      <c r="D694">
        <v>24.4</v>
      </c>
      <c r="E694">
        <v>18.307666666666599</v>
      </c>
      <c r="F694">
        <v>57.400666666666602</v>
      </c>
    </row>
    <row r="695" spans="1:6">
      <c r="A695" t="s">
        <v>699</v>
      </c>
      <c r="B695">
        <v>8.4599999999999902</v>
      </c>
      <c r="C695">
        <v>9.93</v>
      </c>
      <c r="D695">
        <v>14.643333333333301</v>
      </c>
      <c r="E695">
        <v>18.4263333333333</v>
      </c>
      <c r="F695">
        <v>57.418666666666603</v>
      </c>
    </row>
    <row r="696" spans="1:6">
      <c r="A696" t="s">
        <v>700</v>
      </c>
      <c r="B696">
        <v>9.1</v>
      </c>
      <c r="C696">
        <v>14.5266666666666</v>
      </c>
      <c r="D696">
        <v>28.61</v>
      </c>
      <c r="E696">
        <v>18.375999999999902</v>
      </c>
      <c r="F696">
        <v>57.1963333333333</v>
      </c>
    </row>
    <row r="697" spans="1:6">
      <c r="A697" t="s">
        <v>701</v>
      </c>
      <c r="B697">
        <v>9.4499999999999993</v>
      </c>
      <c r="C697">
        <v>15.236666666666601</v>
      </c>
      <c r="D697">
        <v>31.003333333333298</v>
      </c>
      <c r="E697">
        <v>18.268666666666601</v>
      </c>
      <c r="F697">
        <v>57.1829999999999</v>
      </c>
    </row>
    <row r="698" spans="1:6">
      <c r="A698" t="s">
        <v>702</v>
      </c>
      <c r="B698">
        <v>10.1133333333333</v>
      </c>
      <c r="C698">
        <v>16.873333333333299</v>
      </c>
      <c r="D698">
        <v>36.466666666666598</v>
      </c>
      <c r="E698">
        <v>18.154999999999902</v>
      </c>
      <c r="F698">
        <v>57.354333333333301</v>
      </c>
    </row>
    <row r="699" spans="1:6">
      <c r="A699" t="s">
        <v>703</v>
      </c>
      <c r="B699">
        <v>11.8266666666666</v>
      </c>
      <c r="C699">
        <v>16.3333333333333</v>
      </c>
      <c r="D699">
        <v>27.523333333333301</v>
      </c>
      <c r="E699">
        <v>17.954999999999998</v>
      </c>
      <c r="F699">
        <v>58.744666666666603</v>
      </c>
    </row>
    <row r="700" spans="1:6">
      <c r="A700" t="s">
        <v>704</v>
      </c>
      <c r="B700">
        <v>12.1833333333333</v>
      </c>
      <c r="C700">
        <v>14.98</v>
      </c>
      <c r="D700">
        <v>23.8266666666666</v>
      </c>
      <c r="E700">
        <v>18.068666666666601</v>
      </c>
      <c r="F700">
        <v>59.165999999999997</v>
      </c>
    </row>
    <row r="701" spans="1:6">
      <c r="A701" t="s">
        <v>705</v>
      </c>
      <c r="B701">
        <v>12.45</v>
      </c>
      <c r="C701">
        <v>13.8233333333333</v>
      </c>
      <c r="D701">
        <v>18.689999999999898</v>
      </c>
      <c r="E701">
        <v>18.0133333333333</v>
      </c>
      <c r="F701">
        <v>60.225333333333303</v>
      </c>
    </row>
    <row r="702" spans="1:6">
      <c r="A702" t="s">
        <v>706</v>
      </c>
      <c r="B702">
        <v>12.056666666666599</v>
      </c>
      <c r="C702">
        <v>13.393333333333301</v>
      </c>
      <c r="D702">
        <v>18.113333333333301</v>
      </c>
      <c r="E702">
        <v>17.906666666666599</v>
      </c>
      <c r="F702">
        <v>61.4806666666666</v>
      </c>
    </row>
    <row r="703" spans="1:6">
      <c r="A703" t="s">
        <v>707</v>
      </c>
      <c r="B703">
        <v>12.4266666666666</v>
      </c>
      <c r="C703">
        <v>13.793333333333299</v>
      </c>
      <c r="D703">
        <v>18.6666666666666</v>
      </c>
      <c r="E703">
        <v>17.848333333333301</v>
      </c>
      <c r="F703">
        <v>62.853999999999999</v>
      </c>
    </row>
    <row r="704" spans="1:6">
      <c r="A704" t="s">
        <v>708</v>
      </c>
      <c r="B704">
        <v>7.2166666666666597</v>
      </c>
      <c r="C704">
        <v>8.0033333333333303</v>
      </c>
      <c r="D704">
        <v>10.8466666666666</v>
      </c>
      <c r="E704">
        <v>17.521333333333299</v>
      </c>
      <c r="F704">
        <v>64.989666666666594</v>
      </c>
    </row>
    <row r="705" spans="1:6">
      <c r="A705" t="s">
        <v>709</v>
      </c>
      <c r="B705">
        <v>12.213333333333299</v>
      </c>
      <c r="C705">
        <v>13.566666666666601</v>
      </c>
      <c r="D705">
        <v>18.336666666666599</v>
      </c>
      <c r="E705">
        <v>17.774666666666601</v>
      </c>
      <c r="F705">
        <v>64.282999999999902</v>
      </c>
    </row>
    <row r="706" spans="1:6">
      <c r="A706" t="s">
        <v>710</v>
      </c>
      <c r="B706">
        <v>13.2433333333333</v>
      </c>
      <c r="C706">
        <v>14.706666666666599</v>
      </c>
      <c r="D706">
        <v>19.899999999999899</v>
      </c>
      <c r="E706">
        <v>18.097666666666601</v>
      </c>
      <c r="F706">
        <v>63.322000000000003</v>
      </c>
    </row>
    <row r="707" spans="1:6">
      <c r="A707" t="s">
        <v>711</v>
      </c>
      <c r="B707">
        <v>13.85</v>
      </c>
      <c r="C707">
        <v>15.386666666666599</v>
      </c>
      <c r="D707">
        <v>20.806666666666601</v>
      </c>
      <c r="E707">
        <v>18.316333333333301</v>
      </c>
      <c r="F707">
        <v>63.155666666666598</v>
      </c>
    </row>
    <row r="708" spans="1:6">
      <c r="A708" t="s">
        <v>712</v>
      </c>
      <c r="B708">
        <v>12.3599999999999</v>
      </c>
      <c r="C708">
        <v>13.706666666666599</v>
      </c>
      <c r="D708">
        <v>18.556666666666601</v>
      </c>
      <c r="E708">
        <v>18.241</v>
      </c>
      <c r="F708">
        <v>60.680999999999997</v>
      </c>
    </row>
    <row r="709" spans="1:6">
      <c r="A709" t="s">
        <v>713</v>
      </c>
      <c r="B709">
        <v>10.223333333333301</v>
      </c>
      <c r="C709">
        <v>11.3566666666666</v>
      </c>
      <c r="D709">
        <v>15.37</v>
      </c>
      <c r="E709">
        <v>17.909666666666599</v>
      </c>
      <c r="F709">
        <v>58.814999999999998</v>
      </c>
    </row>
    <row r="710" spans="1:6">
      <c r="A710" t="s">
        <v>714</v>
      </c>
      <c r="B710">
        <v>10.51</v>
      </c>
      <c r="C710">
        <v>11.6766666666666</v>
      </c>
      <c r="D710">
        <v>15.793333333333299</v>
      </c>
      <c r="E710">
        <v>17.806333333333299</v>
      </c>
      <c r="F710">
        <v>57.917333333333303</v>
      </c>
    </row>
    <row r="711" spans="1:6">
      <c r="A711" t="s">
        <v>715</v>
      </c>
      <c r="B711">
        <v>10.7633333333333</v>
      </c>
      <c r="C711">
        <v>15.906666666666601</v>
      </c>
      <c r="D711">
        <v>25.49</v>
      </c>
      <c r="E711">
        <v>17.725999999999999</v>
      </c>
      <c r="F711">
        <v>58.511999999999901</v>
      </c>
    </row>
    <row r="712" spans="1:6">
      <c r="A712" t="s">
        <v>716</v>
      </c>
      <c r="B712">
        <v>11.2433333333333</v>
      </c>
      <c r="C712">
        <v>14.39</v>
      </c>
      <c r="D712">
        <v>24.31</v>
      </c>
      <c r="E712">
        <v>17.593999999999902</v>
      </c>
      <c r="F712">
        <v>57.975666666666598</v>
      </c>
    </row>
    <row r="713" spans="1:6">
      <c r="A713" t="s">
        <v>717</v>
      </c>
      <c r="B713">
        <v>10.973333333333301</v>
      </c>
      <c r="C713">
        <v>13.0033333333333</v>
      </c>
      <c r="D713">
        <v>20.316666666666599</v>
      </c>
      <c r="E713">
        <v>17.9196666666666</v>
      </c>
      <c r="F713">
        <v>57.302333333333301</v>
      </c>
    </row>
    <row r="714" spans="1:6">
      <c r="A714" t="s">
        <v>718</v>
      </c>
      <c r="B714">
        <v>10.3633333333333</v>
      </c>
      <c r="C714">
        <v>18.586666666666599</v>
      </c>
      <c r="D714">
        <v>34.576666666666597</v>
      </c>
      <c r="E714">
        <v>17.876666666666601</v>
      </c>
      <c r="F714">
        <v>56.197333333333297</v>
      </c>
    </row>
    <row r="715" spans="1:6">
      <c r="A715" t="s">
        <v>719</v>
      </c>
      <c r="B715">
        <v>6.6666666666666696</v>
      </c>
      <c r="C715">
        <v>12.386666666666599</v>
      </c>
      <c r="D715">
        <v>20.283333333333299</v>
      </c>
      <c r="E715">
        <v>17.632666666666601</v>
      </c>
      <c r="F715">
        <v>54.2886666666666</v>
      </c>
    </row>
    <row r="716" spans="1:6">
      <c r="A716" t="s">
        <v>720</v>
      </c>
      <c r="B716">
        <v>5.2166666666666597</v>
      </c>
      <c r="C716">
        <v>8.9733333333333292</v>
      </c>
      <c r="D716">
        <v>16.643333333333299</v>
      </c>
      <c r="E716">
        <v>17.266999999999999</v>
      </c>
      <c r="F716">
        <v>54.8393333333333</v>
      </c>
    </row>
    <row r="717" spans="1:6">
      <c r="A717" t="s">
        <v>721</v>
      </c>
      <c r="B717">
        <v>6.5266666666666602</v>
      </c>
      <c r="C717">
        <v>11.4233333333333</v>
      </c>
      <c r="D717">
        <v>21.92</v>
      </c>
      <c r="E717">
        <v>16.937999999999999</v>
      </c>
      <c r="F717">
        <v>55.252666666666599</v>
      </c>
    </row>
    <row r="718" spans="1:6">
      <c r="A718" t="s">
        <v>722</v>
      </c>
      <c r="B718">
        <v>1.9666666666666599</v>
      </c>
      <c r="C718">
        <v>3.0433333333333299</v>
      </c>
      <c r="D718">
        <v>5.5266666666666602</v>
      </c>
      <c r="E718">
        <v>16.858333333333299</v>
      </c>
      <c r="F718">
        <v>50.037333333333301</v>
      </c>
    </row>
    <row r="719" spans="1:6">
      <c r="A719" t="s">
        <v>723</v>
      </c>
      <c r="B719">
        <v>0.73333333333333295</v>
      </c>
      <c r="C719">
        <v>1.2233333333333301</v>
      </c>
      <c r="D719">
        <v>2.45333333333333</v>
      </c>
      <c r="E719">
        <v>16.605333333333299</v>
      </c>
      <c r="F719">
        <v>49.354333333333301</v>
      </c>
    </row>
    <row r="720" spans="1:6">
      <c r="A720" t="s">
        <v>724</v>
      </c>
      <c r="B720">
        <v>0.73333333333333295</v>
      </c>
      <c r="C720">
        <v>1.06666666666666</v>
      </c>
      <c r="D720">
        <v>2.3399999999999901</v>
      </c>
      <c r="E720">
        <v>16.194666666666599</v>
      </c>
      <c r="F720">
        <v>49.938000000000002</v>
      </c>
    </row>
    <row r="721" spans="1:6">
      <c r="A721" t="s">
        <v>725</v>
      </c>
      <c r="B721">
        <v>0.51</v>
      </c>
      <c r="C721">
        <v>0.69333333333333302</v>
      </c>
      <c r="D721">
        <v>0.92333333333333301</v>
      </c>
      <c r="E721">
        <v>15.8983333333333</v>
      </c>
      <c r="F721">
        <v>50.853666666666598</v>
      </c>
    </row>
    <row r="722" spans="1:6">
      <c r="A722" t="s">
        <v>726</v>
      </c>
      <c r="B722">
        <v>0.64333333333333298</v>
      </c>
      <c r="C722">
        <v>0.8</v>
      </c>
      <c r="D722">
        <v>1.79666666666666</v>
      </c>
      <c r="E722">
        <v>15.328999999999899</v>
      </c>
      <c r="F722">
        <v>52.946999999999903</v>
      </c>
    </row>
    <row r="723" spans="1:6">
      <c r="A723" t="s">
        <v>727</v>
      </c>
      <c r="B723">
        <v>0.63666666666666605</v>
      </c>
      <c r="C723">
        <v>1.1299999999999999</v>
      </c>
      <c r="D723">
        <v>1.7333333333333301</v>
      </c>
      <c r="E723">
        <v>14.9969999999999</v>
      </c>
      <c r="F723">
        <v>52.997</v>
      </c>
    </row>
    <row r="724" spans="1:6">
      <c r="A724" t="s">
        <v>728</v>
      </c>
      <c r="B724">
        <v>0.56666666666666599</v>
      </c>
      <c r="C724">
        <v>1.0033333333333301</v>
      </c>
      <c r="D724">
        <v>1.62</v>
      </c>
      <c r="E724">
        <v>14.759</v>
      </c>
      <c r="F724">
        <v>53.2916666666666</v>
      </c>
    </row>
    <row r="725" spans="1:6">
      <c r="A725" t="s">
        <v>729</v>
      </c>
      <c r="B725">
        <v>0.49666666666666598</v>
      </c>
      <c r="C725">
        <v>1.0899999999999901</v>
      </c>
      <c r="D725">
        <v>1.2933333333333299</v>
      </c>
      <c r="E725">
        <v>14.4643333333333</v>
      </c>
      <c r="F725">
        <v>53.73</v>
      </c>
    </row>
    <row r="726" spans="1:6">
      <c r="A726" t="s">
        <v>730</v>
      </c>
      <c r="B726">
        <v>0.78666666666666596</v>
      </c>
      <c r="C726">
        <v>1.14333333333333</v>
      </c>
      <c r="D726">
        <v>1.2366666666666599</v>
      </c>
      <c r="E726">
        <v>14.2609999999999</v>
      </c>
      <c r="F726">
        <v>54.374999999999901</v>
      </c>
    </row>
    <row r="727" spans="1:6">
      <c r="A727" t="s">
        <v>731</v>
      </c>
      <c r="B727">
        <v>0.88333333333333297</v>
      </c>
      <c r="C727">
        <v>1.5066666666666599</v>
      </c>
      <c r="D727">
        <v>2.7899999999999898</v>
      </c>
      <c r="E727">
        <v>14.17</v>
      </c>
      <c r="F727">
        <v>54.970333333333301</v>
      </c>
    </row>
    <row r="728" spans="1:6">
      <c r="A728" t="s">
        <v>732</v>
      </c>
      <c r="B728">
        <v>0.81333333333333202</v>
      </c>
      <c r="C728">
        <v>1.4</v>
      </c>
      <c r="D728">
        <v>2.0433333333333299</v>
      </c>
      <c r="E728">
        <v>14.0423333333333</v>
      </c>
      <c r="F728">
        <v>55.085999999999899</v>
      </c>
    </row>
    <row r="729" spans="1:6">
      <c r="A729" t="s">
        <v>733</v>
      </c>
      <c r="B729">
        <v>1.0833333333333299</v>
      </c>
      <c r="C729">
        <v>1.4199999999999899</v>
      </c>
      <c r="D729">
        <v>1.88333333333333</v>
      </c>
      <c r="E729">
        <v>13.8029999999999</v>
      </c>
      <c r="F729">
        <v>55.330666666666602</v>
      </c>
    </row>
    <row r="730" spans="1:6">
      <c r="A730" t="s">
        <v>734</v>
      </c>
      <c r="B730">
        <v>1.1666666666666601</v>
      </c>
      <c r="C730">
        <v>1.7233333333333301</v>
      </c>
      <c r="D730">
        <v>1.8866666666666601</v>
      </c>
      <c r="E730">
        <v>13.640333333333301</v>
      </c>
      <c r="F730">
        <v>55.222000000000001</v>
      </c>
    </row>
    <row r="731" spans="1:6">
      <c r="A731" t="s">
        <v>735</v>
      </c>
      <c r="B731">
        <v>1.43333333333333</v>
      </c>
      <c r="C731">
        <v>1.86666666666666</v>
      </c>
      <c r="D731">
        <v>2.44999999999999</v>
      </c>
      <c r="E731">
        <v>13.284000000000001</v>
      </c>
      <c r="F731">
        <v>56.052666666666603</v>
      </c>
    </row>
    <row r="732" spans="1:6">
      <c r="A732" t="s">
        <v>736</v>
      </c>
      <c r="B732">
        <v>1.70333333333333</v>
      </c>
      <c r="C732">
        <v>2.09666666666666</v>
      </c>
      <c r="D732">
        <v>2.9766666666666599</v>
      </c>
      <c r="E732">
        <v>12.974</v>
      </c>
      <c r="F732">
        <v>56.826999999999998</v>
      </c>
    </row>
    <row r="733" spans="1:6">
      <c r="A733" t="s">
        <v>737</v>
      </c>
      <c r="B733">
        <v>1.57</v>
      </c>
      <c r="C733">
        <v>2.4233333333333298</v>
      </c>
      <c r="D733">
        <v>2.5066666666666602</v>
      </c>
      <c r="E733">
        <v>12.809333333333299</v>
      </c>
      <c r="F733">
        <v>57.08</v>
      </c>
    </row>
    <row r="734" spans="1:6">
      <c r="A734" t="s">
        <v>738</v>
      </c>
      <c r="B734">
        <v>2.2766666666666602</v>
      </c>
      <c r="C734">
        <v>2.5499999999999998</v>
      </c>
      <c r="D734">
        <v>3.4566666666666599</v>
      </c>
      <c r="E734">
        <v>12.861000000000001</v>
      </c>
      <c r="F734">
        <v>57.171333333333301</v>
      </c>
    </row>
    <row r="735" spans="1:6">
      <c r="A735" t="s">
        <v>739</v>
      </c>
      <c r="B735">
        <v>2.5266666666666602</v>
      </c>
      <c r="C735">
        <v>2.8366666666666598</v>
      </c>
      <c r="D735">
        <v>4.5266666666666602</v>
      </c>
      <c r="E735">
        <v>12.9813333333333</v>
      </c>
      <c r="F735">
        <v>57.002000000000002</v>
      </c>
    </row>
    <row r="736" spans="1:6">
      <c r="A736" t="s">
        <v>740</v>
      </c>
      <c r="B736">
        <v>2.6266666666666598</v>
      </c>
      <c r="C736">
        <v>3.0333333333333301</v>
      </c>
      <c r="D736">
        <v>4.3966666666666603</v>
      </c>
      <c r="E736">
        <v>13.181999999999899</v>
      </c>
      <c r="F736">
        <v>56.7706666666666</v>
      </c>
    </row>
    <row r="737" spans="1:6">
      <c r="A737" t="s">
        <v>741</v>
      </c>
      <c r="B737">
        <v>2.88</v>
      </c>
      <c r="C737">
        <v>3.7766666666666602</v>
      </c>
      <c r="D737">
        <v>5.3633333333333297</v>
      </c>
      <c r="E737">
        <v>13.418333333333299</v>
      </c>
      <c r="F737">
        <v>56.426000000000002</v>
      </c>
    </row>
    <row r="738" spans="1:6">
      <c r="A738" t="s">
        <v>742</v>
      </c>
      <c r="B738">
        <v>3.1666666666666599</v>
      </c>
      <c r="C738">
        <v>4.14333333333333</v>
      </c>
      <c r="D738">
        <v>5.1399999999999899</v>
      </c>
      <c r="E738">
        <v>13.8526666666666</v>
      </c>
      <c r="F738">
        <v>56.117333333333299</v>
      </c>
    </row>
    <row r="739" spans="1:6">
      <c r="A739" t="s">
        <v>743</v>
      </c>
      <c r="B739">
        <v>1.9833333333333301</v>
      </c>
      <c r="C739">
        <v>3.27999999999999</v>
      </c>
      <c r="D739">
        <v>4.7</v>
      </c>
      <c r="E739">
        <v>15.1533333333333</v>
      </c>
      <c r="F739">
        <v>53.670666666666598</v>
      </c>
    </row>
    <row r="740" spans="1:6">
      <c r="A740" t="s">
        <v>744</v>
      </c>
      <c r="B740">
        <v>1.7166666666666599</v>
      </c>
      <c r="C740">
        <v>2.6533333333333302</v>
      </c>
      <c r="D740">
        <v>3.69</v>
      </c>
      <c r="E740">
        <v>16.123999999999999</v>
      </c>
      <c r="F740">
        <v>51.892666666666599</v>
      </c>
    </row>
    <row r="741" spans="1:6">
      <c r="A741" t="s">
        <v>745</v>
      </c>
      <c r="B741">
        <v>1.78666666666666</v>
      </c>
      <c r="C741">
        <v>2.3866666666666601</v>
      </c>
      <c r="D741">
        <v>4.5933333333333302</v>
      </c>
      <c r="E741">
        <v>16.834999999999901</v>
      </c>
      <c r="F741">
        <v>50.280999999999999</v>
      </c>
    </row>
    <row r="742" spans="1:6">
      <c r="A742" t="s">
        <v>746</v>
      </c>
      <c r="B742">
        <v>1.7166666666666599</v>
      </c>
      <c r="C742">
        <v>2.6133333333333302</v>
      </c>
      <c r="D742">
        <v>3.6899999999999902</v>
      </c>
      <c r="E742">
        <v>17.377333333333301</v>
      </c>
      <c r="F742">
        <v>49.705666666666602</v>
      </c>
    </row>
    <row r="743" spans="1:6">
      <c r="A743" t="s">
        <v>747</v>
      </c>
      <c r="B743">
        <v>2.4866666666666601</v>
      </c>
      <c r="C743">
        <v>3.6566666666666601</v>
      </c>
      <c r="D743">
        <v>4.8566666666666602</v>
      </c>
      <c r="E743">
        <v>17.6033333333333</v>
      </c>
      <c r="F743">
        <v>49.141666666666602</v>
      </c>
    </row>
    <row r="744" spans="1:6">
      <c r="A744" t="s">
        <v>748</v>
      </c>
      <c r="B744">
        <v>2.3199999999999998</v>
      </c>
      <c r="C744">
        <v>3.49</v>
      </c>
      <c r="D744">
        <v>6.2333333333333298</v>
      </c>
      <c r="E744">
        <v>18.065000000000001</v>
      </c>
      <c r="F744">
        <v>48.425333333333299</v>
      </c>
    </row>
    <row r="745" spans="1:6">
      <c r="A745" t="s">
        <v>749</v>
      </c>
      <c r="B745">
        <v>2.6133333333333302</v>
      </c>
      <c r="C745">
        <v>3.53666666666666</v>
      </c>
      <c r="D745">
        <v>5.57666666666666</v>
      </c>
      <c r="E745">
        <v>19.096</v>
      </c>
      <c r="F745">
        <v>47.353000000000002</v>
      </c>
    </row>
    <row r="746" spans="1:6">
      <c r="A746" t="s">
        <v>750</v>
      </c>
      <c r="B746">
        <v>3.3333333333333299</v>
      </c>
      <c r="C746">
        <v>4.96999999999999</v>
      </c>
      <c r="D746">
        <v>9.6233333333333295</v>
      </c>
      <c r="E746">
        <v>19.902000000000001</v>
      </c>
      <c r="F746">
        <v>46.066333333333297</v>
      </c>
    </row>
    <row r="747" spans="1:6">
      <c r="A747" t="s">
        <v>751</v>
      </c>
      <c r="B747">
        <v>3.6033333333333299</v>
      </c>
      <c r="C747">
        <v>5.9999999999999902</v>
      </c>
      <c r="D747">
        <v>11.08</v>
      </c>
      <c r="E747">
        <v>19.835666666666601</v>
      </c>
      <c r="F747">
        <v>46.343333333333298</v>
      </c>
    </row>
    <row r="748" spans="1:6">
      <c r="A748" t="s">
        <v>752</v>
      </c>
      <c r="B748">
        <v>4.2366666666666601</v>
      </c>
      <c r="C748">
        <v>5.83</v>
      </c>
      <c r="D748">
        <v>12.37</v>
      </c>
      <c r="E748">
        <v>20.225999999999999</v>
      </c>
      <c r="F748">
        <v>46.0773333333333</v>
      </c>
    </row>
    <row r="749" spans="1:6">
      <c r="A749" t="s">
        <v>753</v>
      </c>
      <c r="B749">
        <v>4.36666666666666</v>
      </c>
      <c r="C749">
        <v>6.2733333333333299</v>
      </c>
      <c r="D749">
        <v>11.79</v>
      </c>
      <c r="E749">
        <v>20.845666666666599</v>
      </c>
      <c r="F749">
        <v>44.6636666666666</v>
      </c>
    </row>
    <row r="750" spans="1:6">
      <c r="A750" t="s">
        <v>754</v>
      </c>
      <c r="B750">
        <v>3.2433333333333301</v>
      </c>
      <c r="C750">
        <v>6.11</v>
      </c>
      <c r="D750">
        <v>9.16</v>
      </c>
      <c r="E750">
        <v>21.158999999999999</v>
      </c>
      <c r="F750">
        <v>43.383000000000003</v>
      </c>
    </row>
    <row r="751" spans="1:6">
      <c r="A751" t="s">
        <v>755</v>
      </c>
      <c r="B751">
        <v>2.56</v>
      </c>
      <c r="C751">
        <v>3.68333333333333</v>
      </c>
      <c r="D751">
        <v>8.1233333333333295</v>
      </c>
      <c r="E751">
        <v>21.275666666666599</v>
      </c>
      <c r="F751">
        <v>41.7946666666666</v>
      </c>
    </row>
    <row r="752" spans="1:6">
      <c r="A752" t="s">
        <v>756</v>
      </c>
      <c r="B752">
        <v>2.4866666666666601</v>
      </c>
      <c r="C752">
        <v>3.7966666666666602</v>
      </c>
      <c r="D752">
        <v>9.8966666666666594</v>
      </c>
      <c r="E752">
        <v>22.423666666666598</v>
      </c>
      <c r="F752">
        <v>39.911999999999999</v>
      </c>
    </row>
    <row r="753" spans="1:6">
      <c r="A753" t="s">
        <v>757</v>
      </c>
      <c r="B753">
        <v>2.86666666666666</v>
      </c>
      <c r="C753">
        <v>4.3866666666666596</v>
      </c>
      <c r="D753">
        <v>9.9666666666666597</v>
      </c>
      <c r="E753">
        <v>24.580666666666598</v>
      </c>
      <c r="F753">
        <v>34.967999999999897</v>
      </c>
    </row>
    <row r="754" spans="1:6">
      <c r="A754" t="s">
        <v>758</v>
      </c>
      <c r="B754">
        <v>2.38</v>
      </c>
      <c r="C754">
        <v>3.5833333333333299</v>
      </c>
      <c r="D754">
        <v>6.1566666666666601</v>
      </c>
      <c r="E754">
        <v>28.354333333333301</v>
      </c>
      <c r="F754">
        <v>28.9746666666666</v>
      </c>
    </row>
    <row r="755" spans="1:6">
      <c r="A755" t="s">
        <v>759</v>
      </c>
      <c r="B755">
        <v>2.2599999999999998</v>
      </c>
      <c r="C755">
        <v>3.5599999999999898</v>
      </c>
      <c r="D755">
        <v>6.0633333333333299</v>
      </c>
      <c r="E755">
        <v>26.1666666666666</v>
      </c>
      <c r="F755">
        <v>31.495999999999899</v>
      </c>
    </row>
    <row r="756" spans="1:6">
      <c r="A756" t="s">
        <v>760</v>
      </c>
      <c r="B756">
        <v>2.7166666666666601</v>
      </c>
      <c r="C756">
        <v>4.0733333333333297</v>
      </c>
      <c r="D756">
        <v>7.1799999999999899</v>
      </c>
      <c r="E756">
        <v>31.231999999999999</v>
      </c>
      <c r="F756">
        <v>24.522666666666598</v>
      </c>
    </row>
    <row r="757" spans="1:6">
      <c r="A757" t="s">
        <v>761</v>
      </c>
      <c r="B757">
        <v>2.2599999999999998</v>
      </c>
      <c r="C757">
        <v>3.2433333333333301</v>
      </c>
      <c r="D757">
        <v>4.7966666666666598</v>
      </c>
      <c r="E757">
        <v>32.253666666666597</v>
      </c>
      <c r="F757">
        <v>23.1419999999999</v>
      </c>
    </row>
    <row r="758" spans="1:6">
      <c r="A758" t="s">
        <v>762</v>
      </c>
      <c r="B758">
        <v>2.4066666666666601</v>
      </c>
      <c r="C758">
        <v>3.75</v>
      </c>
      <c r="D758">
        <v>5.9466666666666601</v>
      </c>
      <c r="E758">
        <v>32.700666666666599</v>
      </c>
      <c r="F758">
        <v>22.5006666666666</v>
      </c>
    </row>
    <row r="759" spans="1:6">
      <c r="A759" t="s">
        <v>763</v>
      </c>
      <c r="B759">
        <v>1.72999999999999</v>
      </c>
      <c r="C759">
        <v>2.9266666666666601</v>
      </c>
      <c r="D759">
        <v>3.5499999999999901</v>
      </c>
      <c r="E759">
        <v>30.513666666666602</v>
      </c>
      <c r="F759">
        <v>25.329666666666601</v>
      </c>
    </row>
    <row r="760" spans="1:6">
      <c r="A760" t="s">
        <v>764</v>
      </c>
      <c r="B760">
        <v>1.84</v>
      </c>
      <c r="C760">
        <v>2.8433333333333302</v>
      </c>
      <c r="D760">
        <v>5.5433333333333303</v>
      </c>
      <c r="E760">
        <v>31.422666666666601</v>
      </c>
      <c r="F760">
        <v>23.479333333333301</v>
      </c>
    </row>
    <row r="761" spans="1:6">
      <c r="A761" t="s">
        <v>765</v>
      </c>
      <c r="B761">
        <v>1.73</v>
      </c>
      <c r="C761">
        <v>2.2599999999999998</v>
      </c>
      <c r="D761">
        <v>4.6999999999999904</v>
      </c>
      <c r="E761">
        <v>32.253666666666597</v>
      </c>
      <c r="F761">
        <v>23.168666666666599</v>
      </c>
    </row>
    <row r="762" spans="1:6">
      <c r="A762" t="s">
        <v>766</v>
      </c>
      <c r="B762">
        <v>1.81666666666666</v>
      </c>
      <c r="C762">
        <v>2.5666666666666602</v>
      </c>
      <c r="D762">
        <v>4.6299999999999901</v>
      </c>
      <c r="E762">
        <v>31.198999999999899</v>
      </c>
      <c r="F762">
        <v>23.867000000000001</v>
      </c>
    </row>
    <row r="763" spans="1:6">
      <c r="A763" t="s">
        <v>767</v>
      </c>
      <c r="B763">
        <v>2.1800000000000002</v>
      </c>
      <c r="C763">
        <v>2.9266666666666601</v>
      </c>
      <c r="D763">
        <v>5.0333333333333297</v>
      </c>
      <c r="E763">
        <v>29.314333333333298</v>
      </c>
      <c r="F763">
        <v>25.681333333333299</v>
      </c>
    </row>
    <row r="764" spans="1:6">
      <c r="A764" t="s">
        <v>768</v>
      </c>
      <c r="B764">
        <v>1.88</v>
      </c>
      <c r="C764">
        <v>2.2733333333333299</v>
      </c>
      <c r="D764">
        <v>4.6366666666666596</v>
      </c>
      <c r="E764">
        <v>24.325666666666599</v>
      </c>
      <c r="F764">
        <v>32.101999999999997</v>
      </c>
    </row>
    <row r="765" spans="1:6">
      <c r="A765" t="s">
        <v>769</v>
      </c>
      <c r="B765">
        <v>2.2733333333333299</v>
      </c>
      <c r="C765">
        <v>3.28666666666666</v>
      </c>
      <c r="D765">
        <v>7.54</v>
      </c>
      <c r="E765">
        <v>22.171333333333301</v>
      </c>
      <c r="F765">
        <v>36.515999999999998</v>
      </c>
    </row>
    <row r="766" spans="1:6">
      <c r="A766" t="s">
        <v>770</v>
      </c>
      <c r="B766">
        <v>3.03666666666666</v>
      </c>
      <c r="C766">
        <v>4.37</v>
      </c>
      <c r="D766">
        <v>8.6233333333333295</v>
      </c>
      <c r="E766">
        <v>20.9306666666666</v>
      </c>
      <c r="F766">
        <v>43.463333333333303</v>
      </c>
    </row>
    <row r="767" spans="1:6">
      <c r="A767" t="s">
        <v>771</v>
      </c>
      <c r="B767">
        <v>3.9766666666666599</v>
      </c>
      <c r="C767">
        <v>6.5999999999999899</v>
      </c>
      <c r="D767">
        <v>13.74</v>
      </c>
      <c r="E767">
        <v>20.545000000000002</v>
      </c>
      <c r="F767">
        <v>45.381999999999998</v>
      </c>
    </row>
    <row r="768" spans="1:6">
      <c r="A768" t="s">
        <v>772</v>
      </c>
      <c r="B768">
        <v>4.9733333333333301</v>
      </c>
      <c r="C768">
        <v>6.8966666666666603</v>
      </c>
      <c r="D768">
        <v>12.703333333333299</v>
      </c>
      <c r="E768">
        <v>20.406333333333301</v>
      </c>
      <c r="F768">
        <v>45.736333333333299</v>
      </c>
    </row>
    <row r="769" spans="1:6">
      <c r="A769" t="s">
        <v>773</v>
      </c>
      <c r="B769">
        <v>4.6466666666666603</v>
      </c>
      <c r="C769">
        <v>7.1866666666666603</v>
      </c>
      <c r="D769">
        <v>17.279999999999902</v>
      </c>
      <c r="E769">
        <v>20.240666666666598</v>
      </c>
      <c r="F769">
        <v>45.5043333333333</v>
      </c>
    </row>
    <row r="770" spans="1:6">
      <c r="A770" t="s">
        <v>774</v>
      </c>
      <c r="B770">
        <v>5.25</v>
      </c>
      <c r="C770">
        <v>8.7566666666666606</v>
      </c>
      <c r="D770">
        <v>16.079999999999998</v>
      </c>
      <c r="E770">
        <v>19.255333333333301</v>
      </c>
      <c r="F770">
        <v>47.173666666666598</v>
      </c>
    </row>
    <row r="771" spans="1:6">
      <c r="A771" t="s">
        <v>775</v>
      </c>
      <c r="B771">
        <v>5.1266666666666598</v>
      </c>
      <c r="C771">
        <v>7.9466666666666601</v>
      </c>
      <c r="D771">
        <v>15.143333333333301</v>
      </c>
      <c r="E771">
        <v>18.4626666666666</v>
      </c>
      <c r="F771">
        <v>48.484666666666598</v>
      </c>
    </row>
    <row r="772" spans="1:6">
      <c r="A772" t="s">
        <v>776</v>
      </c>
      <c r="B772">
        <v>5.43333333333333</v>
      </c>
      <c r="C772">
        <v>8.9600000000000009</v>
      </c>
      <c r="D772">
        <v>15.2633333333333</v>
      </c>
      <c r="E772">
        <v>18.011666666666599</v>
      </c>
      <c r="F772">
        <v>49.706000000000003</v>
      </c>
    </row>
    <row r="773" spans="1:6">
      <c r="A773" t="s">
        <v>777</v>
      </c>
      <c r="B773">
        <v>5.1966666666666601</v>
      </c>
      <c r="C773">
        <v>8.6433333333333202</v>
      </c>
      <c r="D773">
        <v>19.856666666666602</v>
      </c>
      <c r="E773">
        <v>17.838333333333299</v>
      </c>
      <c r="F773">
        <v>50.264333333333298</v>
      </c>
    </row>
    <row r="774" spans="1:6">
      <c r="A774" t="s">
        <v>778</v>
      </c>
      <c r="B774">
        <v>5.4866666666666601</v>
      </c>
      <c r="C774">
        <v>9.32</v>
      </c>
      <c r="D774">
        <v>18.8266666666666</v>
      </c>
      <c r="E774">
        <v>17.625</v>
      </c>
      <c r="F774">
        <v>50.952999999999903</v>
      </c>
    </row>
    <row r="775" spans="1:6">
      <c r="A775" t="s">
        <v>779</v>
      </c>
      <c r="B775">
        <v>5.1033333333333299</v>
      </c>
      <c r="C775">
        <v>8.6666666666666607</v>
      </c>
      <c r="D775">
        <v>18.63</v>
      </c>
      <c r="E775">
        <v>17.738333333333301</v>
      </c>
      <c r="F775">
        <v>50.85</v>
      </c>
    </row>
    <row r="776" spans="1:6">
      <c r="A776" t="s">
        <v>780</v>
      </c>
      <c r="B776">
        <v>5.77</v>
      </c>
      <c r="C776">
        <v>8.9833333333333307</v>
      </c>
      <c r="D776">
        <v>16.3333333333333</v>
      </c>
      <c r="E776">
        <v>17.740666666666598</v>
      </c>
      <c r="F776">
        <v>50.960999999999999</v>
      </c>
    </row>
    <row r="777" spans="1:6">
      <c r="A777" t="s">
        <v>781</v>
      </c>
      <c r="B777">
        <v>5.0166666666666604</v>
      </c>
      <c r="C777">
        <v>8.3966666666666594</v>
      </c>
      <c r="D777">
        <v>18.573333333333299</v>
      </c>
      <c r="E777">
        <v>17.5573333333333</v>
      </c>
      <c r="F777">
        <v>51.342333333333301</v>
      </c>
    </row>
    <row r="778" spans="1:6">
      <c r="A778" t="s">
        <v>782</v>
      </c>
      <c r="B778">
        <v>4.7033333333333296</v>
      </c>
      <c r="C778">
        <v>7.2933333333333303</v>
      </c>
      <c r="D778">
        <v>13.1066666666666</v>
      </c>
      <c r="E778">
        <v>17.656999999999901</v>
      </c>
      <c r="F778">
        <v>50.552666666666603</v>
      </c>
    </row>
    <row r="779" spans="1:6">
      <c r="A779" t="s">
        <v>783</v>
      </c>
      <c r="B779">
        <v>4.6266666666666598</v>
      </c>
      <c r="C779">
        <v>7.2333333333333298</v>
      </c>
      <c r="D779">
        <v>12.7766666666666</v>
      </c>
      <c r="E779">
        <v>17.569999999999901</v>
      </c>
      <c r="F779">
        <v>50.1769999999999</v>
      </c>
    </row>
    <row r="780" spans="1:6">
      <c r="A780" t="s">
        <v>784</v>
      </c>
      <c r="B780">
        <v>4.2066666666666599</v>
      </c>
      <c r="C780">
        <v>6.7133333333333303</v>
      </c>
      <c r="D780">
        <v>12.313333333333301</v>
      </c>
      <c r="E780">
        <v>17.601999999999901</v>
      </c>
      <c r="F780">
        <v>50.802</v>
      </c>
    </row>
    <row r="781" spans="1:6">
      <c r="A781" t="s">
        <v>785</v>
      </c>
      <c r="B781">
        <v>4.7833333333333297</v>
      </c>
      <c r="C781">
        <v>8.4266666666666605</v>
      </c>
      <c r="D781">
        <v>16.266666666666602</v>
      </c>
      <c r="E781">
        <v>17.290666666666599</v>
      </c>
      <c r="F781">
        <v>51.524666666666597</v>
      </c>
    </row>
    <row r="782" spans="1:6">
      <c r="A782" t="s">
        <v>786</v>
      </c>
      <c r="B782">
        <v>3.98</v>
      </c>
      <c r="C782">
        <v>5.9866666666666601</v>
      </c>
      <c r="D782">
        <v>14.3599999999999</v>
      </c>
      <c r="E782">
        <v>17.377666666666599</v>
      </c>
      <c r="F782">
        <v>50.8569999999999</v>
      </c>
    </row>
    <row r="783" spans="1:6">
      <c r="A783" t="s">
        <v>787</v>
      </c>
      <c r="B783">
        <v>3.5233333333333299</v>
      </c>
      <c r="C783">
        <v>6.0799999999999903</v>
      </c>
      <c r="D783">
        <v>10.53</v>
      </c>
      <c r="E783">
        <v>17.188333333333301</v>
      </c>
      <c r="F783">
        <v>50.873999999999903</v>
      </c>
    </row>
    <row r="784" spans="1:6">
      <c r="A784" t="s">
        <v>788</v>
      </c>
      <c r="B784">
        <v>5.14333333333333</v>
      </c>
      <c r="C784">
        <v>7.9833333333333298</v>
      </c>
      <c r="D784">
        <v>15.7466666666666</v>
      </c>
      <c r="E784">
        <v>16.947333333333301</v>
      </c>
      <c r="F784">
        <v>51.456666666666599</v>
      </c>
    </row>
    <row r="785" spans="1:6">
      <c r="A785" t="s">
        <v>789</v>
      </c>
      <c r="B785">
        <v>4.1933333333333298</v>
      </c>
      <c r="C785">
        <v>6.1233333333333304</v>
      </c>
      <c r="D785">
        <v>9.34</v>
      </c>
      <c r="E785">
        <v>16.966666666666601</v>
      </c>
      <c r="F785">
        <v>51.413333333333298</v>
      </c>
    </row>
    <row r="786" spans="1:6">
      <c r="A786" t="s">
        <v>790</v>
      </c>
      <c r="B786">
        <v>5.35</v>
      </c>
      <c r="C786">
        <v>8.3366666666666607</v>
      </c>
      <c r="D786">
        <v>14.1866666666666</v>
      </c>
      <c r="E786">
        <v>16.957000000000001</v>
      </c>
      <c r="F786">
        <v>53.281666666666602</v>
      </c>
    </row>
    <row r="787" spans="1:6">
      <c r="A787" t="s">
        <v>791</v>
      </c>
      <c r="B787">
        <v>3.6933333333333298</v>
      </c>
      <c r="C787">
        <v>6.4133333333333304</v>
      </c>
      <c r="D787">
        <v>13.2766666666666</v>
      </c>
      <c r="E787">
        <v>16.7946666666666</v>
      </c>
      <c r="F787">
        <v>54.854666666666603</v>
      </c>
    </row>
    <row r="788" spans="1:6">
      <c r="A788" t="s">
        <v>792</v>
      </c>
      <c r="B788">
        <v>3.9433333333333298</v>
      </c>
      <c r="C788">
        <v>6.4966666666666599</v>
      </c>
      <c r="D788">
        <v>11.7466666666666</v>
      </c>
      <c r="E788">
        <v>16.863</v>
      </c>
      <c r="F788">
        <v>54.9003333333333</v>
      </c>
    </row>
    <row r="789" spans="1:6">
      <c r="A789" t="s">
        <v>793</v>
      </c>
      <c r="B789">
        <v>4.24</v>
      </c>
      <c r="C789">
        <v>6.4166666666666599</v>
      </c>
      <c r="D789">
        <v>13.63</v>
      </c>
      <c r="E789">
        <v>16.946666666666601</v>
      </c>
      <c r="F789">
        <v>54.115000000000002</v>
      </c>
    </row>
    <row r="790" spans="1:6">
      <c r="A790" t="s">
        <v>794</v>
      </c>
      <c r="B790">
        <v>3.78</v>
      </c>
      <c r="C790">
        <v>6.07666666666666</v>
      </c>
      <c r="D790">
        <v>11.5733333333333</v>
      </c>
      <c r="E790">
        <v>16.988333333333301</v>
      </c>
      <c r="F790">
        <v>52.701999999999998</v>
      </c>
    </row>
    <row r="791" spans="1:6">
      <c r="A791" t="s">
        <v>795</v>
      </c>
      <c r="B791">
        <v>3.9733333333333301</v>
      </c>
      <c r="C791">
        <v>7.2499999999999902</v>
      </c>
      <c r="D791">
        <v>12.486666666666601</v>
      </c>
      <c r="E791">
        <v>16.824666666666602</v>
      </c>
      <c r="F791">
        <v>52.573</v>
      </c>
    </row>
    <row r="792" spans="1:6">
      <c r="A792" t="s">
        <v>796</v>
      </c>
      <c r="B792">
        <v>3.78</v>
      </c>
      <c r="C792">
        <v>6.3566666666666602</v>
      </c>
      <c r="D792">
        <v>14.409999999999901</v>
      </c>
      <c r="E792">
        <v>16.9106666666666</v>
      </c>
      <c r="F792">
        <v>52.5236666666666</v>
      </c>
    </row>
    <row r="793" spans="1:6">
      <c r="A793" t="s">
        <v>797</v>
      </c>
      <c r="B793">
        <v>3.20333333333333</v>
      </c>
      <c r="C793">
        <v>4.93333333333333</v>
      </c>
      <c r="D793">
        <v>12.2666666666666</v>
      </c>
      <c r="E793">
        <v>16.843333333333302</v>
      </c>
      <c r="F793">
        <v>52.637999999999998</v>
      </c>
    </row>
    <row r="794" spans="1:6">
      <c r="A794" t="s">
        <v>798</v>
      </c>
      <c r="B794">
        <v>3.7166666666666601</v>
      </c>
      <c r="C794">
        <v>6.58</v>
      </c>
      <c r="D794">
        <v>12.9966666666666</v>
      </c>
      <c r="E794">
        <v>16.8043333333333</v>
      </c>
      <c r="F794">
        <v>52.527000000000001</v>
      </c>
    </row>
    <row r="795" spans="1:6">
      <c r="A795" t="s">
        <v>799</v>
      </c>
      <c r="B795">
        <v>3.1499999999999901</v>
      </c>
      <c r="C795">
        <v>4.68333333333333</v>
      </c>
      <c r="D795">
        <v>8.64</v>
      </c>
      <c r="E795">
        <v>16.9783333333333</v>
      </c>
      <c r="F795">
        <v>52.0283333333333</v>
      </c>
    </row>
    <row r="796" spans="1:6">
      <c r="A796" t="s">
        <v>800</v>
      </c>
      <c r="B796">
        <v>3.4733333333333301</v>
      </c>
      <c r="C796">
        <v>5.7066666666666599</v>
      </c>
      <c r="D796">
        <v>11.0366666666666</v>
      </c>
      <c r="E796">
        <v>16.860333333333301</v>
      </c>
      <c r="F796">
        <v>52.241333333333301</v>
      </c>
    </row>
    <row r="797" spans="1:6">
      <c r="A797" t="s">
        <v>801</v>
      </c>
      <c r="B797">
        <v>3.55</v>
      </c>
      <c r="C797">
        <v>6.03666666666666</v>
      </c>
      <c r="D797">
        <v>11.65</v>
      </c>
      <c r="E797">
        <v>17.1166666666666</v>
      </c>
      <c r="F797">
        <v>51.873666666666601</v>
      </c>
    </row>
    <row r="798" spans="1:6">
      <c r="A798" t="s">
        <v>802</v>
      </c>
      <c r="B798">
        <v>3.46</v>
      </c>
      <c r="C798">
        <v>5.9833333333333298</v>
      </c>
      <c r="D798">
        <v>12.1966666666666</v>
      </c>
      <c r="E798">
        <v>17.066666666666599</v>
      </c>
      <c r="F798">
        <v>52.5266666666666</v>
      </c>
    </row>
    <row r="799" spans="1:6">
      <c r="A799" t="s">
        <v>803</v>
      </c>
      <c r="B799">
        <v>4.13</v>
      </c>
      <c r="C799">
        <v>6.4366666666666603</v>
      </c>
      <c r="D799">
        <v>12.156666666666601</v>
      </c>
      <c r="E799">
        <v>16.8073333333333</v>
      </c>
      <c r="F799">
        <v>53.686666666666603</v>
      </c>
    </row>
    <row r="800" spans="1:6">
      <c r="A800" t="s">
        <v>804</v>
      </c>
      <c r="B800">
        <v>3.78</v>
      </c>
      <c r="C800">
        <v>6.39</v>
      </c>
      <c r="D800">
        <v>10.8433333333333</v>
      </c>
      <c r="E800">
        <v>16.834333333333301</v>
      </c>
      <c r="F800">
        <v>54.377333333333297</v>
      </c>
    </row>
    <row r="801" spans="1:6">
      <c r="A801" t="s">
        <v>805</v>
      </c>
      <c r="B801">
        <v>3.7433333333333301</v>
      </c>
      <c r="C801">
        <v>6.54</v>
      </c>
      <c r="D801">
        <v>12.6133333333333</v>
      </c>
      <c r="E801">
        <v>16.457999999999998</v>
      </c>
      <c r="F801">
        <v>54.8509999999999</v>
      </c>
    </row>
    <row r="802" spans="1:6">
      <c r="A802" t="s">
        <v>806</v>
      </c>
      <c r="B802">
        <v>4.43</v>
      </c>
      <c r="C802">
        <v>7.71999999999999</v>
      </c>
      <c r="D802">
        <v>16.133333333333301</v>
      </c>
      <c r="E802">
        <v>16.088999999999899</v>
      </c>
      <c r="F802">
        <v>56.874666666666599</v>
      </c>
    </row>
    <row r="803" spans="1:6">
      <c r="A803" t="s">
        <v>807</v>
      </c>
      <c r="B803">
        <v>4.1466666666666603</v>
      </c>
      <c r="C803">
        <v>6.3366666666666598</v>
      </c>
      <c r="D803">
        <v>13.066666666666601</v>
      </c>
      <c r="E803">
        <v>15.9719999999999</v>
      </c>
      <c r="F803">
        <v>56.838666666666597</v>
      </c>
    </row>
    <row r="804" spans="1:6">
      <c r="A804" t="s">
        <v>808</v>
      </c>
      <c r="B804">
        <v>3.8833333333333302</v>
      </c>
      <c r="C804">
        <v>6.3799999999999901</v>
      </c>
      <c r="D804">
        <v>13.296666666666599</v>
      </c>
      <c r="E804">
        <v>15.971</v>
      </c>
      <c r="F804">
        <v>56.517333333333298</v>
      </c>
    </row>
    <row r="805" spans="1:6">
      <c r="A805" t="s">
        <v>809</v>
      </c>
      <c r="B805">
        <v>3.6966666666666601</v>
      </c>
      <c r="C805">
        <v>6.1966666666666601</v>
      </c>
      <c r="D805">
        <v>13.6666666666666</v>
      </c>
      <c r="E805">
        <v>16.239333333333299</v>
      </c>
      <c r="F805">
        <v>55.922333333333299</v>
      </c>
    </row>
    <row r="806" spans="1:6">
      <c r="A806" t="s">
        <v>810</v>
      </c>
      <c r="B806">
        <v>3.3566666666666598</v>
      </c>
      <c r="C806">
        <v>5.08</v>
      </c>
      <c r="D806">
        <v>10.8566666666666</v>
      </c>
      <c r="E806">
        <v>15.9103333333333</v>
      </c>
      <c r="F806">
        <v>57.326666666666597</v>
      </c>
    </row>
    <row r="807" spans="1:6">
      <c r="A807" t="s">
        <v>811</v>
      </c>
      <c r="B807">
        <v>3.2466666666666599</v>
      </c>
      <c r="C807">
        <v>3.6199999999999899</v>
      </c>
      <c r="D807">
        <v>4.9099999999999904</v>
      </c>
      <c r="E807">
        <v>15.597</v>
      </c>
      <c r="F807">
        <v>58.566000000000003</v>
      </c>
    </row>
    <row r="808" spans="1:6">
      <c r="A808" t="s">
        <v>812</v>
      </c>
      <c r="B808">
        <v>3.4399999999999902</v>
      </c>
      <c r="C808">
        <v>3.8366666666666598</v>
      </c>
      <c r="D808">
        <v>5.1933333333333298</v>
      </c>
      <c r="E808">
        <v>15.4846666666666</v>
      </c>
      <c r="F808">
        <v>58.795666666666598</v>
      </c>
    </row>
    <row r="809" spans="1:6">
      <c r="A809" t="s">
        <v>813</v>
      </c>
      <c r="B809">
        <v>3.1933333333333298</v>
      </c>
      <c r="C809">
        <v>3.7833333333333301</v>
      </c>
      <c r="D809">
        <v>6.0533333333333301</v>
      </c>
      <c r="E809">
        <v>15.4046666666666</v>
      </c>
      <c r="F809">
        <v>57.892000000000003</v>
      </c>
    </row>
    <row r="810" spans="1:6">
      <c r="A810" t="s">
        <v>814</v>
      </c>
      <c r="B810">
        <v>2.88</v>
      </c>
      <c r="C810">
        <v>3.2066666666666599</v>
      </c>
      <c r="D810">
        <v>4.3466666666666596</v>
      </c>
      <c r="E810">
        <v>15.2273333333333</v>
      </c>
      <c r="F810">
        <v>57.848666666666603</v>
      </c>
    </row>
    <row r="811" spans="1:6">
      <c r="A811" t="s">
        <v>815</v>
      </c>
      <c r="B811">
        <v>2.9033333333333302</v>
      </c>
      <c r="C811">
        <v>3.21999999999999</v>
      </c>
      <c r="D811">
        <v>4.3766666666666598</v>
      </c>
      <c r="E811">
        <v>15.239333333333301</v>
      </c>
      <c r="F811">
        <v>58.326999999999998</v>
      </c>
    </row>
    <row r="812" spans="1:6">
      <c r="A812" t="s">
        <v>816</v>
      </c>
      <c r="B812">
        <v>2.4733333333333301</v>
      </c>
      <c r="C812">
        <v>2.7533333333333299</v>
      </c>
      <c r="D812">
        <v>3.7366666666666601</v>
      </c>
      <c r="E812">
        <v>15.2856666666666</v>
      </c>
      <c r="F812">
        <v>58.140333333333302</v>
      </c>
    </row>
    <row r="813" spans="1:6">
      <c r="A813" t="s">
        <v>817</v>
      </c>
      <c r="B813">
        <v>2.4199999999999902</v>
      </c>
      <c r="C813">
        <v>2.6933333333333298</v>
      </c>
      <c r="D813">
        <v>3.6566666666666601</v>
      </c>
      <c r="E813">
        <v>15.3493333333333</v>
      </c>
      <c r="F813">
        <v>57.637999999999998</v>
      </c>
    </row>
    <row r="814" spans="1:6">
      <c r="A814" t="s">
        <v>818</v>
      </c>
      <c r="B814">
        <v>2.4033333333333302</v>
      </c>
      <c r="C814">
        <v>2.6733333333333298</v>
      </c>
      <c r="D814">
        <v>3.68</v>
      </c>
      <c r="E814">
        <v>15.2696666666666</v>
      </c>
      <c r="F814">
        <v>57.5743333333333</v>
      </c>
    </row>
    <row r="815" spans="1:6">
      <c r="A815" t="s">
        <v>819</v>
      </c>
      <c r="B815">
        <v>2.14</v>
      </c>
      <c r="C815">
        <v>2.3966666666666598</v>
      </c>
      <c r="D815">
        <v>3.2333333333333298</v>
      </c>
      <c r="E815">
        <v>15.1519999999999</v>
      </c>
      <c r="F815">
        <v>58.043666666666603</v>
      </c>
    </row>
    <row r="816" spans="1:6">
      <c r="A816" t="s">
        <v>820</v>
      </c>
      <c r="B816">
        <v>2.0633333333333299</v>
      </c>
      <c r="C816">
        <v>2.28666666666666</v>
      </c>
      <c r="D816">
        <v>3.1133333333333302</v>
      </c>
      <c r="E816">
        <v>15.104666666666599</v>
      </c>
      <c r="F816">
        <v>59.058666666666603</v>
      </c>
    </row>
    <row r="817" spans="1:6">
      <c r="A817" t="s">
        <v>821</v>
      </c>
      <c r="B817">
        <v>1.7</v>
      </c>
      <c r="C817">
        <v>1.9</v>
      </c>
      <c r="D817">
        <v>2.57666666666666</v>
      </c>
      <c r="E817">
        <v>14.876333333333299</v>
      </c>
      <c r="F817">
        <v>58.761000000000003</v>
      </c>
    </row>
    <row r="818" spans="1:6">
      <c r="A818" t="s">
        <v>822</v>
      </c>
      <c r="B818">
        <v>1.86666666666666</v>
      </c>
      <c r="C818">
        <v>2.0633333333333299</v>
      </c>
      <c r="D818">
        <v>2.7999999999999901</v>
      </c>
      <c r="E818">
        <v>14.581999999999899</v>
      </c>
      <c r="F818">
        <v>58.851999999999997</v>
      </c>
    </row>
    <row r="819" spans="1:6">
      <c r="A819" t="s">
        <v>823</v>
      </c>
      <c r="B819">
        <v>2.17</v>
      </c>
      <c r="C819">
        <v>2.3966666666666598</v>
      </c>
      <c r="D819">
        <v>3.2633333333333301</v>
      </c>
      <c r="E819">
        <v>14.355</v>
      </c>
      <c r="F819">
        <v>59.204666666666597</v>
      </c>
    </row>
    <row r="820" spans="1:6">
      <c r="A820" t="s">
        <v>824</v>
      </c>
      <c r="B820">
        <v>1.8999999999999899</v>
      </c>
      <c r="C820">
        <v>2.1066666666666598</v>
      </c>
      <c r="D820">
        <v>2.8833333333333302</v>
      </c>
      <c r="E820">
        <v>14.2696666666666</v>
      </c>
      <c r="F820">
        <v>58.963333333333303</v>
      </c>
    </row>
    <row r="821" spans="1:6">
      <c r="A821" t="s">
        <v>825</v>
      </c>
      <c r="B821">
        <v>2.0099999999999998</v>
      </c>
      <c r="C821">
        <v>2.2433333333333301</v>
      </c>
      <c r="D821">
        <v>3.04</v>
      </c>
      <c r="E821">
        <v>14.250999999999999</v>
      </c>
      <c r="F821">
        <v>58.787333333333301</v>
      </c>
    </row>
    <row r="822" spans="1:6">
      <c r="A822" t="s">
        <v>826</v>
      </c>
      <c r="B822">
        <v>1.9066666666666601</v>
      </c>
      <c r="C822">
        <v>2.1133333333333302</v>
      </c>
      <c r="D822">
        <v>2.8833333333333302</v>
      </c>
      <c r="E822">
        <v>14.278</v>
      </c>
      <c r="F822">
        <v>58.525666666666602</v>
      </c>
    </row>
    <row r="823" spans="1:6">
      <c r="A823" t="s">
        <v>827</v>
      </c>
      <c r="B823">
        <v>1.96</v>
      </c>
      <c r="C823">
        <v>2.1866666666666599</v>
      </c>
      <c r="D823">
        <v>2.9633333333333298</v>
      </c>
      <c r="E823">
        <v>14.167999999999999</v>
      </c>
      <c r="F823">
        <v>58.454333333333302</v>
      </c>
    </row>
    <row r="824" spans="1:6">
      <c r="A824" t="s">
        <v>828</v>
      </c>
      <c r="B824">
        <v>1.7666666666666599</v>
      </c>
      <c r="C824">
        <v>1.9666666666666599</v>
      </c>
      <c r="D824">
        <v>2.6766666666666601</v>
      </c>
      <c r="E824">
        <v>14.152666666666599</v>
      </c>
      <c r="F824">
        <v>58.61</v>
      </c>
    </row>
    <row r="825" spans="1:6">
      <c r="A825" t="s">
        <v>829</v>
      </c>
      <c r="B825">
        <v>1.7466666666666599</v>
      </c>
      <c r="C825">
        <v>1.9366666666666601</v>
      </c>
      <c r="D825">
        <v>2.6499999999999901</v>
      </c>
      <c r="E825">
        <v>14.14</v>
      </c>
      <c r="F825">
        <v>58.1606666666666</v>
      </c>
    </row>
    <row r="826" spans="1:6">
      <c r="A826" t="s">
        <v>830</v>
      </c>
      <c r="B826">
        <v>1.68</v>
      </c>
      <c r="C826">
        <v>1.8699999999999899</v>
      </c>
      <c r="D826">
        <v>2.5466666666666602</v>
      </c>
      <c r="E826">
        <v>14.0353333333333</v>
      </c>
      <c r="F826">
        <v>58.2083333333333</v>
      </c>
    </row>
    <row r="827" spans="1:6">
      <c r="A827" t="s">
        <v>831</v>
      </c>
      <c r="B827">
        <v>1.4166666666666601</v>
      </c>
      <c r="C827">
        <v>1.58</v>
      </c>
      <c r="D827">
        <v>2.1566666666666601</v>
      </c>
      <c r="E827">
        <v>13.943</v>
      </c>
      <c r="F827">
        <v>58.011999999999901</v>
      </c>
    </row>
    <row r="828" spans="1:6">
      <c r="A828" t="s">
        <v>832</v>
      </c>
      <c r="B828">
        <v>1.12666666666666</v>
      </c>
      <c r="C828">
        <v>1.54666666666666</v>
      </c>
      <c r="D828">
        <v>1.90333333333333</v>
      </c>
      <c r="E828">
        <v>13.8853333333333</v>
      </c>
      <c r="F828">
        <v>57.353999999999999</v>
      </c>
    </row>
    <row r="829" spans="1:6">
      <c r="A829" t="s">
        <v>833</v>
      </c>
      <c r="B829">
        <v>1.19333333333333</v>
      </c>
      <c r="C829">
        <v>1.78</v>
      </c>
      <c r="D829">
        <v>4.57</v>
      </c>
      <c r="E829">
        <v>13.758333333333301</v>
      </c>
      <c r="F829">
        <v>56.700333333333298</v>
      </c>
    </row>
    <row r="830" spans="1:6">
      <c r="A830" t="s">
        <v>834</v>
      </c>
      <c r="B830">
        <v>1.07</v>
      </c>
      <c r="C830">
        <v>1.66333333333333</v>
      </c>
      <c r="D830">
        <v>2.2066666666666599</v>
      </c>
      <c r="E830">
        <v>13.7766666666666</v>
      </c>
      <c r="F830">
        <v>56.456333333333298</v>
      </c>
    </row>
    <row r="831" spans="1:6">
      <c r="A831" t="s">
        <v>835</v>
      </c>
      <c r="B831">
        <v>1.17333333333333</v>
      </c>
      <c r="C831">
        <v>1.45</v>
      </c>
      <c r="D831">
        <v>2.1199999999999899</v>
      </c>
      <c r="E831">
        <v>13.6966666666666</v>
      </c>
      <c r="F831">
        <v>56.5369999999999</v>
      </c>
    </row>
    <row r="832" spans="1:6">
      <c r="A832" t="s">
        <v>836</v>
      </c>
      <c r="B832">
        <v>1.3133333333333299</v>
      </c>
      <c r="C832">
        <v>1.72</v>
      </c>
      <c r="D832">
        <v>3.01</v>
      </c>
      <c r="E832">
        <v>13.5716666666666</v>
      </c>
      <c r="F832">
        <v>56.399999999999899</v>
      </c>
    </row>
    <row r="833" spans="1:6">
      <c r="A833" t="s">
        <v>837</v>
      </c>
      <c r="B833">
        <v>1.2999999999999901</v>
      </c>
      <c r="C833">
        <v>1.87333333333333</v>
      </c>
      <c r="D833">
        <v>2.84666666666666</v>
      </c>
      <c r="E833">
        <v>13.997999999999999</v>
      </c>
      <c r="F833">
        <v>55.345666666666602</v>
      </c>
    </row>
    <row r="834" spans="1:6">
      <c r="A834" t="s">
        <v>838</v>
      </c>
      <c r="B834">
        <v>1.2566666666666599</v>
      </c>
      <c r="C834">
        <v>1.87333333333333</v>
      </c>
      <c r="D834">
        <v>3.0433333333333299</v>
      </c>
      <c r="E834">
        <v>14.4876666666666</v>
      </c>
      <c r="F834">
        <v>54.616666666666603</v>
      </c>
    </row>
    <row r="835" spans="1:6">
      <c r="A835" t="s">
        <v>839</v>
      </c>
      <c r="B835">
        <v>1.1466666666666601</v>
      </c>
      <c r="C835">
        <v>1.96333333333333</v>
      </c>
      <c r="D835">
        <v>2.4766666666666599</v>
      </c>
      <c r="E835">
        <v>15.229999999999899</v>
      </c>
      <c r="F835">
        <v>52.972000000000001</v>
      </c>
    </row>
    <row r="836" spans="1:6">
      <c r="A836" t="s">
        <v>840</v>
      </c>
      <c r="B836">
        <v>1.4933333333333301</v>
      </c>
      <c r="C836">
        <v>2.14</v>
      </c>
      <c r="D836">
        <v>3.4</v>
      </c>
      <c r="E836">
        <v>15.8403333333333</v>
      </c>
      <c r="F836">
        <v>51.7276666666666</v>
      </c>
    </row>
    <row r="837" spans="1:6">
      <c r="A837" t="s">
        <v>841</v>
      </c>
      <c r="B837">
        <v>1.37666666666666</v>
      </c>
      <c r="C837">
        <v>1.73</v>
      </c>
      <c r="D837">
        <v>4.1333333333333302</v>
      </c>
      <c r="E837">
        <v>16.231000000000002</v>
      </c>
      <c r="F837">
        <v>50.873333333333299</v>
      </c>
    </row>
    <row r="838" spans="1:6">
      <c r="A838" t="s">
        <v>842</v>
      </c>
      <c r="B838">
        <v>1.9666666666666599</v>
      </c>
      <c r="C838">
        <v>3.06</v>
      </c>
      <c r="D838">
        <v>4.57666666666666</v>
      </c>
      <c r="E838">
        <v>16.384333333333299</v>
      </c>
      <c r="F838">
        <v>50.441333333333297</v>
      </c>
    </row>
    <row r="839" spans="1:6">
      <c r="A839" t="s">
        <v>843</v>
      </c>
      <c r="B839">
        <v>1.83666666666666</v>
      </c>
      <c r="C839">
        <v>2.5866666666666598</v>
      </c>
      <c r="D839">
        <v>5.13</v>
      </c>
      <c r="E839">
        <v>16.731000000000002</v>
      </c>
      <c r="F839">
        <v>50.088666666666597</v>
      </c>
    </row>
    <row r="840" spans="1:6">
      <c r="A840" t="s">
        <v>844</v>
      </c>
      <c r="B840">
        <v>1.6966666666666601</v>
      </c>
      <c r="C840">
        <v>2.7233333333333301</v>
      </c>
      <c r="D840">
        <v>4.5166666666666604</v>
      </c>
      <c r="E840">
        <v>17.088999999999999</v>
      </c>
      <c r="F840">
        <v>49.7186666666666</v>
      </c>
    </row>
    <row r="841" spans="1:6">
      <c r="A841" t="s">
        <v>845</v>
      </c>
      <c r="B841">
        <v>1.9833333333333301</v>
      </c>
      <c r="C841">
        <v>2.98999999999999</v>
      </c>
      <c r="D841">
        <v>4.3199999999999896</v>
      </c>
      <c r="E841">
        <v>17.678666666666601</v>
      </c>
      <c r="F841">
        <v>48.745333333333299</v>
      </c>
    </row>
    <row r="842" spans="1:6">
      <c r="A842" t="s">
        <v>846</v>
      </c>
      <c r="B842">
        <v>1.31666666666666</v>
      </c>
      <c r="C842">
        <v>2.1533333333333302</v>
      </c>
      <c r="D842">
        <v>3.76</v>
      </c>
      <c r="E842">
        <v>18.643000000000001</v>
      </c>
      <c r="F842">
        <v>46.787666666666603</v>
      </c>
    </row>
    <row r="843" spans="1:6">
      <c r="A843" t="s">
        <v>847</v>
      </c>
      <c r="B843">
        <v>1.3966666666666601</v>
      </c>
      <c r="C843">
        <v>2.3866666666666601</v>
      </c>
      <c r="D843">
        <v>3.9466666666666601</v>
      </c>
      <c r="E843">
        <v>19.190000000000001</v>
      </c>
      <c r="F843">
        <v>44.881666666666597</v>
      </c>
    </row>
    <row r="844" spans="1:6">
      <c r="A844" t="s">
        <v>848</v>
      </c>
      <c r="B844">
        <v>1.15333333333333</v>
      </c>
      <c r="C844">
        <v>1.51</v>
      </c>
      <c r="D844">
        <v>2.2733333333333299</v>
      </c>
      <c r="E844">
        <v>19.081666666666599</v>
      </c>
      <c r="F844">
        <v>44.047666666666601</v>
      </c>
    </row>
    <row r="845" spans="1:6">
      <c r="A845" t="s">
        <v>849</v>
      </c>
      <c r="B845">
        <v>1.33666666666666</v>
      </c>
      <c r="C845">
        <v>1.86333333333333</v>
      </c>
      <c r="D845">
        <v>3.5066666666666602</v>
      </c>
      <c r="E845">
        <v>19.6213333333333</v>
      </c>
      <c r="F845">
        <v>43.640666666666597</v>
      </c>
    </row>
    <row r="846" spans="1:6">
      <c r="A846" t="s">
        <v>850</v>
      </c>
      <c r="B846">
        <v>1.57</v>
      </c>
      <c r="C846">
        <v>2.59666666666666</v>
      </c>
      <c r="D846">
        <v>3.1866666666666599</v>
      </c>
      <c r="E846">
        <v>18.645999999999901</v>
      </c>
      <c r="F846">
        <v>45.138999999999903</v>
      </c>
    </row>
    <row r="847" spans="1:6">
      <c r="A847" t="s">
        <v>851</v>
      </c>
      <c r="B847">
        <v>1.67333333333333</v>
      </c>
      <c r="C847">
        <v>3.2133333333333298</v>
      </c>
      <c r="D847">
        <v>4.53666666666666</v>
      </c>
      <c r="E847">
        <v>18.8176666666666</v>
      </c>
      <c r="F847">
        <v>45.8943333333333</v>
      </c>
    </row>
    <row r="848" spans="1:6">
      <c r="A848" t="s">
        <v>852</v>
      </c>
      <c r="B848">
        <v>1.5066666666666599</v>
      </c>
      <c r="C848">
        <v>2.68333333333333</v>
      </c>
      <c r="D848">
        <v>3.9066666666666601</v>
      </c>
      <c r="E848">
        <v>18.134333333333299</v>
      </c>
      <c r="F848">
        <v>46.967333333333301</v>
      </c>
    </row>
    <row r="849" spans="1:6">
      <c r="A849" t="s">
        <v>853</v>
      </c>
      <c r="B849">
        <v>1.0533333333333299</v>
      </c>
      <c r="C849">
        <v>1.3799999999999899</v>
      </c>
      <c r="D849">
        <v>3.6533333333333302</v>
      </c>
      <c r="E849">
        <v>16.772666666666598</v>
      </c>
      <c r="F849">
        <v>52.470333333333301</v>
      </c>
    </row>
    <row r="850" spans="1:6">
      <c r="A850" t="s">
        <v>854</v>
      </c>
      <c r="B850">
        <v>1.08666666666666</v>
      </c>
      <c r="C850">
        <v>1.9933333333333301</v>
      </c>
      <c r="D850">
        <v>3.85</v>
      </c>
      <c r="E850">
        <v>17.097666666666601</v>
      </c>
      <c r="F850">
        <v>53.539333333333303</v>
      </c>
    </row>
    <row r="851" spans="1:6">
      <c r="A851" t="s">
        <v>855</v>
      </c>
      <c r="B851">
        <v>1.13333333333333</v>
      </c>
      <c r="C851">
        <v>1.7366666666666599</v>
      </c>
      <c r="D851">
        <v>2.44</v>
      </c>
      <c r="E851">
        <v>17.993666666666599</v>
      </c>
      <c r="F851">
        <v>50.565999999999903</v>
      </c>
    </row>
    <row r="852" spans="1:6">
      <c r="A852" t="s">
        <v>856</v>
      </c>
      <c r="B852">
        <v>0.97666666666666602</v>
      </c>
      <c r="C852">
        <v>1.7433333333333301</v>
      </c>
      <c r="D852">
        <v>3.16333333333333</v>
      </c>
      <c r="E852">
        <v>17.880666666666599</v>
      </c>
      <c r="F852">
        <v>49.908333333333303</v>
      </c>
    </row>
    <row r="853" spans="1:6">
      <c r="A853" t="s">
        <v>857</v>
      </c>
      <c r="B853">
        <v>1.1599999999999999</v>
      </c>
      <c r="C853">
        <v>1.5799999999999901</v>
      </c>
      <c r="D853">
        <v>3.6899999999999902</v>
      </c>
      <c r="E853">
        <v>19.6183333333333</v>
      </c>
      <c r="F853">
        <v>45.678999999999903</v>
      </c>
    </row>
    <row r="854" spans="1:6">
      <c r="A854" t="s">
        <v>858</v>
      </c>
      <c r="B854">
        <v>0.89333333333333298</v>
      </c>
      <c r="C854">
        <v>1.4099999999999899</v>
      </c>
      <c r="D854">
        <v>1.88</v>
      </c>
      <c r="E854">
        <v>18.650666666666599</v>
      </c>
      <c r="F854">
        <v>46.781333333333301</v>
      </c>
    </row>
    <row r="855" spans="1:6">
      <c r="A855" t="s">
        <v>859</v>
      </c>
      <c r="B855">
        <v>1.1566666666666601</v>
      </c>
      <c r="C855">
        <v>1.6</v>
      </c>
      <c r="D855">
        <v>3.16333333333333</v>
      </c>
      <c r="E855">
        <v>19.017333333333301</v>
      </c>
      <c r="F855">
        <v>46.540333333333301</v>
      </c>
    </row>
    <row r="856" spans="1:6">
      <c r="A856" t="s">
        <v>860</v>
      </c>
      <c r="B856">
        <v>1.3</v>
      </c>
      <c r="C856">
        <v>1.84666666666666</v>
      </c>
      <c r="D856">
        <v>3.7499999999999898</v>
      </c>
      <c r="E856">
        <v>18.107666666666599</v>
      </c>
      <c r="F856">
        <v>48.658333333333303</v>
      </c>
    </row>
    <row r="857" spans="1:6">
      <c r="A857" t="s">
        <v>861</v>
      </c>
      <c r="B857">
        <v>1.4833333333333301</v>
      </c>
      <c r="C857">
        <v>2.2099999999999902</v>
      </c>
      <c r="D857">
        <v>2.8766666666666598</v>
      </c>
      <c r="E857">
        <v>16.899000000000001</v>
      </c>
      <c r="F857">
        <v>53.544333333333299</v>
      </c>
    </row>
    <row r="858" spans="1:6">
      <c r="A858" t="s">
        <v>862</v>
      </c>
      <c r="B858">
        <v>1.79666666666666</v>
      </c>
      <c r="C858">
        <v>3.02999999999999</v>
      </c>
      <c r="D858">
        <v>5.0699999999999896</v>
      </c>
      <c r="E858">
        <v>16.365666666666598</v>
      </c>
      <c r="F858">
        <v>55.477999999999902</v>
      </c>
    </row>
    <row r="859" spans="1:6">
      <c r="A859" t="s">
        <v>863</v>
      </c>
      <c r="B859">
        <v>2.4233333333333298</v>
      </c>
      <c r="C859">
        <v>3.36</v>
      </c>
      <c r="D859">
        <v>4.7066666666666599</v>
      </c>
      <c r="E859">
        <v>16.510000000000002</v>
      </c>
      <c r="F859">
        <v>56.267000000000003</v>
      </c>
    </row>
    <row r="860" spans="1:6">
      <c r="A860" t="s">
        <v>864</v>
      </c>
      <c r="B860">
        <v>2.0833333333333299</v>
      </c>
      <c r="C860">
        <v>3.1199999999999899</v>
      </c>
      <c r="D860">
        <v>4.8966666666666603</v>
      </c>
      <c r="E860">
        <v>16.805</v>
      </c>
      <c r="F860">
        <v>55.939999999999898</v>
      </c>
    </row>
    <row r="861" spans="1:6">
      <c r="A861" t="s">
        <v>865</v>
      </c>
      <c r="B861">
        <v>2.4166666666666599</v>
      </c>
      <c r="C861">
        <v>3.2666666666666599</v>
      </c>
      <c r="D861">
        <v>5.7666666666666604</v>
      </c>
      <c r="E861">
        <v>16.6926666666666</v>
      </c>
      <c r="F861">
        <v>56.283333333333303</v>
      </c>
    </row>
    <row r="862" spans="1:6">
      <c r="A862" t="s">
        <v>866</v>
      </c>
      <c r="B862">
        <v>3.0866666666666598</v>
      </c>
      <c r="C862">
        <v>4.28666666666666</v>
      </c>
      <c r="D862">
        <v>7.7666666666666604</v>
      </c>
      <c r="E862">
        <v>16.701000000000001</v>
      </c>
      <c r="F862">
        <v>56.364666666666601</v>
      </c>
    </row>
    <row r="863" spans="1:6">
      <c r="A863" t="s">
        <v>867</v>
      </c>
      <c r="B863">
        <v>3.1399999999999899</v>
      </c>
      <c r="C863">
        <v>5.0166666666666604</v>
      </c>
      <c r="D863">
        <v>9.36</v>
      </c>
      <c r="E863">
        <v>16.484999999999999</v>
      </c>
      <c r="F863">
        <v>56.664666666666598</v>
      </c>
    </row>
    <row r="864" spans="1:6">
      <c r="A864" t="s">
        <v>868</v>
      </c>
      <c r="B864">
        <v>2.94</v>
      </c>
      <c r="C864">
        <v>4.0999999999999996</v>
      </c>
      <c r="D864">
        <v>7.5833333333333304</v>
      </c>
      <c r="E864">
        <v>16.232333333333301</v>
      </c>
      <c r="F864">
        <v>57.575000000000003</v>
      </c>
    </row>
    <row r="865" spans="1:6">
      <c r="A865" t="s">
        <v>869</v>
      </c>
      <c r="B865">
        <v>3.0633333333333299</v>
      </c>
      <c r="C865">
        <v>3.4099999999999899</v>
      </c>
      <c r="D865">
        <v>4.61666666666666</v>
      </c>
      <c r="E865">
        <v>15.9436666666666</v>
      </c>
      <c r="F865">
        <v>58.428666666666601</v>
      </c>
    </row>
    <row r="866" spans="1:6">
      <c r="A866" t="s">
        <v>870</v>
      </c>
      <c r="B866">
        <v>2.63</v>
      </c>
      <c r="C866">
        <v>3.2099999999999902</v>
      </c>
      <c r="D866">
        <v>4.5233333333333299</v>
      </c>
      <c r="E866">
        <v>16.082333333333299</v>
      </c>
      <c r="F866">
        <v>57.263666666666602</v>
      </c>
    </row>
    <row r="867" spans="1:6">
      <c r="A867" t="s">
        <v>871</v>
      </c>
      <c r="B867">
        <v>3.35</v>
      </c>
      <c r="C867">
        <v>4.5966666666666596</v>
      </c>
      <c r="D867">
        <v>7.9633333333333303</v>
      </c>
      <c r="E867">
        <v>16.0573333333333</v>
      </c>
      <c r="F867">
        <v>57.2246666666666</v>
      </c>
    </row>
    <row r="868" spans="1:6">
      <c r="A868" t="s">
        <v>872</v>
      </c>
      <c r="B868">
        <v>2.4733333333333301</v>
      </c>
      <c r="C868">
        <v>3.2966666666666602</v>
      </c>
      <c r="D868">
        <v>5.0866666666666598</v>
      </c>
      <c r="E868">
        <v>16.082333333333299</v>
      </c>
      <c r="F868">
        <v>56.874000000000002</v>
      </c>
    </row>
    <row r="869" spans="1:6">
      <c r="A869" t="s">
        <v>873</v>
      </c>
      <c r="B869">
        <v>2.82666666666666</v>
      </c>
      <c r="C869">
        <v>4.1533333333333298</v>
      </c>
      <c r="D869">
        <v>7.18333333333333</v>
      </c>
      <c r="E869">
        <v>15.833</v>
      </c>
      <c r="F869">
        <v>57.122999999999998</v>
      </c>
    </row>
    <row r="870" spans="1:6">
      <c r="A870" t="s">
        <v>874</v>
      </c>
      <c r="B870">
        <v>2.4466666666666601</v>
      </c>
      <c r="C870">
        <v>3.4433333333333298</v>
      </c>
      <c r="D870">
        <v>6.8466666666666596</v>
      </c>
      <c r="E870">
        <v>15.6386666666666</v>
      </c>
      <c r="F870">
        <v>57.092333333333301</v>
      </c>
    </row>
    <row r="871" spans="1:6">
      <c r="A871" t="s">
        <v>875</v>
      </c>
      <c r="B871">
        <v>3.5466666666666602</v>
      </c>
      <c r="C871">
        <v>3.9366666666666599</v>
      </c>
      <c r="D871">
        <v>5.3433333333333302</v>
      </c>
      <c r="E871">
        <v>15.4963333333333</v>
      </c>
      <c r="F871">
        <v>57.597999999999999</v>
      </c>
    </row>
    <row r="872" spans="1:6">
      <c r="A872" t="s">
        <v>876</v>
      </c>
      <c r="B872">
        <v>3.1066666666666598</v>
      </c>
      <c r="C872">
        <v>3.4733333333333301</v>
      </c>
      <c r="D872">
        <v>4.7033333333333296</v>
      </c>
      <c r="E872">
        <v>15.6356666666666</v>
      </c>
      <c r="F872">
        <v>57.461666666666602</v>
      </c>
    </row>
    <row r="873" spans="1:6">
      <c r="A873" t="s">
        <v>877</v>
      </c>
      <c r="B873">
        <v>2.63</v>
      </c>
      <c r="C873">
        <v>2.8633333333333302</v>
      </c>
      <c r="D873">
        <v>4.7966666666666598</v>
      </c>
      <c r="E873">
        <v>15.5383333333333</v>
      </c>
      <c r="F873">
        <v>57.623666666666601</v>
      </c>
    </row>
    <row r="874" spans="1:6">
      <c r="A874" t="s">
        <v>878</v>
      </c>
      <c r="B874">
        <v>3.3533333333333299</v>
      </c>
      <c r="C874">
        <v>3.7299999999999902</v>
      </c>
      <c r="D874">
        <v>5.05</v>
      </c>
      <c r="E874">
        <v>15.523999999999999</v>
      </c>
      <c r="F874">
        <v>58.005333333333297</v>
      </c>
    </row>
    <row r="875" spans="1:6">
      <c r="A875" t="s">
        <v>879</v>
      </c>
      <c r="B875">
        <v>3.0333333333333301</v>
      </c>
      <c r="C875">
        <v>3.39</v>
      </c>
      <c r="D875">
        <v>4.5966666666666596</v>
      </c>
      <c r="E875">
        <v>15.4143333333333</v>
      </c>
      <c r="F875">
        <v>59.562333333333299</v>
      </c>
    </row>
    <row r="876" spans="1:6">
      <c r="A876" t="s">
        <v>880</v>
      </c>
      <c r="B876">
        <v>2.3399999999999901</v>
      </c>
      <c r="C876">
        <v>2.6099999999999901</v>
      </c>
      <c r="D876">
        <v>3.54</v>
      </c>
      <c r="E876">
        <v>15.2433333333333</v>
      </c>
      <c r="F876">
        <v>59.908333333333303</v>
      </c>
    </row>
    <row r="877" spans="1:6">
      <c r="A877" t="s">
        <v>881</v>
      </c>
      <c r="B877">
        <v>3.98</v>
      </c>
      <c r="C877">
        <v>4.42</v>
      </c>
      <c r="D877">
        <v>5.9933333333333296</v>
      </c>
      <c r="E877">
        <v>15.2723333333333</v>
      </c>
      <c r="F877">
        <v>59.884333333333302</v>
      </c>
    </row>
    <row r="878" spans="1:6">
      <c r="A878" t="s">
        <v>882</v>
      </c>
      <c r="B878">
        <v>6.2133333333333303</v>
      </c>
      <c r="C878">
        <v>6.91</v>
      </c>
      <c r="D878">
        <v>9.3533333333333299</v>
      </c>
      <c r="E878">
        <v>15.2153333333333</v>
      </c>
      <c r="F878">
        <v>60.164666666666598</v>
      </c>
    </row>
    <row r="879" spans="1:6">
      <c r="A879" t="s">
        <v>883</v>
      </c>
      <c r="B879">
        <v>5.1533333333333298</v>
      </c>
      <c r="C879">
        <v>5.7266666666666604</v>
      </c>
      <c r="D879">
        <v>7.7566666666666597</v>
      </c>
      <c r="E879">
        <v>15.1459999999999</v>
      </c>
      <c r="F879">
        <v>60.199666666666602</v>
      </c>
    </row>
    <row r="880" spans="1:6">
      <c r="A880" t="s">
        <v>884</v>
      </c>
      <c r="B880">
        <v>5.6633333333333304</v>
      </c>
      <c r="C880">
        <v>6.2999999999999901</v>
      </c>
      <c r="D880">
        <v>8.53666666666666</v>
      </c>
      <c r="E880">
        <v>15.067</v>
      </c>
      <c r="F880">
        <v>60.189666666666596</v>
      </c>
    </row>
    <row r="881" spans="1:6">
      <c r="A881" t="s">
        <v>885</v>
      </c>
      <c r="B881">
        <v>4.32666666666666</v>
      </c>
      <c r="C881">
        <v>4.8133333333333299</v>
      </c>
      <c r="D881">
        <v>6.4966666666666599</v>
      </c>
      <c r="E881">
        <v>14.8886666666666</v>
      </c>
      <c r="F881">
        <v>60.133999999999901</v>
      </c>
    </row>
    <row r="882" spans="1:6">
      <c r="A882" t="s">
        <v>886</v>
      </c>
      <c r="B882">
        <v>3.2833333333333301</v>
      </c>
      <c r="C882">
        <v>3.65</v>
      </c>
      <c r="D882">
        <v>4.95</v>
      </c>
      <c r="E882">
        <v>14.842666666666601</v>
      </c>
      <c r="F882">
        <v>59.9106666666666</v>
      </c>
    </row>
    <row r="883" spans="1:6">
      <c r="A883" t="s">
        <v>887</v>
      </c>
      <c r="B883">
        <v>3.9966666666666599</v>
      </c>
      <c r="C883">
        <v>4.4466666666666601</v>
      </c>
      <c r="D883">
        <v>6.0166666666666604</v>
      </c>
      <c r="E883">
        <v>14.787333333333301</v>
      </c>
      <c r="F883">
        <v>59.960333333333303</v>
      </c>
    </row>
    <row r="884" spans="1:6">
      <c r="A884" t="s">
        <v>888</v>
      </c>
      <c r="B884">
        <v>3.57</v>
      </c>
      <c r="C884">
        <v>3.9566666666666599</v>
      </c>
      <c r="D884">
        <v>5.36666666666666</v>
      </c>
      <c r="E884">
        <v>14.656333333333301</v>
      </c>
      <c r="F884">
        <v>59.905999999999999</v>
      </c>
    </row>
    <row r="885" spans="1:6">
      <c r="A885" t="s">
        <v>889</v>
      </c>
      <c r="B885">
        <v>2.4</v>
      </c>
      <c r="C885">
        <v>2.67</v>
      </c>
      <c r="D885">
        <v>3.61666666666666</v>
      </c>
      <c r="E885">
        <v>14.668666666666599</v>
      </c>
      <c r="F885">
        <v>59.576333333333302</v>
      </c>
    </row>
    <row r="886" spans="1:6">
      <c r="A886" t="s">
        <v>890</v>
      </c>
      <c r="B886">
        <v>2.4866666666666601</v>
      </c>
      <c r="C886">
        <v>2.77</v>
      </c>
      <c r="D886">
        <v>3.7566666666666602</v>
      </c>
      <c r="E886">
        <v>14.5803333333333</v>
      </c>
      <c r="F886">
        <v>59.703333333333298</v>
      </c>
    </row>
    <row r="887" spans="1:6">
      <c r="A887" t="s">
        <v>891</v>
      </c>
      <c r="B887">
        <v>2.5333333333333301</v>
      </c>
      <c r="C887">
        <v>2.8233333333333301</v>
      </c>
      <c r="D887">
        <v>3.82</v>
      </c>
      <c r="E887">
        <v>14.6006666666666</v>
      </c>
      <c r="F887">
        <v>59.264333333333298</v>
      </c>
    </row>
    <row r="888" spans="1:6">
      <c r="A888" t="s">
        <v>892</v>
      </c>
      <c r="B888">
        <v>2.75</v>
      </c>
      <c r="C888">
        <v>3.0433333333333299</v>
      </c>
      <c r="D888">
        <v>4.1466666666666603</v>
      </c>
      <c r="E888">
        <v>14.6296666666666</v>
      </c>
      <c r="F888">
        <v>59.253666666666597</v>
      </c>
    </row>
    <row r="889" spans="1:6">
      <c r="A889" t="s">
        <v>893</v>
      </c>
      <c r="B889">
        <v>3.0866666666666598</v>
      </c>
      <c r="C889">
        <v>3.4366666666666599</v>
      </c>
      <c r="D889">
        <v>4.6633333333333304</v>
      </c>
      <c r="E889">
        <v>14.672666666666601</v>
      </c>
      <c r="F889">
        <v>59.2736666666666</v>
      </c>
    </row>
    <row r="890" spans="1:6">
      <c r="A890" t="s">
        <v>894</v>
      </c>
      <c r="B890">
        <v>5.07666666666666</v>
      </c>
      <c r="C890">
        <v>5.6366666666666596</v>
      </c>
      <c r="D890">
        <v>7.6333333333333302</v>
      </c>
      <c r="E890">
        <v>14.786</v>
      </c>
      <c r="F890">
        <v>58.7573333333333</v>
      </c>
    </row>
    <row r="891" spans="1:6">
      <c r="A891" t="s">
        <v>895</v>
      </c>
      <c r="B891">
        <v>3.9566666666666599</v>
      </c>
      <c r="C891">
        <v>4.39333333333333</v>
      </c>
      <c r="D891">
        <v>5.9533333333333296</v>
      </c>
      <c r="E891">
        <v>14.8886666666666</v>
      </c>
      <c r="F891">
        <v>59.065666666666601</v>
      </c>
    </row>
    <row r="892" spans="1:6">
      <c r="A892" t="s">
        <v>896</v>
      </c>
      <c r="B892">
        <v>4.93</v>
      </c>
      <c r="C892">
        <v>5.4866666666666601</v>
      </c>
      <c r="D892">
        <v>7.43</v>
      </c>
      <c r="E892">
        <v>14.797000000000001</v>
      </c>
      <c r="F892">
        <v>59.673999999999999</v>
      </c>
    </row>
    <row r="893" spans="1:6">
      <c r="A893" t="s">
        <v>897</v>
      </c>
      <c r="B893">
        <v>7.0733333333333297</v>
      </c>
      <c r="C893">
        <v>7.8433333333333302</v>
      </c>
      <c r="D893">
        <v>10.623333333333299</v>
      </c>
      <c r="E893">
        <v>14.7223333333333</v>
      </c>
      <c r="F893">
        <v>60.2379999999999</v>
      </c>
    </row>
    <row r="894" spans="1:6">
      <c r="A894" t="s">
        <v>898</v>
      </c>
      <c r="B894">
        <v>6.2233333333333301</v>
      </c>
      <c r="C894">
        <v>6.9166666666666599</v>
      </c>
      <c r="D894">
        <v>9.35</v>
      </c>
      <c r="E894">
        <v>14.691666666666601</v>
      </c>
      <c r="F894">
        <v>60.250666666666604</v>
      </c>
    </row>
    <row r="895" spans="1:6">
      <c r="A895" t="s">
        <v>899</v>
      </c>
      <c r="B895">
        <v>5.6299999999999901</v>
      </c>
      <c r="C895">
        <v>6.2433333333333296</v>
      </c>
      <c r="D895">
        <v>8.4633333333333294</v>
      </c>
      <c r="E895">
        <v>14.749999999999901</v>
      </c>
      <c r="F895">
        <v>60.235666666666603</v>
      </c>
    </row>
    <row r="896" spans="1:6">
      <c r="A896" t="s">
        <v>900</v>
      </c>
      <c r="B896">
        <v>3.5933333333333302</v>
      </c>
      <c r="C896">
        <v>3.9866666666666601</v>
      </c>
      <c r="D896">
        <v>5.4066666666666601</v>
      </c>
      <c r="E896">
        <v>14.875999999999999</v>
      </c>
      <c r="F896">
        <v>60.041333333333299</v>
      </c>
    </row>
    <row r="897" spans="1:6">
      <c r="A897" t="s">
        <v>901</v>
      </c>
      <c r="B897">
        <v>5.0333333333333297</v>
      </c>
      <c r="C897">
        <v>5.5899999999999901</v>
      </c>
      <c r="D897">
        <v>7.5733333333333297</v>
      </c>
      <c r="E897">
        <v>14.78</v>
      </c>
      <c r="F897">
        <v>60.084333333333298</v>
      </c>
    </row>
    <row r="898" spans="1:6">
      <c r="A898" t="s">
        <v>902</v>
      </c>
      <c r="B898">
        <v>6.3766666666666598</v>
      </c>
      <c r="C898">
        <v>7.0933333333333302</v>
      </c>
      <c r="D898">
        <v>9.6</v>
      </c>
      <c r="E898">
        <v>14.485666666666599</v>
      </c>
      <c r="F898">
        <v>60.698666666666597</v>
      </c>
    </row>
    <row r="899" spans="1:6">
      <c r="A899" t="s">
        <v>903</v>
      </c>
      <c r="B899">
        <v>8.0066666666666606</v>
      </c>
      <c r="C899">
        <v>8.8933333333333309</v>
      </c>
      <c r="D899">
        <v>12.0399999999999</v>
      </c>
      <c r="E899">
        <v>14.0966666666666</v>
      </c>
      <c r="F899">
        <v>61.249333333333297</v>
      </c>
    </row>
    <row r="900" spans="1:6">
      <c r="A900" t="s">
        <v>904</v>
      </c>
      <c r="B900">
        <v>7.1333333333333302</v>
      </c>
      <c r="C900">
        <v>7.9233333333333302</v>
      </c>
      <c r="D900">
        <v>10.72</v>
      </c>
      <c r="E900">
        <v>13.7703333333333</v>
      </c>
      <c r="F900">
        <v>61.473999999999997</v>
      </c>
    </row>
    <row r="901" spans="1:6">
      <c r="A901" t="s">
        <v>905</v>
      </c>
      <c r="B901">
        <v>4.37</v>
      </c>
      <c r="C901">
        <v>4.8466666666666596</v>
      </c>
      <c r="D901">
        <v>6.5699999999999896</v>
      </c>
      <c r="E901">
        <v>13.5849999999999</v>
      </c>
      <c r="F901">
        <v>61.290333333333301</v>
      </c>
    </row>
    <row r="902" spans="1:6">
      <c r="A902" t="s">
        <v>906</v>
      </c>
      <c r="B902">
        <v>2.9866666666666601</v>
      </c>
      <c r="C902">
        <v>3.3033333333333301</v>
      </c>
      <c r="D902">
        <v>4.4966666666666599</v>
      </c>
      <c r="E902">
        <v>13.543666666666599</v>
      </c>
      <c r="F902">
        <v>60.964666666666602</v>
      </c>
    </row>
    <row r="903" spans="1:6">
      <c r="A903" t="s">
        <v>907</v>
      </c>
      <c r="B903">
        <v>1.7066666666666599</v>
      </c>
      <c r="C903">
        <v>1.9</v>
      </c>
      <c r="D903">
        <v>2.57666666666666</v>
      </c>
      <c r="E903">
        <v>13.325666666666599</v>
      </c>
      <c r="F903">
        <v>61.005000000000003</v>
      </c>
    </row>
    <row r="904" spans="1:6">
      <c r="A904" t="s">
        <v>908</v>
      </c>
      <c r="B904">
        <v>3.01</v>
      </c>
      <c r="C904">
        <v>3.36</v>
      </c>
      <c r="D904">
        <v>4.55</v>
      </c>
      <c r="E904">
        <v>13.2576666666666</v>
      </c>
      <c r="F904">
        <v>61.150999999999897</v>
      </c>
    </row>
    <row r="905" spans="1:6">
      <c r="A905" t="s">
        <v>909</v>
      </c>
      <c r="B905">
        <v>6.12</v>
      </c>
      <c r="C905">
        <v>6.7966666666666598</v>
      </c>
      <c r="D905">
        <v>9.1866666666666603</v>
      </c>
      <c r="E905">
        <v>13.227</v>
      </c>
      <c r="F905">
        <v>61.131999999999998</v>
      </c>
    </row>
    <row r="906" spans="1:6">
      <c r="A906" t="s">
        <v>910</v>
      </c>
      <c r="B906">
        <v>5.62</v>
      </c>
      <c r="C906">
        <v>6.2633333333333301</v>
      </c>
      <c r="D906">
        <v>8.4700000000000006</v>
      </c>
      <c r="E906">
        <v>13.1476666666666</v>
      </c>
      <c r="F906">
        <v>60.958666666666602</v>
      </c>
    </row>
    <row r="907" spans="1:6">
      <c r="A907" t="s">
        <v>911</v>
      </c>
      <c r="B907">
        <v>5.2666666666666604</v>
      </c>
      <c r="C907">
        <v>5.8633333333333297</v>
      </c>
      <c r="D907">
        <v>7.94</v>
      </c>
      <c r="E907">
        <v>13.0446666666666</v>
      </c>
      <c r="F907">
        <v>61.146999999999899</v>
      </c>
    </row>
    <row r="908" spans="1:6">
      <c r="A908" t="s">
        <v>912</v>
      </c>
      <c r="B908">
        <v>5.6</v>
      </c>
      <c r="C908">
        <v>6.2266666666666604</v>
      </c>
      <c r="D908">
        <v>8.4233333333333302</v>
      </c>
      <c r="E908">
        <v>12.986666666666601</v>
      </c>
      <c r="F908">
        <v>61.143000000000001</v>
      </c>
    </row>
    <row r="909" spans="1:6">
      <c r="A909" t="s">
        <v>913</v>
      </c>
      <c r="B909">
        <v>5.51</v>
      </c>
      <c r="C909">
        <v>6.11666666666666</v>
      </c>
      <c r="D909">
        <v>8.2899999999999991</v>
      </c>
      <c r="E909">
        <v>12.7736666666666</v>
      </c>
      <c r="F909">
        <v>61.222000000000001</v>
      </c>
    </row>
    <row r="910" spans="1:6">
      <c r="A910" t="s">
        <v>914</v>
      </c>
      <c r="B910">
        <v>5.3033333333333301</v>
      </c>
      <c r="C910">
        <v>5.89</v>
      </c>
      <c r="D910">
        <v>7.9766666666666604</v>
      </c>
      <c r="E910">
        <v>12.6489999999999</v>
      </c>
      <c r="F910">
        <v>61.4106666666666</v>
      </c>
    </row>
    <row r="911" spans="1:6">
      <c r="A911" t="s">
        <v>915</v>
      </c>
      <c r="B911">
        <v>4.0966666666666596</v>
      </c>
      <c r="C911">
        <v>4.5533333333333301</v>
      </c>
      <c r="D911">
        <v>6.1633333333333304</v>
      </c>
      <c r="E911">
        <v>12.581999999999899</v>
      </c>
      <c r="F911">
        <v>61.442666666666597</v>
      </c>
    </row>
    <row r="912" spans="1:6">
      <c r="A912" t="s">
        <v>916</v>
      </c>
      <c r="B912">
        <v>3.6099999999999901</v>
      </c>
      <c r="C912">
        <v>4.0133333333333301</v>
      </c>
      <c r="D912">
        <v>5.4266666666666596</v>
      </c>
      <c r="E912">
        <v>12.456</v>
      </c>
      <c r="F912">
        <v>61.430666666666603</v>
      </c>
    </row>
    <row r="913" spans="1:6">
      <c r="A913" t="s">
        <v>917</v>
      </c>
      <c r="B913">
        <v>3.1766666666666601</v>
      </c>
      <c r="C913">
        <v>3.54</v>
      </c>
      <c r="D913">
        <v>4.7966666666666598</v>
      </c>
      <c r="E913">
        <v>12.338666666666599</v>
      </c>
      <c r="F913">
        <v>61.332666666666597</v>
      </c>
    </row>
    <row r="914" spans="1:6">
      <c r="A914" t="s">
        <v>918</v>
      </c>
      <c r="B914">
        <v>2.9566666666666599</v>
      </c>
      <c r="C914">
        <v>3.27</v>
      </c>
      <c r="D914">
        <v>4.4566666666666599</v>
      </c>
      <c r="E914">
        <v>12.2606666666666</v>
      </c>
      <c r="F914">
        <v>61.217666666666602</v>
      </c>
    </row>
    <row r="915" spans="1:6">
      <c r="A915" t="s">
        <v>919</v>
      </c>
      <c r="B915">
        <v>2.89333333333333</v>
      </c>
      <c r="C915">
        <v>3.2266666666666599</v>
      </c>
      <c r="D915">
        <v>4.38</v>
      </c>
      <c r="E915">
        <v>12.193</v>
      </c>
      <c r="F915">
        <v>61.460999999999999</v>
      </c>
    </row>
    <row r="916" spans="1:6">
      <c r="A916" t="s">
        <v>920</v>
      </c>
      <c r="B916">
        <v>3.2333333333333298</v>
      </c>
      <c r="C916">
        <v>3.6</v>
      </c>
      <c r="D916">
        <v>4.8733333333333304</v>
      </c>
      <c r="E916">
        <v>12.0706666666666</v>
      </c>
      <c r="F916">
        <v>61.686999999999998</v>
      </c>
    </row>
    <row r="917" spans="1:6">
      <c r="A917" t="s">
        <v>921</v>
      </c>
      <c r="B917">
        <v>3.1133333333333302</v>
      </c>
      <c r="C917">
        <v>3.4599999999999902</v>
      </c>
      <c r="D917">
        <v>4.6933333333333298</v>
      </c>
      <c r="E917">
        <v>12.075999999999899</v>
      </c>
      <c r="F917">
        <v>61.447333333333297</v>
      </c>
    </row>
    <row r="918" spans="1:6">
      <c r="A918" t="s">
        <v>922</v>
      </c>
      <c r="B918">
        <v>2.3533333333333299</v>
      </c>
      <c r="C918">
        <v>2.6133333333333302</v>
      </c>
      <c r="D918">
        <v>3.56</v>
      </c>
      <c r="E918">
        <v>12.125999999999999</v>
      </c>
      <c r="F918">
        <v>60.975333333333303</v>
      </c>
    </row>
    <row r="919" spans="1:6">
      <c r="A919" t="s">
        <v>923</v>
      </c>
      <c r="B919">
        <v>3.2533333333333299</v>
      </c>
      <c r="C919">
        <v>3.6033333333333299</v>
      </c>
      <c r="D919">
        <v>4.9066666666666601</v>
      </c>
      <c r="E919">
        <v>11.8493333333333</v>
      </c>
      <c r="F919">
        <v>60.9806666666666</v>
      </c>
    </row>
    <row r="920" spans="1:6">
      <c r="A920" t="s">
        <v>924</v>
      </c>
      <c r="B920">
        <v>3.3533333333333299</v>
      </c>
      <c r="C920">
        <v>3.73</v>
      </c>
      <c r="D920">
        <v>5.0566666666666604</v>
      </c>
      <c r="E920">
        <v>11.701333333333301</v>
      </c>
      <c r="F920">
        <v>61.056333333333299</v>
      </c>
    </row>
    <row r="921" spans="1:6">
      <c r="A921" t="s">
        <v>925</v>
      </c>
      <c r="B921">
        <v>2.8566666666666598</v>
      </c>
      <c r="C921">
        <v>3.18333333333333</v>
      </c>
      <c r="D921">
        <v>4.3166666666666602</v>
      </c>
      <c r="E921">
        <v>11.626333333333299</v>
      </c>
      <c r="F921">
        <v>61.335333333333303</v>
      </c>
    </row>
    <row r="922" spans="1:6">
      <c r="A922" t="s">
        <v>926</v>
      </c>
      <c r="B922">
        <v>2.7499999999999898</v>
      </c>
      <c r="C922">
        <v>3.07</v>
      </c>
      <c r="D922">
        <v>4.1500000000000004</v>
      </c>
      <c r="E922">
        <v>11.617666666666601</v>
      </c>
      <c r="F922">
        <v>61.274666666666597</v>
      </c>
    </row>
    <row r="923" spans="1:6">
      <c r="A923" t="s">
        <v>927</v>
      </c>
      <c r="B923">
        <v>2.8333333333333299</v>
      </c>
      <c r="C923">
        <v>3.14333333333333</v>
      </c>
      <c r="D923">
        <v>4.26</v>
      </c>
      <c r="E923">
        <v>11.5869999999999</v>
      </c>
      <c r="F923">
        <v>61.220999999999997</v>
      </c>
    </row>
    <row r="924" spans="1:6">
      <c r="A924" t="s">
        <v>928</v>
      </c>
      <c r="B924">
        <v>3.11666666666666</v>
      </c>
      <c r="C924">
        <v>3.4766666666666599</v>
      </c>
      <c r="D924">
        <v>4.7099999999999902</v>
      </c>
      <c r="E924">
        <v>11.553333333333301</v>
      </c>
      <c r="F924">
        <v>61.295666666666598</v>
      </c>
    </row>
    <row r="925" spans="1:6">
      <c r="A925" t="s">
        <v>929</v>
      </c>
      <c r="B925">
        <v>2.6266666666666598</v>
      </c>
      <c r="C925">
        <v>2.91333333333333</v>
      </c>
      <c r="D925">
        <v>3.9666666666666601</v>
      </c>
      <c r="E925">
        <v>11.588666666666599</v>
      </c>
      <c r="F925">
        <v>61.630333333333297</v>
      </c>
    </row>
    <row r="926" spans="1:6">
      <c r="A926" t="s">
        <v>930</v>
      </c>
      <c r="B926">
        <v>3.5833333333333299</v>
      </c>
      <c r="C926">
        <v>3.98</v>
      </c>
      <c r="D926">
        <v>5.4033333333333298</v>
      </c>
      <c r="E926">
        <v>11.7099999999999</v>
      </c>
      <c r="F926">
        <v>61.456333333333298</v>
      </c>
    </row>
    <row r="927" spans="1:6">
      <c r="A927" t="s">
        <v>931</v>
      </c>
      <c r="B927">
        <v>4.3166666666666602</v>
      </c>
      <c r="C927">
        <v>4.7933333333333303</v>
      </c>
      <c r="D927">
        <v>6.5033333333333303</v>
      </c>
      <c r="E927">
        <v>11.973999999999901</v>
      </c>
      <c r="F927">
        <v>60.918999999999997</v>
      </c>
    </row>
    <row r="928" spans="1:6">
      <c r="A928" t="s">
        <v>932</v>
      </c>
      <c r="B928">
        <v>3.9566666666666599</v>
      </c>
      <c r="C928">
        <v>4.3866666666666596</v>
      </c>
      <c r="D928">
        <v>5.9533333333333296</v>
      </c>
      <c r="E928">
        <v>12.3983333333333</v>
      </c>
      <c r="F928">
        <v>60.557666666666599</v>
      </c>
    </row>
    <row r="929" spans="1:6">
      <c r="A929" t="s">
        <v>933</v>
      </c>
      <c r="B929">
        <v>3.3299999999999899</v>
      </c>
      <c r="C929">
        <v>3.7066666666666599</v>
      </c>
      <c r="D929">
        <v>5.0233333333333299</v>
      </c>
      <c r="E929">
        <v>12.6313333333333</v>
      </c>
      <c r="F929">
        <v>60.265999999999998</v>
      </c>
    </row>
    <row r="930" spans="1:6">
      <c r="A930" t="s">
        <v>934</v>
      </c>
      <c r="B930">
        <v>5.8966666666666603</v>
      </c>
      <c r="C930">
        <v>6.5533333333333301</v>
      </c>
      <c r="D930">
        <v>8.8800000000000008</v>
      </c>
      <c r="E930">
        <v>12.7389999999999</v>
      </c>
      <c r="F930">
        <v>60.078999999999901</v>
      </c>
    </row>
    <row r="931" spans="1:6">
      <c r="A931" t="s">
        <v>935</v>
      </c>
      <c r="B931">
        <v>2.7666666666666599</v>
      </c>
      <c r="C931">
        <v>3.0866666666666598</v>
      </c>
      <c r="D931">
        <v>4.1799999999999899</v>
      </c>
      <c r="E931">
        <v>13.6443333333333</v>
      </c>
      <c r="F931">
        <v>59.186999999999998</v>
      </c>
    </row>
    <row r="932" spans="1:6">
      <c r="A932" t="s">
        <v>936</v>
      </c>
      <c r="B932">
        <v>3.3033333333333301</v>
      </c>
      <c r="C932">
        <v>3.68333333333333</v>
      </c>
      <c r="D932">
        <v>4.9933333333333296</v>
      </c>
      <c r="E932">
        <v>14.078666666666599</v>
      </c>
      <c r="F932">
        <v>58.2603333333333</v>
      </c>
    </row>
    <row r="933" spans="1:6">
      <c r="A933" t="s">
        <v>937</v>
      </c>
      <c r="B933">
        <v>4.2266666666666604</v>
      </c>
      <c r="C933">
        <v>4.68333333333333</v>
      </c>
      <c r="D933">
        <v>6.3633333333333297</v>
      </c>
      <c r="E933">
        <v>14.136333333333299</v>
      </c>
      <c r="F933">
        <v>57.711666666666602</v>
      </c>
    </row>
    <row r="934" spans="1:6">
      <c r="A934" t="s">
        <v>938</v>
      </c>
      <c r="B934">
        <v>5.0966666666666596</v>
      </c>
      <c r="C934">
        <v>6.9733333333333301</v>
      </c>
      <c r="D934">
        <v>8.3266666666666609</v>
      </c>
      <c r="E934">
        <v>14.537333333333301</v>
      </c>
      <c r="F934">
        <v>56.907999999999902</v>
      </c>
    </row>
    <row r="935" spans="1:6">
      <c r="A935" t="s">
        <v>939</v>
      </c>
      <c r="B935">
        <v>3.8033333333333301</v>
      </c>
      <c r="C935">
        <v>5.5933333333333302</v>
      </c>
      <c r="D935">
        <v>6.51</v>
      </c>
      <c r="E935">
        <v>15.089</v>
      </c>
      <c r="F935">
        <v>56.507666666666601</v>
      </c>
    </row>
    <row r="936" spans="1:6">
      <c r="A936" t="s">
        <v>940</v>
      </c>
      <c r="B936">
        <v>2.7966666666666602</v>
      </c>
      <c r="C936">
        <v>3.64333333333333</v>
      </c>
      <c r="D936">
        <v>4.36666666666666</v>
      </c>
      <c r="E936">
        <v>16.568666666666601</v>
      </c>
      <c r="F936">
        <v>55.451000000000001</v>
      </c>
    </row>
    <row r="937" spans="1:6">
      <c r="A937" t="s">
        <v>941</v>
      </c>
      <c r="B937">
        <v>3.62333333333333</v>
      </c>
      <c r="C937">
        <v>4.8733333333333304</v>
      </c>
      <c r="D937">
        <v>6.65</v>
      </c>
      <c r="E937">
        <v>17.619999999999902</v>
      </c>
      <c r="F937">
        <v>53.32</v>
      </c>
    </row>
    <row r="938" spans="1:6">
      <c r="A938" t="s">
        <v>942</v>
      </c>
      <c r="B938">
        <v>3.89</v>
      </c>
      <c r="C938">
        <v>4.96</v>
      </c>
      <c r="D938">
        <v>6.77</v>
      </c>
      <c r="E938">
        <v>18.448333333333299</v>
      </c>
      <c r="F938">
        <v>51.662333333333301</v>
      </c>
    </row>
    <row r="939" spans="1:6">
      <c r="A939" t="s">
        <v>943</v>
      </c>
      <c r="B939">
        <v>2.2733333333333299</v>
      </c>
      <c r="C939">
        <v>3.2233333333333301</v>
      </c>
      <c r="D939">
        <v>5.36666666666666</v>
      </c>
      <c r="E939">
        <v>19.180333333333301</v>
      </c>
      <c r="F939">
        <v>49.533333333333303</v>
      </c>
    </row>
    <row r="940" spans="1:6">
      <c r="A940" t="s">
        <v>944</v>
      </c>
      <c r="B940">
        <v>2.03666666666666</v>
      </c>
      <c r="C940">
        <v>3.1733333333333298</v>
      </c>
      <c r="D940">
        <v>3.80666666666666</v>
      </c>
      <c r="E940">
        <v>19.490666666666598</v>
      </c>
      <c r="F940">
        <v>48.591000000000001</v>
      </c>
    </row>
    <row r="941" spans="1:6">
      <c r="A941" t="s">
        <v>945</v>
      </c>
      <c r="B941">
        <v>2.5066666666666602</v>
      </c>
      <c r="C941">
        <v>3.2833333333333301</v>
      </c>
      <c r="D941">
        <v>5.2233333333333301</v>
      </c>
      <c r="E941">
        <v>19.255999999999901</v>
      </c>
      <c r="F941">
        <v>48.870666666666601</v>
      </c>
    </row>
    <row r="942" spans="1:6">
      <c r="A942" t="s">
        <v>946</v>
      </c>
      <c r="B942">
        <v>3.3</v>
      </c>
      <c r="C942">
        <v>4.6466666666666603</v>
      </c>
      <c r="D942">
        <v>6.4499999999999904</v>
      </c>
      <c r="E942">
        <v>19.274999999999999</v>
      </c>
      <c r="F942">
        <v>48.4</v>
      </c>
    </row>
    <row r="943" spans="1:6">
      <c r="A943" t="s">
        <v>947</v>
      </c>
      <c r="B943">
        <v>2.73</v>
      </c>
      <c r="C943">
        <v>3.6199999999999899</v>
      </c>
      <c r="D943">
        <v>5.61</v>
      </c>
      <c r="E943">
        <v>19.693000000000001</v>
      </c>
      <c r="F943">
        <v>48.219000000000001</v>
      </c>
    </row>
    <row r="944" spans="1:6">
      <c r="A944" t="s">
        <v>948</v>
      </c>
      <c r="B944">
        <v>3.8033333333333301</v>
      </c>
      <c r="C944">
        <v>5.4433333333333298</v>
      </c>
      <c r="D944">
        <v>6.31</v>
      </c>
      <c r="E944">
        <v>20.088666666666601</v>
      </c>
      <c r="F944">
        <v>47.594666666666598</v>
      </c>
    </row>
    <row r="945" spans="1:6">
      <c r="A945" t="s">
        <v>949</v>
      </c>
      <c r="B945">
        <v>2.68333333333333</v>
      </c>
      <c r="C945">
        <v>4.1533333333333298</v>
      </c>
      <c r="D945">
        <v>6.1333333333333302</v>
      </c>
      <c r="E945">
        <v>19.664666666666601</v>
      </c>
      <c r="F945">
        <v>48.302</v>
      </c>
    </row>
    <row r="946" spans="1:6">
      <c r="A946" t="s">
        <v>950</v>
      </c>
      <c r="B946">
        <v>2.07666666666666</v>
      </c>
      <c r="C946">
        <v>3.07</v>
      </c>
      <c r="D946">
        <v>5.2633333333333301</v>
      </c>
      <c r="E946">
        <v>19.271999999999998</v>
      </c>
      <c r="F946">
        <v>49.638666666666602</v>
      </c>
    </row>
    <row r="947" spans="1:6">
      <c r="A947" t="s">
        <v>951</v>
      </c>
      <c r="B947">
        <v>2.23999999999999</v>
      </c>
      <c r="C947">
        <v>3.80666666666666</v>
      </c>
      <c r="D947">
        <v>6.7166666666666597</v>
      </c>
      <c r="E947">
        <v>19.2596666666666</v>
      </c>
      <c r="F947">
        <v>48.916333333333299</v>
      </c>
    </row>
    <row r="948" spans="1:6">
      <c r="A948" t="s">
        <v>952</v>
      </c>
      <c r="B948">
        <v>1.88</v>
      </c>
      <c r="C948">
        <v>2.89333333333333</v>
      </c>
      <c r="D948">
        <v>4.9533333333333296</v>
      </c>
      <c r="E948">
        <v>19.1673333333333</v>
      </c>
      <c r="F948">
        <v>49.255333333333297</v>
      </c>
    </row>
    <row r="949" spans="1:6">
      <c r="A949" t="s">
        <v>953</v>
      </c>
      <c r="B949">
        <v>2.34666666666666</v>
      </c>
      <c r="C949">
        <v>3.4099999999999899</v>
      </c>
      <c r="D949">
        <v>5.23</v>
      </c>
      <c r="E949">
        <v>19.092666666666599</v>
      </c>
      <c r="F949">
        <v>48.508000000000003</v>
      </c>
    </row>
    <row r="950" spans="1:6">
      <c r="A950" t="s">
        <v>954</v>
      </c>
      <c r="B950">
        <v>2.31</v>
      </c>
      <c r="C950">
        <v>3.71999999999999</v>
      </c>
      <c r="D950">
        <v>5.9566666666666599</v>
      </c>
      <c r="E950">
        <v>18.7669999999999</v>
      </c>
      <c r="F950">
        <v>48.593333333333298</v>
      </c>
    </row>
    <row r="951" spans="1:6">
      <c r="A951" t="s">
        <v>955</v>
      </c>
      <c r="B951">
        <v>2.64333333333333</v>
      </c>
      <c r="C951">
        <v>4.1733333333333302</v>
      </c>
      <c r="D951">
        <v>7.23</v>
      </c>
      <c r="E951">
        <v>18.674666666666599</v>
      </c>
      <c r="F951">
        <v>48.730333333333299</v>
      </c>
    </row>
    <row r="952" spans="1:6">
      <c r="A952" t="s">
        <v>956</v>
      </c>
      <c r="B952">
        <v>2.8366666666666598</v>
      </c>
      <c r="C952">
        <v>5.1699999999999902</v>
      </c>
      <c r="D952">
        <v>7.9266666666666596</v>
      </c>
      <c r="E952">
        <v>18.388666666666602</v>
      </c>
      <c r="F952">
        <v>50.836999999999897</v>
      </c>
    </row>
    <row r="953" spans="1:6">
      <c r="A953" t="s">
        <v>957</v>
      </c>
      <c r="B953">
        <v>3.30666666666666</v>
      </c>
      <c r="C953">
        <v>4.9833333333333298</v>
      </c>
      <c r="D953">
        <v>9.18333333333333</v>
      </c>
      <c r="E953">
        <v>18.079000000000001</v>
      </c>
      <c r="F953">
        <v>52.232333333333301</v>
      </c>
    </row>
    <row r="954" spans="1:6">
      <c r="A954" t="s">
        <v>958</v>
      </c>
      <c r="B954">
        <v>3.41</v>
      </c>
      <c r="C954">
        <v>4.46</v>
      </c>
      <c r="D954">
        <v>10.28</v>
      </c>
      <c r="E954">
        <v>18.3206666666666</v>
      </c>
      <c r="F954">
        <v>52.792666666666598</v>
      </c>
    </row>
    <row r="955" spans="1:6">
      <c r="A955" t="s">
        <v>959</v>
      </c>
      <c r="B955">
        <v>3.4666666666666601</v>
      </c>
      <c r="C955">
        <v>5.6133333333333297</v>
      </c>
      <c r="D955">
        <v>9.19</v>
      </c>
      <c r="E955">
        <v>18.175999999999998</v>
      </c>
      <c r="F955">
        <v>54.7143333333333</v>
      </c>
    </row>
    <row r="956" spans="1:6">
      <c r="A956" t="s">
        <v>960</v>
      </c>
      <c r="B956">
        <v>4.2133333333333303</v>
      </c>
      <c r="C956">
        <v>5.78</v>
      </c>
      <c r="D956">
        <v>11.73</v>
      </c>
      <c r="E956">
        <v>17.404</v>
      </c>
      <c r="F956">
        <v>58.152999999999899</v>
      </c>
    </row>
    <row r="957" spans="1:6">
      <c r="A957" t="s">
        <v>961</v>
      </c>
      <c r="B957">
        <v>3.9733333333333301</v>
      </c>
      <c r="C957">
        <v>4.4233333333333302</v>
      </c>
      <c r="D957">
        <v>5.9899999999999904</v>
      </c>
      <c r="E957">
        <v>17.035333333333298</v>
      </c>
      <c r="F957">
        <v>60.360333333333301</v>
      </c>
    </row>
    <row r="958" spans="1:6">
      <c r="A958" t="s">
        <v>962</v>
      </c>
      <c r="B958">
        <v>3.2933333333333299</v>
      </c>
      <c r="C958">
        <v>3.6566666666666601</v>
      </c>
      <c r="D958">
        <v>4.9633333333333303</v>
      </c>
      <c r="E958">
        <v>16.888999999999999</v>
      </c>
      <c r="F958">
        <v>61.7143333333333</v>
      </c>
    </row>
    <row r="959" spans="1:6">
      <c r="A959" t="s">
        <v>963</v>
      </c>
      <c r="B959">
        <v>2.7933333333333299</v>
      </c>
      <c r="C959">
        <v>3.1</v>
      </c>
      <c r="D959">
        <v>4.2233333333333301</v>
      </c>
      <c r="E959">
        <v>16.919333333333299</v>
      </c>
      <c r="F959">
        <v>62.563333333333297</v>
      </c>
    </row>
    <row r="960" spans="1:6">
      <c r="A960" t="s">
        <v>964</v>
      </c>
      <c r="B960">
        <v>2.6066666666666598</v>
      </c>
      <c r="C960">
        <v>2.9033333333333302</v>
      </c>
      <c r="D960">
        <v>3.9366666666666599</v>
      </c>
      <c r="E960">
        <v>16.8013333333333</v>
      </c>
      <c r="F960">
        <v>62.682333333333297</v>
      </c>
    </row>
    <row r="961" spans="1:6">
      <c r="A961" t="s">
        <v>965</v>
      </c>
      <c r="B961">
        <v>2.64333333333333</v>
      </c>
      <c r="C961">
        <v>2.93</v>
      </c>
      <c r="D961">
        <v>3.9666666666666601</v>
      </c>
      <c r="E961">
        <v>16.927333333333301</v>
      </c>
      <c r="F961">
        <v>62.521333333333303</v>
      </c>
    </row>
    <row r="962" spans="1:6">
      <c r="A962" t="s">
        <v>966</v>
      </c>
      <c r="B962">
        <v>1.73</v>
      </c>
      <c r="C962">
        <v>1.92333333333333</v>
      </c>
      <c r="D962">
        <v>2.62333333333333</v>
      </c>
      <c r="E962">
        <v>16.399999999999999</v>
      </c>
      <c r="F962">
        <v>62.760999999999903</v>
      </c>
    </row>
    <row r="963" spans="1:6">
      <c r="A963" t="s">
        <v>967</v>
      </c>
      <c r="B963">
        <v>1.0333333333333301</v>
      </c>
      <c r="C963">
        <v>1.15333333333333</v>
      </c>
      <c r="D963">
        <v>1.57666666666666</v>
      </c>
      <c r="E963">
        <v>16.427999999999901</v>
      </c>
      <c r="F963">
        <v>62.433666666666603</v>
      </c>
    </row>
    <row r="964" spans="1:6">
      <c r="A964" t="s">
        <v>968</v>
      </c>
      <c r="B964">
        <v>1.29666666666666</v>
      </c>
      <c r="C964">
        <v>1.4466666666666601</v>
      </c>
      <c r="D964">
        <v>1.9733333333333301</v>
      </c>
      <c r="E964">
        <v>16.0169999999999</v>
      </c>
      <c r="F964">
        <v>64.301333333333304</v>
      </c>
    </row>
    <row r="965" spans="1:6">
      <c r="A965" t="s">
        <v>969</v>
      </c>
      <c r="B965">
        <v>0.68666666666666598</v>
      </c>
      <c r="C965">
        <v>0.75666666666666604</v>
      </c>
      <c r="D965">
        <v>1.04666666666666</v>
      </c>
      <c r="E965">
        <v>16.2113333333333</v>
      </c>
      <c r="F965">
        <v>63.214666666666602</v>
      </c>
    </row>
    <row r="966" spans="1:6">
      <c r="A966" t="s">
        <v>970</v>
      </c>
      <c r="B966">
        <v>0.44</v>
      </c>
      <c r="C966">
        <v>0.5</v>
      </c>
      <c r="D966">
        <v>0.68666666666666598</v>
      </c>
      <c r="E966">
        <v>15.974</v>
      </c>
      <c r="F966">
        <v>64.413333333333298</v>
      </c>
    </row>
    <row r="967" spans="1:6">
      <c r="A967" t="s">
        <v>971</v>
      </c>
      <c r="B967">
        <v>0.65666666666666595</v>
      </c>
      <c r="C967">
        <v>0.73999999999999899</v>
      </c>
      <c r="D967">
        <v>1.0233333333333301</v>
      </c>
      <c r="E967">
        <v>16.2016666666666</v>
      </c>
      <c r="F967">
        <v>64.021000000000001</v>
      </c>
    </row>
    <row r="968" spans="1:6">
      <c r="A968" t="s">
        <v>972</v>
      </c>
      <c r="B968">
        <v>0.62333333333333296</v>
      </c>
      <c r="C968">
        <v>0.69666666666666599</v>
      </c>
      <c r="D968">
        <v>0.96666666666666601</v>
      </c>
      <c r="E968">
        <v>16.200333333333301</v>
      </c>
      <c r="F968">
        <v>64.484666666666598</v>
      </c>
    </row>
    <row r="969" spans="1:6">
      <c r="A969" t="s">
        <v>973</v>
      </c>
      <c r="B969">
        <v>0.68333333333333302</v>
      </c>
      <c r="C969">
        <v>0.76666666666666605</v>
      </c>
      <c r="D969">
        <v>1.04666666666666</v>
      </c>
      <c r="E969">
        <v>16.041999999999899</v>
      </c>
      <c r="F969">
        <v>65.553333333333299</v>
      </c>
    </row>
    <row r="970" spans="1:6">
      <c r="A970" t="s">
        <v>974</v>
      </c>
      <c r="B970">
        <v>0.67</v>
      </c>
      <c r="C970">
        <v>0.74</v>
      </c>
      <c r="D970">
        <v>1.03999999999999</v>
      </c>
      <c r="E970">
        <v>16.565333333333299</v>
      </c>
      <c r="F970">
        <v>64.905999999999906</v>
      </c>
    </row>
    <row r="971" spans="1:6">
      <c r="A971" t="s">
        <v>975</v>
      </c>
      <c r="B971">
        <v>0.63</v>
      </c>
      <c r="C971">
        <v>0.71333333333333304</v>
      </c>
      <c r="D971">
        <v>0.98</v>
      </c>
      <c r="E971">
        <v>16.96</v>
      </c>
      <c r="F971">
        <v>64.587999999999994</v>
      </c>
    </row>
    <row r="972" spans="1:6">
      <c r="A972" t="s">
        <v>976</v>
      </c>
      <c r="B972">
        <v>0.97333333333333305</v>
      </c>
      <c r="C972">
        <v>1.0899999999999901</v>
      </c>
      <c r="D972">
        <v>1.48</v>
      </c>
      <c r="E972">
        <v>17.359000000000002</v>
      </c>
      <c r="F972">
        <v>63.977333333333299</v>
      </c>
    </row>
    <row r="973" spans="1:6">
      <c r="A973" t="s">
        <v>977</v>
      </c>
      <c r="B973">
        <v>2.30666666666666</v>
      </c>
      <c r="C973">
        <v>2.5533333333333301</v>
      </c>
      <c r="D973">
        <v>3.4766666666666599</v>
      </c>
      <c r="E973">
        <v>17.635999999999999</v>
      </c>
      <c r="F973">
        <v>65.847999999999999</v>
      </c>
    </row>
    <row r="974" spans="1:6">
      <c r="A974" t="s">
        <v>978</v>
      </c>
      <c r="B974">
        <v>16.95</v>
      </c>
      <c r="C974">
        <v>18.8266666666666</v>
      </c>
      <c r="D974">
        <v>25.4499999999999</v>
      </c>
      <c r="E974">
        <v>18.085666666666601</v>
      </c>
      <c r="F974">
        <v>66.932333333333304</v>
      </c>
    </row>
    <row r="975" spans="1:6">
      <c r="A975" t="s">
        <v>979</v>
      </c>
      <c r="B975">
        <v>15.4466666666666</v>
      </c>
      <c r="C975">
        <v>17.149999999999999</v>
      </c>
      <c r="D975">
        <v>23.19</v>
      </c>
      <c r="E975">
        <v>18.380666666666599</v>
      </c>
      <c r="F975">
        <v>66.069999999999993</v>
      </c>
    </row>
    <row r="976" spans="1:6">
      <c r="A976" t="s">
        <v>980</v>
      </c>
      <c r="B976">
        <v>11.283333333333299</v>
      </c>
      <c r="C976">
        <v>12.533333333333299</v>
      </c>
      <c r="D976">
        <v>16.9499999999999</v>
      </c>
      <c r="E976">
        <v>18.716999999999999</v>
      </c>
      <c r="F976">
        <v>64.718333333333305</v>
      </c>
    </row>
    <row r="977" spans="1:6">
      <c r="A977" t="s">
        <v>981</v>
      </c>
      <c r="B977">
        <v>8.3066666666666595</v>
      </c>
      <c r="C977">
        <v>9.2233333333333292</v>
      </c>
      <c r="D977">
        <v>12.49</v>
      </c>
      <c r="E977">
        <v>18.4746666666666</v>
      </c>
      <c r="F977">
        <v>64.372666666666603</v>
      </c>
    </row>
    <row r="978" spans="1:6">
      <c r="A978" t="s">
        <v>982</v>
      </c>
      <c r="B978">
        <v>5.2266666666666604</v>
      </c>
      <c r="C978">
        <v>5.8</v>
      </c>
      <c r="D978">
        <v>7.8599999999999897</v>
      </c>
      <c r="E978">
        <v>18.364999999999998</v>
      </c>
      <c r="F978">
        <v>63.432000000000002</v>
      </c>
    </row>
    <row r="979" spans="1:6">
      <c r="A979" t="s">
        <v>983</v>
      </c>
      <c r="B979">
        <v>2.92</v>
      </c>
      <c r="C979">
        <v>3.23999999999999</v>
      </c>
      <c r="D979">
        <v>4.4066666666666601</v>
      </c>
      <c r="E979">
        <v>17.932666666666599</v>
      </c>
      <c r="F979">
        <v>62.632666666666601</v>
      </c>
    </row>
    <row r="980" spans="1:6">
      <c r="A980" t="s">
        <v>984</v>
      </c>
      <c r="B980">
        <v>2.7766666666666602</v>
      </c>
      <c r="C980">
        <v>3.09666666666666</v>
      </c>
      <c r="D980">
        <v>4.1899999999999897</v>
      </c>
      <c r="E980">
        <v>17.511666666666599</v>
      </c>
      <c r="F980">
        <v>62.524333333333303</v>
      </c>
    </row>
    <row r="981" spans="1:6">
      <c r="A981" t="s">
        <v>985</v>
      </c>
      <c r="B981">
        <v>1.7933333333333299</v>
      </c>
      <c r="C981">
        <v>1.99</v>
      </c>
      <c r="D981">
        <v>2.7133333333333298</v>
      </c>
      <c r="E981">
        <v>17.296999999999901</v>
      </c>
      <c r="F981">
        <v>62.324999999999903</v>
      </c>
    </row>
    <row r="982" spans="1:6">
      <c r="A982" t="s">
        <v>986</v>
      </c>
      <c r="B982">
        <v>1.76</v>
      </c>
      <c r="C982">
        <v>1.9566666666666599</v>
      </c>
      <c r="D982">
        <v>2.6666666666666599</v>
      </c>
      <c r="E982">
        <v>17.074000000000002</v>
      </c>
      <c r="F982">
        <v>62.172333333333299</v>
      </c>
    </row>
    <row r="983" spans="1:6">
      <c r="A983" t="s">
        <v>987</v>
      </c>
      <c r="B983">
        <v>1.64333333333333</v>
      </c>
      <c r="C983">
        <v>1.8299999999999901</v>
      </c>
      <c r="D983">
        <v>2.4966666666666599</v>
      </c>
      <c r="E983">
        <v>16.77</v>
      </c>
      <c r="F983">
        <v>62.002666666666599</v>
      </c>
    </row>
    <row r="984" spans="1:6">
      <c r="A984" t="s">
        <v>988</v>
      </c>
      <c r="B984">
        <v>2.0499999999999998</v>
      </c>
      <c r="C984">
        <v>2.2833333333333301</v>
      </c>
      <c r="D984">
        <v>3.09666666666666</v>
      </c>
      <c r="E984">
        <v>16.619999999999902</v>
      </c>
      <c r="F984">
        <v>62.082999999999899</v>
      </c>
    </row>
    <row r="985" spans="1:6">
      <c r="A985" t="s">
        <v>989</v>
      </c>
      <c r="B985">
        <v>3.5833333333333299</v>
      </c>
      <c r="C985">
        <v>3.9866666666666601</v>
      </c>
      <c r="D985">
        <v>5.39</v>
      </c>
      <c r="E985">
        <v>16.359666666666602</v>
      </c>
      <c r="F985">
        <v>62.204999999999998</v>
      </c>
    </row>
    <row r="986" spans="1:6">
      <c r="A986" t="s">
        <v>990</v>
      </c>
      <c r="B986">
        <v>3.3533333333333299</v>
      </c>
      <c r="C986">
        <v>3.7099999999999902</v>
      </c>
      <c r="D986">
        <v>5.0533333333333301</v>
      </c>
      <c r="E986">
        <v>16.0846666666666</v>
      </c>
      <c r="F986">
        <v>61.956666666666599</v>
      </c>
    </row>
    <row r="987" spans="1:6">
      <c r="A987" t="s">
        <v>991</v>
      </c>
      <c r="B987">
        <v>2.6266666666666598</v>
      </c>
      <c r="C987">
        <v>2.9199999999999902</v>
      </c>
      <c r="D987">
        <v>3.9733333333333301</v>
      </c>
      <c r="E987">
        <v>15.7119999999999</v>
      </c>
      <c r="F987">
        <v>62.173333333333296</v>
      </c>
    </row>
    <row r="988" spans="1:6">
      <c r="A988" t="s">
        <v>992</v>
      </c>
      <c r="B988">
        <v>3.08</v>
      </c>
      <c r="C988">
        <v>3.4266666666666601</v>
      </c>
      <c r="D988">
        <v>4.6533333333333298</v>
      </c>
      <c r="E988">
        <v>15.5199999999999</v>
      </c>
      <c r="F988">
        <v>62.287666666666603</v>
      </c>
    </row>
    <row r="989" spans="1:6">
      <c r="A989" t="s">
        <v>993</v>
      </c>
      <c r="B989">
        <v>3.19999999999999</v>
      </c>
      <c r="C989">
        <v>3.5499999999999901</v>
      </c>
      <c r="D989">
        <v>4.82666666666666</v>
      </c>
      <c r="E989">
        <v>15.311</v>
      </c>
      <c r="F989">
        <v>62.283333333333303</v>
      </c>
    </row>
    <row r="990" spans="1:6">
      <c r="A990" t="s">
        <v>994</v>
      </c>
      <c r="B990">
        <v>3.4266666666666601</v>
      </c>
      <c r="C990">
        <v>3.8133333333333299</v>
      </c>
      <c r="D990">
        <v>5.1666666666666599</v>
      </c>
      <c r="E990">
        <v>15.2563333333333</v>
      </c>
      <c r="F990">
        <v>62.137999999999998</v>
      </c>
    </row>
    <row r="991" spans="1:6">
      <c r="A991" t="s">
        <v>995</v>
      </c>
      <c r="B991">
        <v>1.8899999999999899</v>
      </c>
      <c r="C991">
        <v>2.09666666666666</v>
      </c>
      <c r="D991">
        <v>2.8599999999999901</v>
      </c>
      <c r="E991">
        <v>15.233666666666601</v>
      </c>
      <c r="F991">
        <v>61.857666666666603</v>
      </c>
    </row>
    <row r="992" spans="1:6">
      <c r="A992" t="s">
        <v>996</v>
      </c>
      <c r="B992">
        <v>1.68</v>
      </c>
      <c r="C992">
        <v>1.86666666666666</v>
      </c>
      <c r="D992">
        <v>2.5466666666666602</v>
      </c>
      <c r="E992">
        <v>15.1516666666666</v>
      </c>
      <c r="F992">
        <v>61.529333333333298</v>
      </c>
    </row>
    <row r="993" spans="1:6">
      <c r="A993" t="s">
        <v>997</v>
      </c>
      <c r="B993">
        <v>1.9833333333333301</v>
      </c>
      <c r="C993">
        <v>2.21</v>
      </c>
      <c r="D993">
        <v>3.0033333333333299</v>
      </c>
      <c r="E993">
        <v>14.889333333333299</v>
      </c>
      <c r="F993">
        <v>61.056666666666601</v>
      </c>
    </row>
    <row r="994" spans="1:6">
      <c r="A994" t="s">
        <v>998</v>
      </c>
      <c r="B994">
        <v>1.7366666666666599</v>
      </c>
      <c r="C994">
        <v>1.93</v>
      </c>
      <c r="D994">
        <v>2.61666666666666</v>
      </c>
      <c r="E994">
        <v>14.4743333333333</v>
      </c>
      <c r="F994">
        <v>61.146000000000001</v>
      </c>
    </row>
    <row r="995" spans="1:6">
      <c r="A995" t="s">
        <v>999</v>
      </c>
      <c r="B995">
        <v>1.3</v>
      </c>
      <c r="C995">
        <v>1.45</v>
      </c>
      <c r="D995">
        <v>1.98</v>
      </c>
      <c r="E995">
        <v>14.244</v>
      </c>
      <c r="F995">
        <v>61.131999999999998</v>
      </c>
    </row>
    <row r="996" spans="1:6">
      <c r="A996" t="s">
        <v>1000</v>
      </c>
      <c r="B996">
        <v>1.54666666666666</v>
      </c>
      <c r="C996">
        <v>1.7266666666666599</v>
      </c>
      <c r="D996">
        <v>2.34666666666666</v>
      </c>
      <c r="E996">
        <v>13.9783333333333</v>
      </c>
      <c r="F996">
        <v>61.515333333333302</v>
      </c>
    </row>
    <row r="997" spans="1:6">
      <c r="A997" t="s">
        <v>1001</v>
      </c>
      <c r="B997">
        <v>1.82666666666666</v>
      </c>
      <c r="C997">
        <v>2.0299999999999998</v>
      </c>
      <c r="D997">
        <v>2.7633333333333301</v>
      </c>
      <c r="E997">
        <v>13.8539999999999</v>
      </c>
      <c r="F997">
        <v>61.619666666666603</v>
      </c>
    </row>
    <row r="998" spans="1:6">
      <c r="A998" t="s">
        <v>1002</v>
      </c>
      <c r="B998">
        <v>2.1466666666666598</v>
      </c>
      <c r="C998">
        <v>2.38</v>
      </c>
      <c r="D998">
        <v>3.2266666666666599</v>
      </c>
      <c r="E998">
        <v>13.8243333333333</v>
      </c>
      <c r="F998">
        <v>62.0489999999999</v>
      </c>
    </row>
    <row r="999" spans="1:6">
      <c r="A999" t="s">
        <v>1003</v>
      </c>
      <c r="B999">
        <v>1.62</v>
      </c>
      <c r="C999">
        <v>1.7933333333333299</v>
      </c>
      <c r="D999">
        <v>2.4466666666666601</v>
      </c>
      <c r="E999">
        <v>13.8713333333333</v>
      </c>
      <c r="F999">
        <v>61.822000000000003</v>
      </c>
    </row>
    <row r="1000" spans="1:6">
      <c r="A1000" t="s">
        <v>1004</v>
      </c>
      <c r="B1000">
        <v>1.08666666666666</v>
      </c>
      <c r="C1000">
        <v>1.2066666666666599</v>
      </c>
      <c r="D1000">
        <v>1.65333333333333</v>
      </c>
      <c r="E1000">
        <v>13.7919999999999</v>
      </c>
      <c r="F1000">
        <v>61.060666666666599</v>
      </c>
    </row>
    <row r="1001" spans="1:6">
      <c r="A1001" t="s">
        <v>1005</v>
      </c>
      <c r="B1001">
        <v>1.4866666666666599</v>
      </c>
      <c r="C1001">
        <v>1.6566666666666601</v>
      </c>
      <c r="D1001">
        <v>2.2599999999999998</v>
      </c>
      <c r="E1001">
        <v>13.678000000000001</v>
      </c>
      <c r="F1001">
        <v>60.813666666666599</v>
      </c>
    </row>
    <row r="1002" spans="1:6">
      <c r="A1002" t="s">
        <v>1006</v>
      </c>
      <c r="B1002">
        <v>4.87</v>
      </c>
      <c r="C1002">
        <v>5.4133333333333304</v>
      </c>
      <c r="D1002">
        <v>7.33</v>
      </c>
      <c r="E1002">
        <v>13.5736666666666</v>
      </c>
      <c r="F1002">
        <v>62.062999999999903</v>
      </c>
    </row>
    <row r="1003" spans="1:6">
      <c r="A1003" t="s">
        <v>1007</v>
      </c>
      <c r="B1003">
        <v>4.0866666666666598</v>
      </c>
      <c r="C1003">
        <v>4.5499999999999901</v>
      </c>
      <c r="D1003">
        <v>6.1566666666666601</v>
      </c>
      <c r="E1003">
        <v>13.9193333333333</v>
      </c>
      <c r="F1003">
        <v>61.67</v>
      </c>
    </row>
    <row r="1004" spans="1:6">
      <c r="A1004" t="s">
        <v>1008</v>
      </c>
      <c r="B1004">
        <v>4.47</v>
      </c>
      <c r="C1004">
        <v>4.9666666666666597</v>
      </c>
      <c r="D1004">
        <v>6.7266666666666604</v>
      </c>
      <c r="E1004">
        <v>14.015333333333301</v>
      </c>
      <c r="F1004">
        <v>61.880999999999901</v>
      </c>
    </row>
    <row r="1005" spans="1:6">
      <c r="A1005" t="s">
        <v>1009</v>
      </c>
      <c r="B1005">
        <v>3.87</v>
      </c>
      <c r="C1005">
        <v>4.2966666666666598</v>
      </c>
      <c r="D1005">
        <v>5.8166666666666602</v>
      </c>
      <c r="E1005">
        <v>13.9526666666666</v>
      </c>
      <c r="F1005">
        <v>62.024999999999999</v>
      </c>
    </row>
    <row r="1006" spans="1:6">
      <c r="A1006" t="s">
        <v>1010</v>
      </c>
      <c r="B1006">
        <v>1.5633333333333299</v>
      </c>
      <c r="C1006">
        <v>1.7566666666666599</v>
      </c>
      <c r="D1006">
        <v>2.38</v>
      </c>
      <c r="E1006">
        <v>14.3189999999999</v>
      </c>
      <c r="F1006">
        <v>60.825666666666599</v>
      </c>
    </row>
    <row r="1007" spans="1:6">
      <c r="A1007" t="s">
        <v>1011</v>
      </c>
      <c r="B1007">
        <v>1.0733333333333299</v>
      </c>
      <c r="C1007">
        <v>1.2</v>
      </c>
      <c r="D1007">
        <v>1.63333333333333</v>
      </c>
      <c r="E1007">
        <v>14.652999999999899</v>
      </c>
      <c r="F1007">
        <v>60.598666666666603</v>
      </c>
    </row>
    <row r="1008" spans="1:6">
      <c r="A1008" t="s">
        <v>1012</v>
      </c>
      <c r="B1008">
        <v>0.81666666666666599</v>
      </c>
      <c r="C1008">
        <v>0.90666666666666595</v>
      </c>
      <c r="D1008">
        <v>1.23999999999999</v>
      </c>
      <c r="E1008">
        <v>14.728</v>
      </c>
      <c r="F1008">
        <v>60.816333333333297</v>
      </c>
    </row>
    <row r="1009" spans="1:6">
      <c r="A1009" t="s">
        <v>1013</v>
      </c>
      <c r="B1009">
        <v>1.1766666666666601</v>
      </c>
      <c r="C1009">
        <v>1.3033333333333299</v>
      </c>
      <c r="D1009">
        <v>1.7933333333333299</v>
      </c>
      <c r="E1009">
        <v>14.5643333333333</v>
      </c>
      <c r="F1009">
        <v>60.985666666666603</v>
      </c>
    </row>
    <row r="1010" spans="1:6">
      <c r="A1010" t="s">
        <v>1014</v>
      </c>
      <c r="B1010">
        <v>1.70333333333333</v>
      </c>
      <c r="C1010">
        <v>1.90333333333333</v>
      </c>
      <c r="D1010">
        <v>2.5866666666666598</v>
      </c>
      <c r="E1010">
        <v>14.268333333333301</v>
      </c>
      <c r="F1010">
        <v>61.239666666666601</v>
      </c>
    </row>
    <row r="1011" spans="1:6">
      <c r="A1011" t="s">
        <v>1015</v>
      </c>
      <c r="B1011">
        <v>2.3033333333333301</v>
      </c>
      <c r="C1011">
        <v>2.5533333333333301</v>
      </c>
      <c r="D1011">
        <v>3.4766666666666599</v>
      </c>
      <c r="E1011">
        <v>14.079666666666601</v>
      </c>
      <c r="F1011">
        <v>61.311999999999998</v>
      </c>
    </row>
    <row r="1012" spans="1:6">
      <c r="A1012" t="s">
        <v>1016</v>
      </c>
      <c r="B1012">
        <v>0.98</v>
      </c>
      <c r="C1012">
        <v>1.09666666666666</v>
      </c>
      <c r="D1012">
        <v>1.4966666666666599</v>
      </c>
      <c r="E1012">
        <v>14.035</v>
      </c>
      <c r="F1012">
        <v>60.940666666666601</v>
      </c>
    </row>
    <row r="1013" spans="1:6">
      <c r="A1013" t="s">
        <v>1017</v>
      </c>
      <c r="B1013">
        <v>0.93666666666666598</v>
      </c>
      <c r="C1013">
        <v>1.03666666666666</v>
      </c>
      <c r="D1013">
        <v>1.4199999999999899</v>
      </c>
      <c r="E1013">
        <v>13.9116666666666</v>
      </c>
      <c r="F1013">
        <v>60.9656666666666</v>
      </c>
    </row>
    <row r="1014" spans="1:6">
      <c r="A1014" t="s">
        <v>1018</v>
      </c>
      <c r="B1014">
        <v>1.48999999999999</v>
      </c>
      <c r="C1014">
        <v>1.66</v>
      </c>
      <c r="D1014">
        <v>2.2599999999999998</v>
      </c>
      <c r="E1014">
        <v>13.723333333333301</v>
      </c>
      <c r="F1014">
        <v>61.211999999999897</v>
      </c>
    </row>
    <row r="1015" spans="1:6">
      <c r="A1015" t="s">
        <v>1019</v>
      </c>
      <c r="B1015">
        <v>1.0233333333333301</v>
      </c>
      <c r="C1015">
        <v>1.1399999999999999</v>
      </c>
      <c r="D1015">
        <v>1.55666666666666</v>
      </c>
      <c r="E1015">
        <v>13.5906666666666</v>
      </c>
      <c r="F1015">
        <v>61.248666666666601</v>
      </c>
    </row>
    <row r="1016" spans="1:6">
      <c r="A1016" t="s">
        <v>1020</v>
      </c>
      <c r="B1016">
        <v>1.15333333333333</v>
      </c>
      <c r="C1016">
        <v>1.2999999999999901</v>
      </c>
      <c r="D1016">
        <v>1.74999999999999</v>
      </c>
      <c r="E1016">
        <v>13.496</v>
      </c>
      <c r="F1016">
        <v>61.222666666666598</v>
      </c>
    </row>
    <row r="1017" spans="1:6">
      <c r="A1017" t="s">
        <v>1021</v>
      </c>
      <c r="B1017">
        <v>1.4833333333333301</v>
      </c>
      <c r="C1017">
        <v>1.64333333333333</v>
      </c>
      <c r="D1017">
        <v>2.2633333333333301</v>
      </c>
      <c r="E1017">
        <v>13.408333333333299</v>
      </c>
      <c r="F1017">
        <v>60.985333333333301</v>
      </c>
    </row>
    <row r="1018" spans="1:6">
      <c r="A1018" t="s">
        <v>1022</v>
      </c>
      <c r="B1018">
        <v>1.6</v>
      </c>
      <c r="C1018">
        <v>1.7666666666666599</v>
      </c>
      <c r="D1018">
        <v>2.4199999999999902</v>
      </c>
      <c r="E1018">
        <v>13.355</v>
      </c>
      <c r="F1018">
        <v>61.075666666666599</v>
      </c>
    </row>
    <row r="1019" spans="1:6">
      <c r="A1019" t="s">
        <v>1023</v>
      </c>
      <c r="B1019">
        <v>1.71999999999999</v>
      </c>
      <c r="C1019">
        <v>1.9166666666666601</v>
      </c>
      <c r="D1019">
        <v>2.6066666666666598</v>
      </c>
      <c r="E1019">
        <v>13.518333333333301</v>
      </c>
      <c r="F1019">
        <v>61.056999999999903</v>
      </c>
    </row>
    <row r="1020" spans="1:6">
      <c r="A1020" t="s">
        <v>1024</v>
      </c>
      <c r="B1020">
        <v>1.0733333333333299</v>
      </c>
      <c r="C1020">
        <v>1.1866666666666601</v>
      </c>
      <c r="D1020">
        <v>1.6366666666666601</v>
      </c>
      <c r="E1020">
        <v>13.579333333333301</v>
      </c>
      <c r="F1020">
        <v>61.031999999999996</v>
      </c>
    </row>
    <row r="1021" spans="1:6">
      <c r="A1021" t="s">
        <v>1025</v>
      </c>
      <c r="B1021">
        <v>1.2666666666666599</v>
      </c>
      <c r="C1021">
        <v>1.41</v>
      </c>
      <c r="D1021">
        <v>1.93333333333333</v>
      </c>
      <c r="E1021">
        <v>13.466666666666599</v>
      </c>
      <c r="F1021">
        <v>60.911999999999999</v>
      </c>
    </row>
    <row r="1022" spans="1:6">
      <c r="A1022" t="s">
        <v>1026</v>
      </c>
      <c r="B1022">
        <v>1.6033333333333299</v>
      </c>
      <c r="C1022">
        <v>1.77</v>
      </c>
      <c r="D1022">
        <v>2.4166666666666599</v>
      </c>
      <c r="E1022">
        <v>13.3496666666666</v>
      </c>
      <c r="F1022">
        <v>61.171333333333301</v>
      </c>
    </row>
    <row r="1023" spans="1:6">
      <c r="A1023" t="s">
        <v>1027</v>
      </c>
      <c r="B1023">
        <v>1.5166666666666599</v>
      </c>
      <c r="C1023">
        <v>1.6866666666666601</v>
      </c>
      <c r="D1023">
        <v>2.2999999999999901</v>
      </c>
      <c r="E1023">
        <v>13.489999999999901</v>
      </c>
      <c r="F1023">
        <v>60.875333333333302</v>
      </c>
    </row>
    <row r="1024" spans="1:6">
      <c r="A1024" t="s">
        <v>1028</v>
      </c>
      <c r="B1024">
        <v>2.5466666666666602</v>
      </c>
      <c r="C1024">
        <v>2.8333333333333299</v>
      </c>
      <c r="D1024">
        <v>3.8533333333333299</v>
      </c>
      <c r="E1024">
        <v>13.6253333333333</v>
      </c>
      <c r="F1024">
        <v>61.113</v>
      </c>
    </row>
    <row r="1025" spans="1:6">
      <c r="A1025" t="s">
        <v>1029</v>
      </c>
      <c r="B1025">
        <v>2.9466666666666601</v>
      </c>
      <c r="C1025">
        <v>3.27</v>
      </c>
      <c r="D1025">
        <v>4.4433333333333298</v>
      </c>
      <c r="E1025">
        <v>13.946</v>
      </c>
      <c r="F1025">
        <v>61.2083333333333</v>
      </c>
    </row>
    <row r="1026" spans="1:6">
      <c r="A1026" t="s">
        <v>1030</v>
      </c>
      <c r="B1026">
        <v>3.2633333333333301</v>
      </c>
      <c r="C1026">
        <v>3.64</v>
      </c>
      <c r="D1026">
        <v>4.9233333333333302</v>
      </c>
      <c r="E1026">
        <v>14.485666666666599</v>
      </c>
      <c r="F1026">
        <v>61.183666666666603</v>
      </c>
    </row>
    <row r="1027" spans="1:6">
      <c r="A1027" t="s">
        <v>1031</v>
      </c>
      <c r="B1027">
        <v>3.82666666666666</v>
      </c>
      <c r="C1027">
        <v>4.2433333333333296</v>
      </c>
      <c r="D1027">
        <v>5.77</v>
      </c>
      <c r="E1027">
        <v>15.441333333333301</v>
      </c>
      <c r="F1027">
        <v>60.023000000000003</v>
      </c>
    </row>
    <row r="1028" spans="1:6">
      <c r="A1028" t="s">
        <v>1032</v>
      </c>
      <c r="B1028">
        <v>2.4233333333333298</v>
      </c>
      <c r="C1028">
        <v>2.8566666666666598</v>
      </c>
      <c r="D1028">
        <v>3.78</v>
      </c>
      <c r="E1028">
        <v>15.905333333333299</v>
      </c>
      <c r="F1028">
        <v>58.482333333333301</v>
      </c>
    </row>
    <row r="1029" spans="1:6">
      <c r="A1029" t="s">
        <v>1033</v>
      </c>
      <c r="B1029">
        <v>2.7566666666666602</v>
      </c>
      <c r="C1029">
        <v>3.3833333333333302</v>
      </c>
      <c r="D1029">
        <v>4.3966666666666603</v>
      </c>
      <c r="E1029">
        <v>16.483666666666601</v>
      </c>
      <c r="F1029">
        <v>56.953333333333298</v>
      </c>
    </row>
    <row r="1030" spans="1:6">
      <c r="A1030" t="s">
        <v>1034</v>
      </c>
      <c r="B1030">
        <v>2.80666666666666</v>
      </c>
      <c r="C1030">
        <v>4.2533333333333303</v>
      </c>
      <c r="D1030">
        <v>5.4466666666666601</v>
      </c>
      <c r="E1030">
        <v>16.905333333333299</v>
      </c>
      <c r="F1030">
        <v>56.439666666666596</v>
      </c>
    </row>
    <row r="1031" spans="1:6">
      <c r="A1031" t="s">
        <v>1035</v>
      </c>
      <c r="B1031">
        <v>2.4866666666666601</v>
      </c>
      <c r="C1031">
        <v>3.73999999999999</v>
      </c>
      <c r="D1031">
        <v>4.9066666666666601</v>
      </c>
      <c r="E1031">
        <v>17.005666666666599</v>
      </c>
      <c r="F1031">
        <v>54.630333333333297</v>
      </c>
    </row>
    <row r="1032" spans="1:6">
      <c r="A1032" t="s">
        <v>1036</v>
      </c>
      <c r="B1032">
        <v>2.2766666666666602</v>
      </c>
      <c r="C1032">
        <v>3.4799999999999902</v>
      </c>
      <c r="D1032">
        <v>4.7233333333333301</v>
      </c>
      <c r="E1032">
        <v>17.566666666666599</v>
      </c>
      <c r="F1032">
        <v>53.428333333333299</v>
      </c>
    </row>
    <row r="1033" spans="1:6">
      <c r="A1033" t="s">
        <v>1037</v>
      </c>
      <c r="B1033">
        <v>2.4733333333333301</v>
      </c>
      <c r="C1033">
        <v>3.75</v>
      </c>
      <c r="D1033">
        <v>4.9266666666666596</v>
      </c>
      <c r="E1033">
        <v>18.418333333333301</v>
      </c>
      <c r="F1033">
        <v>51.832333333333303</v>
      </c>
    </row>
    <row r="1034" spans="1:6">
      <c r="A1034" t="s">
        <v>1038</v>
      </c>
      <c r="B1034">
        <v>2.62333333333333</v>
      </c>
      <c r="C1034">
        <v>3.75</v>
      </c>
      <c r="D1034">
        <v>6.86666666666666</v>
      </c>
      <c r="E1034">
        <v>18.661666666666601</v>
      </c>
      <c r="F1034">
        <v>49.833666666666602</v>
      </c>
    </row>
    <row r="1035" spans="1:6">
      <c r="A1035" t="s">
        <v>1039</v>
      </c>
      <c r="B1035">
        <v>2.6666666666666599</v>
      </c>
      <c r="C1035">
        <v>3.47</v>
      </c>
      <c r="D1035">
        <v>4.3466666666666596</v>
      </c>
      <c r="E1035">
        <v>19.500333333333302</v>
      </c>
      <c r="F1035">
        <v>48.474333333333298</v>
      </c>
    </row>
    <row r="1036" spans="1:6">
      <c r="A1036" t="s">
        <v>1040</v>
      </c>
      <c r="B1036">
        <v>2.84666666666666</v>
      </c>
      <c r="C1036">
        <v>3.9566666666666599</v>
      </c>
      <c r="D1036">
        <v>6.45</v>
      </c>
      <c r="E1036">
        <v>19.9196666666666</v>
      </c>
      <c r="F1036">
        <v>47.286666666666598</v>
      </c>
    </row>
    <row r="1037" spans="1:6">
      <c r="A1037" t="s">
        <v>1041</v>
      </c>
      <c r="B1037">
        <v>2.8433333333333302</v>
      </c>
      <c r="C1037">
        <v>4.0833333333333304</v>
      </c>
      <c r="D1037">
        <v>6.18</v>
      </c>
      <c r="E1037">
        <v>20.844333333333299</v>
      </c>
      <c r="F1037">
        <v>45.045333333333303</v>
      </c>
    </row>
    <row r="1038" spans="1:6">
      <c r="A1038" t="s">
        <v>1042</v>
      </c>
      <c r="B1038">
        <v>2.63</v>
      </c>
      <c r="C1038">
        <v>4.2799999999999896</v>
      </c>
      <c r="D1038">
        <v>7.0933333333333302</v>
      </c>
      <c r="E1038">
        <v>20.701000000000001</v>
      </c>
      <c r="F1038">
        <v>44.861333333333299</v>
      </c>
    </row>
    <row r="1039" spans="1:6">
      <c r="A1039" t="s">
        <v>1043</v>
      </c>
      <c r="B1039">
        <v>2.3866666666666601</v>
      </c>
      <c r="C1039">
        <v>3.26</v>
      </c>
      <c r="D1039">
        <v>5.29</v>
      </c>
      <c r="E1039">
        <v>20.158333333333299</v>
      </c>
      <c r="F1039">
        <v>46.258666666666599</v>
      </c>
    </row>
    <row r="1040" spans="1:6">
      <c r="A1040" t="s">
        <v>1044</v>
      </c>
      <c r="B1040">
        <v>2.1966666666666601</v>
      </c>
      <c r="C1040">
        <v>3.17</v>
      </c>
      <c r="D1040">
        <v>4.97</v>
      </c>
      <c r="E1040">
        <v>22.145999999999901</v>
      </c>
      <c r="F1040">
        <v>43.696666666666601</v>
      </c>
    </row>
    <row r="1041" spans="1:6">
      <c r="A1041" t="s">
        <v>1045</v>
      </c>
      <c r="B1041">
        <v>2.9099999999999899</v>
      </c>
      <c r="C1041">
        <v>4.5566666666666604</v>
      </c>
      <c r="D1041">
        <v>6.7966666666666598</v>
      </c>
      <c r="E1041">
        <v>21.927</v>
      </c>
      <c r="F1041">
        <v>43.338999999999999</v>
      </c>
    </row>
    <row r="1042" spans="1:6">
      <c r="A1042" t="s">
        <v>1046</v>
      </c>
      <c r="B1042">
        <v>3.34666666666666</v>
      </c>
      <c r="C1042">
        <v>4.9933333333333296</v>
      </c>
      <c r="D1042">
        <v>7.6766666666666596</v>
      </c>
      <c r="E1042">
        <v>21.645333333333301</v>
      </c>
      <c r="F1042">
        <v>43.7886666666666</v>
      </c>
    </row>
    <row r="1043" spans="1:6">
      <c r="A1043" t="s">
        <v>1047</v>
      </c>
      <c r="B1043">
        <v>3.7266666666666599</v>
      </c>
      <c r="C1043">
        <v>5.7966666666666598</v>
      </c>
      <c r="D1043">
        <v>11.0133333333333</v>
      </c>
      <c r="E1043">
        <v>20.463666666666601</v>
      </c>
      <c r="F1043">
        <v>45.442666666666597</v>
      </c>
    </row>
    <row r="1044" spans="1:6">
      <c r="A1044" t="s">
        <v>1048</v>
      </c>
      <c r="B1044">
        <v>4.1233333333333304</v>
      </c>
      <c r="C1044">
        <v>5.9366666666666603</v>
      </c>
      <c r="D1044">
        <v>10.98</v>
      </c>
      <c r="E1044">
        <v>20.221333333333298</v>
      </c>
      <c r="F1044">
        <v>46.569666666666599</v>
      </c>
    </row>
    <row r="1045" spans="1:6">
      <c r="A1045" t="s">
        <v>1049</v>
      </c>
      <c r="B1045">
        <v>4.5199999999999996</v>
      </c>
      <c r="C1045">
        <v>6.3833333333333302</v>
      </c>
      <c r="D1045">
        <v>10.74</v>
      </c>
      <c r="E1045">
        <v>20.290333333333301</v>
      </c>
      <c r="F1045">
        <v>45.801333333333297</v>
      </c>
    </row>
    <row r="1046" spans="1:6">
      <c r="A1046" t="s">
        <v>1050</v>
      </c>
      <c r="B1046">
        <v>2.62333333333333</v>
      </c>
      <c r="C1046">
        <v>4.0666666666666602</v>
      </c>
      <c r="D1046">
        <v>6.06</v>
      </c>
      <c r="E1046">
        <v>22.480333333333299</v>
      </c>
      <c r="F1046">
        <v>42.070999999999998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AEA1-0242-4D85-9E73-F597FB9B9512}">
  <dimension ref="A1:I1443"/>
  <sheetViews>
    <sheetView workbookViewId="0">
      <selection activeCell="F1" sqref="A1:F1048576"/>
    </sheetView>
  </sheetViews>
  <sheetFormatPr defaultColWidth="11.42578125" defaultRowHeight="14.25"/>
  <cols>
    <col min="1" max="1" width="21.42578125" bestFit="1" customWidth="1"/>
    <col min="2" max="2" width="37" bestFit="1" customWidth="1"/>
    <col min="4" max="4" width="34.28515625" bestFit="1" customWidth="1"/>
    <col min="6" max="6" width="38" bestFit="1" customWidth="1"/>
    <col min="8" max="8" width="37.5703125" bestFit="1" customWidth="1"/>
  </cols>
  <sheetData>
    <row r="1" spans="1:9">
      <c r="A1" t="s">
        <v>1051</v>
      </c>
      <c r="B1" t="s">
        <v>1052</v>
      </c>
      <c r="C1" t="s">
        <v>1053</v>
      </c>
      <c r="D1" t="s">
        <v>1054</v>
      </c>
      <c r="E1" t="s">
        <v>1055</v>
      </c>
      <c r="F1" t="s">
        <v>1056</v>
      </c>
      <c r="G1" t="s">
        <v>1057</v>
      </c>
      <c r="H1" t="s">
        <v>1058</v>
      </c>
      <c r="I1" t="s">
        <v>1059</v>
      </c>
    </row>
    <row r="2" spans="1:9">
      <c r="A2" t="s">
        <v>1060</v>
      </c>
      <c r="B2" t="s">
        <v>1061</v>
      </c>
      <c r="C2" t="s">
        <v>1061</v>
      </c>
      <c r="D2" t="s">
        <v>1061</v>
      </c>
      <c r="E2" t="s">
        <v>1061</v>
      </c>
      <c r="F2" t="s">
        <v>1061</v>
      </c>
      <c r="G2" t="s">
        <v>1061</v>
      </c>
      <c r="H2" t="s">
        <v>1061</v>
      </c>
      <c r="I2" t="s">
        <v>1061</v>
      </c>
    </row>
    <row r="3" spans="1:9">
      <c r="A3" t="s">
        <v>1062</v>
      </c>
      <c r="B3" t="s">
        <v>1063</v>
      </c>
      <c r="C3" t="s">
        <v>1061</v>
      </c>
      <c r="D3" t="s">
        <v>1064</v>
      </c>
      <c r="E3" t="s">
        <v>1061</v>
      </c>
      <c r="F3" t="s">
        <v>1065</v>
      </c>
      <c r="G3" t="s">
        <v>1061</v>
      </c>
      <c r="H3" t="s">
        <v>1066</v>
      </c>
      <c r="I3" t="s">
        <v>1061</v>
      </c>
    </row>
    <row r="4" spans="1:9">
      <c r="A4" t="s">
        <v>1067</v>
      </c>
      <c r="B4" t="s">
        <v>1068</v>
      </c>
      <c r="C4" t="s">
        <v>1069</v>
      </c>
      <c r="D4" t="s">
        <v>1070</v>
      </c>
      <c r="E4" t="s">
        <v>1069</v>
      </c>
      <c r="F4" t="s">
        <v>1071</v>
      </c>
      <c r="G4" t="s">
        <v>1069</v>
      </c>
      <c r="H4" t="s">
        <v>1072</v>
      </c>
      <c r="I4" t="s">
        <v>1069</v>
      </c>
    </row>
    <row r="5" spans="1:9">
      <c r="A5" t="s">
        <v>1073</v>
      </c>
      <c r="B5" t="s">
        <v>1074</v>
      </c>
      <c r="C5" t="s">
        <v>1069</v>
      </c>
      <c r="D5" t="s">
        <v>1075</v>
      </c>
      <c r="E5" t="s">
        <v>1069</v>
      </c>
      <c r="F5" t="s">
        <v>1076</v>
      </c>
      <c r="G5" t="s">
        <v>1069</v>
      </c>
      <c r="H5" t="s">
        <v>1077</v>
      </c>
      <c r="I5" t="s">
        <v>1069</v>
      </c>
    </row>
    <row r="6" spans="1:9">
      <c r="A6" t="s">
        <v>1078</v>
      </c>
      <c r="B6" t="s">
        <v>1079</v>
      </c>
      <c r="C6" t="s">
        <v>1069</v>
      </c>
      <c r="D6" t="s">
        <v>1080</v>
      </c>
      <c r="E6" t="s">
        <v>1069</v>
      </c>
      <c r="F6" t="s">
        <v>1081</v>
      </c>
      <c r="G6" t="s">
        <v>1069</v>
      </c>
      <c r="H6" t="s">
        <v>1082</v>
      </c>
      <c r="I6" t="s">
        <v>1069</v>
      </c>
    </row>
    <row r="7" spans="1:9">
      <c r="A7" t="s">
        <v>1083</v>
      </c>
      <c r="B7" t="s">
        <v>1084</v>
      </c>
      <c r="C7" t="s">
        <v>1069</v>
      </c>
      <c r="D7" t="s">
        <v>1085</v>
      </c>
      <c r="E7" t="s">
        <v>1069</v>
      </c>
      <c r="F7" t="s">
        <v>1086</v>
      </c>
      <c r="G7" t="s">
        <v>1069</v>
      </c>
      <c r="H7" t="s">
        <v>1087</v>
      </c>
      <c r="I7" t="s">
        <v>1069</v>
      </c>
    </row>
    <row r="8" spans="1:9">
      <c r="A8" t="s">
        <v>1088</v>
      </c>
      <c r="B8" t="s">
        <v>1089</v>
      </c>
      <c r="C8" t="s">
        <v>1069</v>
      </c>
      <c r="D8" t="s">
        <v>1090</v>
      </c>
      <c r="E8" t="s">
        <v>1069</v>
      </c>
      <c r="F8" t="s">
        <v>1071</v>
      </c>
      <c r="G8" t="s">
        <v>1069</v>
      </c>
      <c r="H8" t="s">
        <v>1091</v>
      </c>
      <c r="I8" t="s">
        <v>1069</v>
      </c>
    </row>
    <row r="9" spans="1:9">
      <c r="A9" t="s">
        <v>1092</v>
      </c>
      <c r="B9" t="s">
        <v>1093</v>
      </c>
      <c r="C9" t="s">
        <v>1069</v>
      </c>
      <c r="D9" t="s">
        <v>1094</v>
      </c>
      <c r="E9" t="s">
        <v>1069</v>
      </c>
      <c r="F9" t="s">
        <v>1095</v>
      </c>
      <c r="G9" t="s">
        <v>1069</v>
      </c>
      <c r="H9" t="s">
        <v>1096</v>
      </c>
      <c r="I9" t="s">
        <v>1069</v>
      </c>
    </row>
    <row r="10" spans="1:9">
      <c r="A10" t="s">
        <v>1097</v>
      </c>
      <c r="B10" t="s">
        <v>1093</v>
      </c>
      <c r="C10" t="s">
        <v>1069</v>
      </c>
      <c r="D10" t="s">
        <v>1098</v>
      </c>
      <c r="E10" t="s">
        <v>1069</v>
      </c>
      <c r="F10" t="s">
        <v>1099</v>
      </c>
      <c r="G10" t="s">
        <v>1069</v>
      </c>
      <c r="H10" t="s">
        <v>1100</v>
      </c>
      <c r="I10" t="s">
        <v>1069</v>
      </c>
    </row>
    <row r="11" spans="1:9">
      <c r="A11" t="s">
        <v>1101</v>
      </c>
      <c r="B11" t="s">
        <v>1102</v>
      </c>
      <c r="C11" t="s">
        <v>1069</v>
      </c>
      <c r="D11" t="s">
        <v>1103</v>
      </c>
      <c r="E11" t="s">
        <v>1069</v>
      </c>
      <c r="F11" t="s">
        <v>1104</v>
      </c>
      <c r="G11" t="s">
        <v>1069</v>
      </c>
      <c r="H11" t="s">
        <v>1105</v>
      </c>
      <c r="I11" t="s">
        <v>1069</v>
      </c>
    </row>
    <row r="12" spans="1:9">
      <c r="A12" t="s">
        <v>1106</v>
      </c>
      <c r="B12" t="s">
        <v>1107</v>
      </c>
      <c r="C12" t="s">
        <v>1069</v>
      </c>
      <c r="D12" t="s">
        <v>1074</v>
      </c>
      <c r="E12" t="s">
        <v>1069</v>
      </c>
      <c r="F12" t="s">
        <v>1075</v>
      </c>
      <c r="G12" t="s">
        <v>1069</v>
      </c>
      <c r="H12" t="s">
        <v>1108</v>
      </c>
      <c r="I12" t="s">
        <v>1069</v>
      </c>
    </row>
    <row r="13" spans="1:9">
      <c r="A13" t="s">
        <v>1109</v>
      </c>
      <c r="B13" t="s">
        <v>1102</v>
      </c>
      <c r="C13" t="s">
        <v>1069</v>
      </c>
      <c r="D13" t="s">
        <v>1079</v>
      </c>
      <c r="E13" t="s">
        <v>1069</v>
      </c>
      <c r="F13" t="s">
        <v>1110</v>
      </c>
      <c r="G13" t="s">
        <v>1069</v>
      </c>
      <c r="H13" t="s">
        <v>1111</v>
      </c>
      <c r="I13" t="s">
        <v>1069</v>
      </c>
    </row>
    <row r="14" spans="1:9">
      <c r="A14" t="s">
        <v>1112</v>
      </c>
      <c r="B14" t="s">
        <v>1113</v>
      </c>
      <c r="C14" t="s">
        <v>1069</v>
      </c>
      <c r="D14" t="s">
        <v>1079</v>
      </c>
      <c r="E14" t="s">
        <v>1069</v>
      </c>
      <c r="F14" t="s">
        <v>1070</v>
      </c>
      <c r="G14" t="s">
        <v>1069</v>
      </c>
      <c r="H14" t="s">
        <v>1114</v>
      </c>
      <c r="I14" t="s">
        <v>1069</v>
      </c>
    </row>
    <row r="15" spans="1:9">
      <c r="A15" t="s">
        <v>1115</v>
      </c>
      <c r="B15" t="s">
        <v>1116</v>
      </c>
      <c r="C15" t="s">
        <v>1069</v>
      </c>
      <c r="D15" t="s">
        <v>1079</v>
      </c>
      <c r="E15" t="s">
        <v>1069</v>
      </c>
      <c r="F15" t="s">
        <v>1090</v>
      </c>
      <c r="G15" t="s">
        <v>1069</v>
      </c>
      <c r="H15" t="s">
        <v>1117</v>
      </c>
      <c r="I15" t="s">
        <v>1069</v>
      </c>
    </row>
    <row r="16" spans="1:9">
      <c r="A16" t="s">
        <v>1118</v>
      </c>
      <c r="B16" t="s">
        <v>1113</v>
      </c>
      <c r="C16" t="s">
        <v>1069</v>
      </c>
      <c r="D16" t="s">
        <v>1103</v>
      </c>
      <c r="E16" t="s">
        <v>1069</v>
      </c>
      <c r="F16" t="s">
        <v>1104</v>
      </c>
      <c r="G16" t="s">
        <v>1069</v>
      </c>
      <c r="H16" t="s">
        <v>1119</v>
      </c>
      <c r="I16" t="s">
        <v>1069</v>
      </c>
    </row>
    <row r="17" spans="1:9">
      <c r="A17" t="s">
        <v>1120</v>
      </c>
      <c r="B17" t="s">
        <v>1121</v>
      </c>
      <c r="C17" t="s">
        <v>1069</v>
      </c>
      <c r="D17" t="s">
        <v>1113</v>
      </c>
      <c r="E17" t="s">
        <v>1069</v>
      </c>
      <c r="F17" t="s">
        <v>1122</v>
      </c>
      <c r="G17" t="s">
        <v>1069</v>
      </c>
      <c r="H17" t="s">
        <v>1123</v>
      </c>
      <c r="I17" t="s">
        <v>1069</v>
      </c>
    </row>
    <row r="18" spans="1:9">
      <c r="A18" t="s">
        <v>1124</v>
      </c>
      <c r="B18" t="s">
        <v>1125</v>
      </c>
      <c r="C18" t="s">
        <v>1069</v>
      </c>
      <c r="D18" t="s">
        <v>1093</v>
      </c>
      <c r="E18" t="s">
        <v>1069</v>
      </c>
      <c r="F18" t="s">
        <v>1110</v>
      </c>
      <c r="G18" t="s">
        <v>1069</v>
      </c>
      <c r="H18" t="s">
        <v>1126</v>
      </c>
      <c r="I18" t="s">
        <v>1069</v>
      </c>
    </row>
    <row r="19" spans="1:9">
      <c r="A19" t="s">
        <v>1127</v>
      </c>
      <c r="B19" t="s">
        <v>1128</v>
      </c>
      <c r="C19" t="s">
        <v>1069</v>
      </c>
      <c r="D19" t="s">
        <v>1129</v>
      </c>
      <c r="E19" t="s">
        <v>1069</v>
      </c>
      <c r="F19" t="s">
        <v>1110</v>
      </c>
      <c r="G19" t="s">
        <v>1069</v>
      </c>
      <c r="H19" t="s">
        <v>1130</v>
      </c>
      <c r="I19" t="s">
        <v>1069</v>
      </c>
    </row>
    <row r="20" spans="1:9">
      <c r="A20" t="s">
        <v>1131</v>
      </c>
      <c r="B20" t="s">
        <v>1121</v>
      </c>
      <c r="C20" t="s">
        <v>1069</v>
      </c>
      <c r="D20" t="s">
        <v>1116</v>
      </c>
      <c r="E20" t="s">
        <v>1069</v>
      </c>
      <c r="F20" t="s">
        <v>1098</v>
      </c>
      <c r="G20" t="s">
        <v>1069</v>
      </c>
      <c r="H20" t="s">
        <v>1132</v>
      </c>
      <c r="I20" t="s">
        <v>1069</v>
      </c>
    </row>
    <row r="21" spans="1:9">
      <c r="A21" t="s">
        <v>1133</v>
      </c>
      <c r="B21" t="s">
        <v>1121</v>
      </c>
      <c r="C21" t="s">
        <v>1069</v>
      </c>
      <c r="D21" t="s">
        <v>1102</v>
      </c>
      <c r="E21" t="s">
        <v>1069</v>
      </c>
      <c r="F21" t="s">
        <v>1089</v>
      </c>
      <c r="G21" t="s">
        <v>1069</v>
      </c>
      <c r="H21" t="s">
        <v>1134</v>
      </c>
      <c r="I21" t="s">
        <v>1069</v>
      </c>
    </row>
    <row r="22" spans="1:9">
      <c r="A22" t="s">
        <v>1135</v>
      </c>
      <c r="B22" t="s">
        <v>1136</v>
      </c>
      <c r="C22" t="s">
        <v>1069</v>
      </c>
      <c r="D22" t="s">
        <v>1113</v>
      </c>
      <c r="E22" t="s">
        <v>1069</v>
      </c>
      <c r="F22" t="s">
        <v>1098</v>
      </c>
      <c r="G22" t="s">
        <v>1069</v>
      </c>
      <c r="H22" t="s">
        <v>1137</v>
      </c>
      <c r="I22" t="s">
        <v>1069</v>
      </c>
    </row>
    <row r="23" spans="1:9">
      <c r="A23" t="s">
        <v>1138</v>
      </c>
      <c r="B23" t="s">
        <v>1128</v>
      </c>
      <c r="C23" t="s">
        <v>1069</v>
      </c>
      <c r="D23" t="s">
        <v>1139</v>
      </c>
      <c r="E23" t="s">
        <v>1069</v>
      </c>
      <c r="F23" t="s">
        <v>1140</v>
      </c>
      <c r="G23" t="s">
        <v>1069</v>
      </c>
      <c r="H23" t="s">
        <v>1141</v>
      </c>
      <c r="I23" t="s">
        <v>1069</v>
      </c>
    </row>
    <row r="24" spans="1:9">
      <c r="A24" t="s">
        <v>1142</v>
      </c>
      <c r="B24" t="s">
        <v>1143</v>
      </c>
      <c r="C24" t="s">
        <v>1069</v>
      </c>
      <c r="D24" t="s">
        <v>1139</v>
      </c>
      <c r="E24" t="s">
        <v>1069</v>
      </c>
      <c r="F24" t="s">
        <v>1144</v>
      </c>
      <c r="G24" t="s">
        <v>1069</v>
      </c>
      <c r="H24" t="s">
        <v>1145</v>
      </c>
      <c r="I24" t="s">
        <v>1069</v>
      </c>
    </row>
    <row r="25" spans="1:9">
      <c r="A25" t="s">
        <v>1146</v>
      </c>
      <c r="B25" t="s">
        <v>1125</v>
      </c>
      <c r="C25" t="s">
        <v>1069</v>
      </c>
      <c r="D25" t="s">
        <v>1107</v>
      </c>
      <c r="E25" t="s">
        <v>1069</v>
      </c>
      <c r="F25" t="s">
        <v>1079</v>
      </c>
      <c r="G25" t="s">
        <v>1069</v>
      </c>
      <c r="H25" t="s">
        <v>1147</v>
      </c>
      <c r="I25" t="s">
        <v>1069</v>
      </c>
    </row>
    <row r="26" spans="1:9">
      <c r="A26" t="s">
        <v>1148</v>
      </c>
      <c r="B26" t="s">
        <v>1149</v>
      </c>
      <c r="C26" t="s">
        <v>1069</v>
      </c>
      <c r="D26" t="s">
        <v>1121</v>
      </c>
      <c r="E26" t="s">
        <v>1069</v>
      </c>
      <c r="F26" t="s">
        <v>1093</v>
      </c>
      <c r="G26" t="s">
        <v>1069</v>
      </c>
      <c r="H26" t="s">
        <v>1150</v>
      </c>
      <c r="I26" t="s">
        <v>1069</v>
      </c>
    </row>
    <row r="27" spans="1:9">
      <c r="A27" t="s">
        <v>1151</v>
      </c>
      <c r="B27" t="s">
        <v>1152</v>
      </c>
      <c r="C27" t="s">
        <v>1069</v>
      </c>
      <c r="D27" t="s">
        <v>1128</v>
      </c>
      <c r="E27" t="s">
        <v>1069</v>
      </c>
      <c r="F27" t="s">
        <v>1089</v>
      </c>
      <c r="G27" t="s">
        <v>1069</v>
      </c>
      <c r="H27" t="s">
        <v>1153</v>
      </c>
      <c r="I27" t="s">
        <v>1069</v>
      </c>
    </row>
    <row r="28" spans="1:9">
      <c r="A28" t="s">
        <v>1154</v>
      </c>
      <c r="B28" t="s">
        <v>1143</v>
      </c>
      <c r="C28" t="s">
        <v>1069</v>
      </c>
      <c r="D28" t="s">
        <v>1129</v>
      </c>
      <c r="E28" t="s">
        <v>1069</v>
      </c>
      <c r="F28" t="s">
        <v>1104</v>
      </c>
      <c r="G28" t="s">
        <v>1069</v>
      </c>
      <c r="H28" t="s">
        <v>1155</v>
      </c>
      <c r="I28" t="s">
        <v>1069</v>
      </c>
    </row>
    <row r="29" spans="1:9">
      <c r="A29" t="s">
        <v>1156</v>
      </c>
      <c r="B29" t="s">
        <v>1079</v>
      </c>
      <c r="C29" t="s">
        <v>1069</v>
      </c>
      <c r="D29" t="s">
        <v>1090</v>
      </c>
      <c r="E29" t="s">
        <v>1069</v>
      </c>
      <c r="F29" t="s">
        <v>1099</v>
      </c>
      <c r="G29" t="s">
        <v>1069</v>
      </c>
      <c r="H29" t="s">
        <v>1157</v>
      </c>
      <c r="I29" t="s">
        <v>1069</v>
      </c>
    </row>
    <row r="30" spans="1:9">
      <c r="A30" t="s">
        <v>1158</v>
      </c>
      <c r="B30" t="s">
        <v>1080</v>
      </c>
      <c r="C30" t="s">
        <v>1069</v>
      </c>
      <c r="D30" t="s">
        <v>1159</v>
      </c>
      <c r="E30" t="s">
        <v>1069</v>
      </c>
      <c r="F30" t="s">
        <v>1081</v>
      </c>
      <c r="G30" t="s">
        <v>1069</v>
      </c>
      <c r="H30" t="s">
        <v>1160</v>
      </c>
      <c r="I30" t="s">
        <v>1069</v>
      </c>
    </row>
    <row r="31" spans="1:9">
      <c r="A31" t="s">
        <v>1161</v>
      </c>
      <c r="B31" t="s">
        <v>1162</v>
      </c>
      <c r="C31" t="s">
        <v>1069</v>
      </c>
      <c r="D31" t="s">
        <v>1076</v>
      </c>
      <c r="E31" t="s">
        <v>1069</v>
      </c>
      <c r="F31" t="s">
        <v>1163</v>
      </c>
      <c r="G31" t="s">
        <v>1069</v>
      </c>
      <c r="H31" t="s">
        <v>1164</v>
      </c>
      <c r="I31" t="s">
        <v>1069</v>
      </c>
    </row>
    <row r="32" spans="1:9">
      <c r="A32" t="s">
        <v>1165</v>
      </c>
      <c r="B32" t="s">
        <v>1166</v>
      </c>
      <c r="C32" t="s">
        <v>1069</v>
      </c>
      <c r="D32" t="s">
        <v>1167</v>
      </c>
      <c r="E32" t="s">
        <v>1069</v>
      </c>
      <c r="F32" t="s">
        <v>1168</v>
      </c>
      <c r="G32" t="s">
        <v>1069</v>
      </c>
      <c r="H32" t="s">
        <v>1169</v>
      </c>
      <c r="I32" t="s">
        <v>1069</v>
      </c>
    </row>
    <row r="33" spans="1:9">
      <c r="A33" t="s">
        <v>1170</v>
      </c>
      <c r="B33" t="s">
        <v>1166</v>
      </c>
      <c r="C33" t="s">
        <v>1069</v>
      </c>
      <c r="D33" t="s">
        <v>1171</v>
      </c>
      <c r="E33" t="s">
        <v>1069</v>
      </c>
      <c r="F33" t="s">
        <v>1172</v>
      </c>
      <c r="G33" t="s">
        <v>1069</v>
      </c>
      <c r="H33" t="s">
        <v>1173</v>
      </c>
      <c r="I33" t="s">
        <v>1069</v>
      </c>
    </row>
    <row r="34" spans="1:9">
      <c r="A34" t="s">
        <v>1174</v>
      </c>
      <c r="B34" t="s">
        <v>1175</v>
      </c>
      <c r="C34" t="s">
        <v>1069</v>
      </c>
      <c r="D34" t="s">
        <v>1167</v>
      </c>
      <c r="E34" t="s">
        <v>1069</v>
      </c>
      <c r="F34" t="s">
        <v>1176</v>
      </c>
      <c r="G34" t="s">
        <v>1069</v>
      </c>
      <c r="H34" t="s">
        <v>1177</v>
      </c>
      <c r="I34" t="s">
        <v>1069</v>
      </c>
    </row>
    <row r="35" spans="1:9">
      <c r="A35" t="s">
        <v>1178</v>
      </c>
      <c r="B35" t="s">
        <v>1179</v>
      </c>
      <c r="C35" t="s">
        <v>1069</v>
      </c>
      <c r="D35" t="s">
        <v>1180</v>
      </c>
      <c r="E35" t="s">
        <v>1069</v>
      </c>
      <c r="F35" t="s">
        <v>1181</v>
      </c>
      <c r="G35" t="s">
        <v>1069</v>
      </c>
      <c r="H35" t="s">
        <v>1182</v>
      </c>
      <c r="I35" t="s">
        <v>1069</v>
      </c>
    </row>
    <row r="36" spans="1:9">
      <c r="A36" t="s">
        <v>1183</v>
      </c>
      <c r="B36" t="s">
        <v>1184</v>
      </c>
      <c r="C36" t="s">
        <v>1069</v>
      </c>
      <c r="D36" t="s">
        <v>1172</v>
      </c>
      <c r="E36" t="s">
        <v>1069</v>
      </c>
      <c r="F36" t="s">
        <v>1181</v>
      </c>
      <c r="G36" t="s">
        <v>1069</v>
      </c>
      <c r="H36" t="s">
        <v>1185</v>
      </c>
      <c r="I36" t="s">
        <v>1069</v>
      </c>
    </row>
    <row r="37" spans="1:9">
      <c r="A37" t="s">
        <v>1186</v>
      </c>
      <c r="B37" t="s">
        <v>1172</v>
      </c>
      <c r="C37" t="s">
        <v>1069</v>
      </c>
      <c r="D37" t="s">
        <v>1187</v>
      </c>
      <c r="E37" t="s">
        <v>1069</v>
      </c>
      <c r="F37" t="s">
        <v>1188</v>
      </c>
      <c r="G37" t="s">
        <v>1069</v>
      </c>
      <c r="H37" t="s">
        <v>1189</v>
      </c>
      <c r="I37" t="s">
        <v>1069</v>
      </c>
    </row>
    <row r="38" spans="1:9">
      <c r="A38" t="s">
        <v>1190</v>
      </c>
      <c r="B38" t="s">
        <v>1191</v>
      </c>
      <c r="C38" t="s">
        <v>1069</v>
      </c>
      <c r="D38" t="s">
        <v>1187</v>
      </c>
      <c r="E38" t="s">
        <v>1069</v>
      </c>
      <c r="F38" t="s">
        <v>1192</v>
      </c>
      <c r="G38" t="s">
        <v>1069</v>
      </c>
      <c r="H38" t="s">
        <v>1193</v>
      </c>
      <c r="I38" t="s">
        <v>1069</v>
      </c>
    </row>
    <row r="39" spans="1:9">
      <c r="A39" t="s">
        <v>1194</v>
      </c>
      <c r="B39" t="s">
        <v>1195</v>
      </c>
      <c r="C39" t="s">
        <v>1069</v>
      </c>
      <c r="D39" t="s">
        <v>1176</v>
      </c>
      <c r="E39" t="s">
        <v>1069</v>
      </c>
      <c r="F39" t="s">
        <v>1196</v>
      </c>
      <c r="G39" t="s">
        <v>1069</v>
      </c>
      <c r="H39" t="s">
        <v>1197</v>
      </c>
      <c r="I39" t="s">
        <v>1069</v>
      </c>
    </row>
    <row r="40" spans="1:9">
      <c r="A40" t="s">
        <v>1198</v>
      </c>
      <c r="B40" t="s">
        <v>1191</v>
      </c>
      <c r="C40" t="s">
        <v>1069</v>
      </c>
      <c r="D40" t="s">
        <v>1199</v>
      </c>
      <c r="E40" t="s">
        <v>1069</v>
      </c>
      <c r="F40" t="s">
        <v>1200</v>
      </c>
      <c r="G40" t="s">
        <v>1069</v>
      </c>
      <c r="H40" t="s">
        <v>1201</v>
      </c>
      <c r="I40" t="s">
        <v>1069</v>
      </c>
    </row>
    <row r="41" spans="1:9">
      <c r="A41" t="s">
        <v>1202</v>
      </c>
      <c r="B41" t="s">
        <v>1168</v>
      </c>
      <c r="C41" t="s">
        <v>1069</v>
      </c>
      <c r="D41" t="s">
        <v>1203</v>
      </c>
      <c r="E41" t="s">
        <v>1069</v>
      </c>
      <c r="F41" t="s">
        <v>1204</v>
      </c>
      <c r="G41" t="s">
        <v>1069</v>
      </c>
      <c r="H41" t="s">
        <v>1205</v>
      </c>
      <c r="I41" t="s">
        <v>1069</v>
      </c>
    </row>
    <row r="42" spans="1:9">
      <c r="A42" t="s">
        <v>1206</v>
      </c>
      <c r="B42" t="s">
        <v>1207</v>
      </c>
      <c r="C42" t="s">
        <v>1069</v>
      </c>
      <c r="D42" t="s">
        <v>1208</v>
      </c>
      <c r="E42" t="s">
        <v>1069</v>
      </c>
      <c r="F42" t="s">
        <v>1209</v>
      </c>
      <c r="G42" t="s">
        <v>1069</v>
      </c>
      <c r="H42" t="s">
        <v>1210</v>
      </c>
      <c r="I42" t="s">
        <v>1069</v>
      </c>
    </row>
    <row r="43" spans="1:9">
      <c r="A43" t="s">
        <v>1211</v>
      </c>
      <c r="B43" t="s">
        <v>1191</v>
      </c>
      <c r="C43" t="s">
        <v>1069</v>
      </c>
      <c r="D43" t="s">
        <v>1212</v>
      </c>
      <c r="E43" t="s">
        <v>1069</v>
      </c>
      <c r="F43" t="s">
        <v>1213</v>
      </c>
      <c r="G43" t="s">
        <v>1069</v>
      </c>
      <c r="H43" t="s">
        <v>1214</v>
      </c>
      <c r="I43" t="s">
        <v>1069</v>
      </c>
    </row>
    <row r="44" spans="1:9">
      <c r="A44" t="s">
        <v>1215</v>
      </c>
      <c r="B44" t="s">
        <v>1216</v>
      </c>
      <c r="C44" t="s">
        <v>1069</v>
      </c>
      <c r="D44" t="s">
        <v>1187</v>
      </c>
      <c r="E44" t="s">
        <v>1069</v>
      </c>
      <c r="F44" t="s">
        <v>1217</v>
      </c>
      <c r="G44" t="s">
        <v>1069</v>
      </c>
      <c r="H44" t="s">
        <v>1218</v>
      </c>
      <c r="I44" t="s">
        <v>1069</v>
      </c>
    </row>
    <row r="45" spans="1:9">
      <c r="A45" t="s">
        <v>1219</v>
      </c>
      <c r="B45" t="s">
        <v>1171</v>
      </c>
      <c r="C45" t="s">
        <v>1069</v>
      </c>
      <c r="D45" t="s">
        <v>1195</v>
      </c>
      <c r="E45" t="s">
        <v>1069</v>
      </c>
      <c r="F45" t="s">
        <v>1220</v>
      </c>
      <c r="G45" t="s">
        <v>1069</v>
      </c>
      <c r="H45" t="s">
        <v>1221</v>
      </c>
      <c r="I45" t="s">
        <v>1069</v>
      </c>
    </row>
    <row r="46" spans="1:9">
      <c r="A46" t="s">
        <v>1222</v>
      </c>
      <c r="B46" t="s">
        <v>1223</v>
      </c>
      <c r="C46" t="s">
        <v>1069</v>
      </c>
      <c r="D46" t="s">
        <v>1179</v>
      </c>
      <c r="E46" t="s">
        <v>1069</v>
      </c>
      <c r="F46" t="s">
        <v>1224</v>
      </c>
      <c r="G46" t="s">
        <v>1069</v>
      </c>
      <c r="H46" t="s">
        <v>1225</v>
      </c>
      <c r="I46" t="s">
        <v>1069</v>
      </c>
    </row>
    <row r="47" spans="1:9">
      <c r="A47" t="s">
        <v>1226</v>
      </c>
      <c r="B47" t="s">
        <v>1071</v>
      </c>
      <c r="C47" t="s">
        <v>1069</v>
      </c>
      <c r="D47" t="s">
        <v>1227</v>
      </c>
      <c r="E47" t="s">
        <v>1069</v>
      </c>
      <c r="F47" t="s">
        <v>1228</v>
      </c>
      <c r="G47" t="s">
        <v>1069</v>
      </c>
      <c r="H47" t="s">
        <v>1229</v>
      </c>
      <c r="I47" t="s">
        <v>1069</v>
      </c>
    </row>
    <row r="48" spans="1:9">
      <c r="A48" t="s">
        <v>1230</v>
      </c>
      <c r="B48" t="s">
        <v>1071</v>
      </c>
      <c r="C48" t="s">
        <v>1069</v>
      </c>
      <c r="D48" t="s">
        <v>1231</v>
      </c>
      <c r="E48" t="s">
        <v>1069</v>
      </c>
      <c r="F48" t="s">
        <v>1196</v>
      </c>
      <c r="G48" t="s">
        <v>1069</v>
      </c>
      <c r="H48" t="s">
        <v>1232</v>
      </c>
      <c r="I48" t="s">
        <v>1069</v>
      </c>
    </row>
    <row r="49" spans="1:9">
      <c r="A49" t="s">
        <v>1233</v>
      </c>
      <c r="B49" t="s">
        <v>1234</v>
      </c>
      <c r="C49" t="s">
        <v>1069</v>
      </c>
      <c r="D49" t="s">
        <v>1175</v>
      </c>
      <c r="E49" t="s">
        <v>1069</v>
      </c>
      <c r="F49" t="s">
        <v>1235</v>
      </c>
      <c r="G49" t="s">
        <v>1069</v>
      </c>
      <c r="H49" t="s">
        <v>1236</v>
      </c>
      <c r="I49" t="s">
        <v>1069</v>
      </c>
    </row>
    <row r="50" spans="1:9">
      <c r="A50" t="s">
        <v>1237</v>
      </c>
      <c r="B50" t="s">
        <v>1110</v>
      </c>
      <c r="C50" t="s">
        <v>1069</v>
      </c>
      <c r="D50" t="s">
        <v>1238</v>
      </c>
      <c r="E50" t="s">
        <v>1069</v>
      </c>
      <c r="F50" t="s">
        <v>1239</v>
      </c>
      <c r="G50" t="s">
        <v>1069</v>
      </c>
      <c r="H50" t="s">
        <v>1240</v>
      </c>
      <c r="I50" t="s">
        <v>1069</v>
      </c>
    </row>
    <row r="51" spans="1:9">
      <c r="A51" t="s">
        <v>1241</v>
      </c>
      <c r="B51" t="s">
        <v>1144</v>
      </c>
      <c r="C51" t="s">
        <v>1069</v>
      </c>
      <c r="D51" t="s">
        <v>1242</v>
      </c>
      <c r="E51" t="s">
        <v>1069</v>
      </c>
      <c r="F51" t="s">
        <v>1212</v>
      </c>
      <c r="G51" t="s">
        <v>1069</v>
      </c>
      <c r="H51" t="s">
        <v>1243</v>
      </c>
      <c r="I51" t="s">
        <v>1069</v>
      </c>
    </row>
    <row r="52" spans="1:9">
      <c r="A52" t="s">
        <v>1244</v>
      </c>
      <c r="B52" t="s">
        <v>1129</v>
      </c>
      <c r="C52" t="s">
        <v>1069</v>
      </c>
      <c r="D52" t="s">
        <v>1144</v>
      </c>
      <c r="E52" t="s">
        <v>1069</v>
      </c>
      <c r="F52" t="s">
        <v>1184</v>
      </c>
      <c r="G52" t="s">
        <v>1069</v>
      </c>
      <c r="H52" t="s">
        <v>1245</v>
      </c>
      <c r="I52" t="s">
        <v>1069</v>
      </c>
    </row>
    <row r="53" spans="1:9">
      <c r="A53" t="s">
        <v>1246</v>
      </c>
      <c r="B53" t="s">
        <v>1102</v>
      </c>
      <c r="C53" t="s">
        <v>1069</v>
      </c>
      <c r="D53" t="s">
        <v>1103</v>
      </c>
      <c r="E53" t="s">
        <v>1069</v>
      </c>
      <c r="F53" t="s">
        <v>1247</v>
      </c>
      <c r="G53" t="s">
        <v>1069</v>
      </c>
      <c r="H53" t="s">
        <v>1248</v>
      </c>
      <c r="I53" t="s">
        <v>1069</v>
      </c>
    </row>
    <row r="54" spans="1:9">
      <c r="A54" t="s">
        <v>1249</v>
      </c>
      <c r="B54" t="s">
        <v>1128</v>
      </c>
      <c r="C54" t="s">
        <v>1069</v>
      </c>
      <c r="D54" t="s">
        <v>1089</v>
      </c>
      <c r="E54" t="s">
        <v>1069</v>
      </c>
      <c r="F54" t="s">
        <v>1180</v>
      </c>
      <c r="G54" t="s">
        <v>1069</v>
      </c>
      <c r="H54" t="s">
        <v>1250</v>
      </c>
      <c r="I54" t="s">
        <v>1069</v>
      </c>
    </row>
    <row r="55" spans="1:9">
      <c r="A55" t="s">
        <v>1251</v>
      </c>
      <c r="B55" t="s">
        <v>1125</v>
      </c>
      <c r="C55" t="s">
        <v>1069</v>
      </c>
      <c r="D55" t="s">
        <v>1129</v>
      </c>
      <c r="E55" t="s">
        <v>1069</v>
      </c>
      <c r="F55" t="s">
        <v>1171</v>
      </c>
      <c r="G55" t="s">
        <v>1069</v>
      </c>
      <c r="H55" t="s">
        <v>1250</v>
      </c>
      <c r="I55" t="s">
        <v>1069</v>
      </c>
    </row>
    <row r="56" spans="1:9">
      <c r="A56" t="s">
        <v>1252</v>
      </c>
      <c r="B56" t="s">
        <v>1149</v>
      </c>
      <c r="C56" t="s">
        <v>1069</v>
      </c>
      <c r="D56" t="s">
        <v>1102</v>
      </c>
      <c r="E56" t="s">
        <v>1069</v>
      </c>
      <c r="F56" t="s">
        <v>1227</v>
      </c>
      <c r="G56" t="s">
        <v>1069</v>
      </c>
      <c r="H56" t="s">
        <v>1253</v>
      </c>
      <c r="I56" t="s">
        <v>1069</v>
      </c>
    </row>
    <row r="57" spans="1:9">
      <c r="A57" t="s">
        <v>1254</v>
      </c>
      <c r="B57" t="s">
        <v>1255</v>
      </c>
      <c r="C57" t="s">
        <v>1069</v>
      </c>
      <c r="D57" t="s">
        <v>1107</v>
      </c>
      <c r="E57" t="s">
        <v>1069</v>
      </c>
      <c r="F57" t="s">
        <v>1256</v>
      </c>
      <c r="G57" t="s">
        <v>1069</v>
      </c>
      <c r="H57" t="s">
        <v>1257</v>
      </c>
      <c r="I57" t="s">
        <v>1069</v>
      </c>
    </row>
    <row r="58" spans="1:9">
      <c r="A58" t="s">
        <v>1258</v>
      </c>
      <c r="B58" t="s">
        <v>1259</v>
      </c>
      <c r="C58" t="s">
        <v>1069</v>
      </c>
      <c r="D58" t="s">
        <v>1260</v>
      </c>
      <c r="E58" t="s">
        <v>1069</v>
      </c>
      <c r="F58" t="s">
        <v>1261</v>
      </c>
      <c r="G58" t="s">
        <v>1069</v>
      </c>
      <c r="H58" t="s">
        <v>1262</v>
      </c>
      <c r="I58" t="s">
        <v>1069</v>
      </c>
    </row>
    <row r="59" spans="1:9">
      <c r="A59" t="s">
        <v>1263</v>
      </c>
      <c r="B59" t="s">
        <v>1264</v>
      </c>
      <c r="C59" t="s">
        <v>1069</v>
      </c>
      <c r="D59" t="s">
        <v>1265</v>
      </c>
      <c r="E59" t="s">
        <v>1069</v>
      </c>
      <c r="F59" t="s">
        <v>1266</v>
      </c>
      <c r="G59" t="s">
        <v>1069</v>
      </c>
      <c r="H59" t="s">
        <v>1267</v>
      </c>
      <c r="I59" t="s">
        <v>1069</v>
      </c>
    </row>
    <row r="60" spans="1:9">
      <c r="A60" t="s">
        <v>1268</v>
      </c>
      <c r="B60" t="s">
        <v>1269</v>
      </c>
      <c r="C60" t="s">
        <v>1069</v>
      </c>
      <c r="D60" t="s">
        <v>1270</v>
      </c>
      <c r="E60" t="s">
        <v>1069</v>
      </c>
      <c r="F60" t="s">
        <v>1070</v>
      </c>
      <c r="G60" t="s">
        <v>1069</v>
      </c>
      <c r="H60" t="s">
        <v>1271</v>
      </c>
      <c r="I60" t="s">
        <v>1069</v>
      </c>
    </row>
    <row r="61" spans="1:9">
      <c r="A61" t="s">
        <v>1272</v>
      </c>
      <c r="B61" t="s">
        <v>1264</v>
      </c>
      <c r="C61" t="s">
        <v>1069</v>
      </c>
      <c r="D61" t="s">
        <v>1149</v>
      </c>
      <c r="E61" t="s">
        <v>1069</v>
      </c>
      <c r="F61" t="s">
        <v>1085</v>
      </c>
      <c r="G61" t="s">
        <v>1069</v>
      </c>
      <c r="H61" t="s">
        <v>1273</v>
      </c>
      <c r="I61" t="s">
        <v>1069</v>
      </c>
    </row>
    <row r="62" spans="1:9">
      <c r="A62" t="s">
        <v>1274</v>
      </c>
      <c r="B62" t="s">
        <v>1275</v>
      </c>
      <c r="C62" t="s">
        <v>1069</v>
      </c>
      <c r="D62" t="s">
        <v>1255</v>
      </c>
      <c r="E62" t="s">
        <v>1069</v>
      </c>
      <c r="F62" t="s">
        <v>1276</v>
      </c>
      <c r="G62" t="s">
        <v>1069</v>
      </c>
      <c r="H62" t="s">
        <v>1277</v>
      </c>
      <c r="I62" t="s">
        <v>1069</v>
      </c>
    </row>
    <row r="63" spans="1:9">
      <c r="A63" t="s">
        <v>1278</v>
      </c>
      <c r="B63" t="s">
        <v>1275</v>
      </c>
      <c r="C63" t="s">
        <v>1069</v>
      </c>
      <c r="D63" t="s">
        <v>1149</v>
      </c>
      <c r="E63" t="s">
        <v>1069</v>
      </c>
      <c r="F63" t="s">
        <v>1279</v>
      </c>
      <c r="G63" t="s">
        <v>1069</v>
      </c>
      <c r="H63" t="s">
        <v>1280</v>
      </c>
      <c r="I63" t="s">
        <v>1069</v>
      </c>
    </row>
    <row r="64" spans="1:9">
      <c r="A64" t="s">
        <v>1281</v>
      </c>
      <c r="B64" t="s">
        <v>1275</v>
      </c>
      <c r="C64" t="s">
        <v>1069</v>
      </c>
      <c r="D64" t="s">
        <v>1149</v>
      </c>
      <c r="E64" t="s">
        <v>1069</v>
      </c>
      <c r="F64" t="s">
        <v>1242</v>
      </c>
      <c r="G64" t="s">
        <v>1069</v>
      </c>
      <c r="H64" t="s">
        <v>1282</v>
      </c>
      <c r="I64" t="s">
        <v>1069</v>
      </c>
    </row>
    <row r="65" spans="1:9">
      <c r="A65" t="s">
        <v>1283</v>
      </c>
      <c r="B65" t="s">
        <v>1264</v>
      </c>
      <c r="C65" t="s">
        <v>1069</v>
      </c>
      <c r="D65" t="s">
        <v>1284</v>
      </c>
      <c r="E65" t="s">
        <v>1069</v>
      </c>
      <c r="F65" t="s">
        <v>1285</v>
      </c>
      <c r="G65" t="s">
        <v>1069</v>
      </c>
      <c r="H65" t="s">
        <v>1286</v>
      </c>
      <c r="I65" t="s">
        <v>1069</v>
      </c>
    </row>
    <row r="66" spans="1:9">
      <c r="A66" t="s">
        <v>1287</v>
      </c>
      <c r="B66" t="s">
        <v>1288</v>
      </c>
      <c r="C66" t="s">
        <v>1069</v>
      </c>
      <c r="D66" t="s">
        <v>1284</v>
      </c>
      <c r="E66" t="s">
        <v>1069</v>
      </c>
      <c r="F66" t="s">
        <v>1095</v>
      </c>
      <c r="G66" t="s">
        <v>1069</v>
      </c>
      <c r="H66" t="s">
        <v>1289</v>
      </c>
      <c r="I66" t="s">
        <v>1069</v>
      </c>
    </row>
    <row r="67" spans="1:9">
      <c r="A67" t="s">
        <v>1290</v>
      </c>
      <c r="B67" t="s">
        <v>1259</v>
      </c>
      <c r="C67" t="s">
        <v>1069</v>
      </c>
      <c r="D67" t="s">
        <v>1136</v>
      </c>
      <c r="E67" t="s">
        <v>1069</v>
      </c>
      <c r="F67" t="s">
        <v>1266</v>
      </c>
      <c r="G67" t="s">
        <v>1069</v>
      </c>
      <c r="H67" t="s">
        <v>1291</v>
      </c>
      <c r="I67" t="s">
        <v>1069</v>
      </c>
    </row>
    <row r="68" spans="1:9">
      <c r="A68" t="s">
        <v>1292</v>
      </c>
      <c r="B68" t="s">
        <v>1293</v>
      </c>
      <c r="C68" t="s">
        <v>1069</v>
      </c>
      <c r="D68" t="s">
        <v>1260</v>
      </c>
      <c r="E68" t="s">
        <v>1069</v>
      </c>
      <c r="F68" t="s">
        <v>1261</v>
      </c>
      <c r="G68" t="s">
        <v>1069</v>
      </c>
      <c r="H68" t="s">
        <v>1294</v>
      </c>
      <c r="I68" t="s">
        <v>1069</v>
      </c>
    </row>
    <row r="69" spans="1:9">
      <c r="A69" t="s">
        <v>1295</v>
      </c>
      <c r="B69" t="s">
        <v>1270</v>
      </c>
      <c r="C69" t="s">
        <v>1069</v>
      </c>
      <c r="D69" t="s">
        <v>1074</v>
      </c>
      <c r="E69" t="s">
        <v>1069</v>
      </c>
      <c r="F69" t="s">
        <v>1296</v>
      </c>
      <c r="G69" t="s">
        <v>1069</v>
      </c>
      <c r="H69" t="s">
        <v>1297</v>
      </c>
      <c r="I69" t="s">
        <v>1069</v>
      </c>
    </row>
    <row r="70" spans="1:9">
      <c r="A70" t="s">
        <v>1298</v>
      </c>
      <c r="B70" t="s">
        <v>1293</v>
      </c>
      <c r="C70" t="s">
        <v>1069</v>
      </c>
      <c r="D70" t="s">
        <v>1128</v>
      </c>
      <c r="E70" t="s">
        <v>1069</v>
      </c>
      <c r="F70" t="s">
        <v>1076</v>
      </c>
      <c r="G70" t="s">
        <v>1069</v>
      </c>
      <c r="H70" t="s">
        <v>1299</v>
      </c>
      <c r="I70" t="s">
        <v>1069</v>
      </c>
    </row>
    <row r="71" spans="1:9">
      <c r="A71" t="s">
        <v>1300</v>
      </c>
      <c r="B71" t="s">
        <v>1270</v>
      </c>
      <c r="C71" t="s">
        <v>1069</v>
      </c>
      <c r="D71" t="s">
        <v>1128</v>
      </c>
      <c r="E71" t="s">
        <v>1069</v>
      </c>
      <c r="F71" t="s">
        <v>1070</v>
      </c>
      <c r="G71" t="s">
        <v>1069</v>
      </c>
      <c r="H71" t="s">
        <v>1301</v>
      </c>
      <c r="I71" t="s">
        <v>1069</v>
      </c>
    </row>
    <row r="72" spans="1:9">
      <c r="A72" t="s">
        <v>1302</v>
      </c>
      <c r="B72" t="s">
        <v>1149</v>
      </c>
      <c r="C72" t="s">
        <v>1069</v>
      </c>
      <c r="D72" t="s">
        <v>1143</v>
      </c>
      <c r="E72" t="s">
        <v>1069</v>
      </c>
      <c r="F72" t="s">
        <v>1075</v>
      </c>
      <c r="G72" t="s">
        <v>1069</v>
      </c>
      <c r="H72" t="s">
        <v>1072</v>
      </c>
      <c r="I72" t="s">
        <v>1069</v>
      </c>
    </row>
    <row r="73" spans="1:9">
      <c r="A73" t="s">
        <v>1303</v>
      </c>
      <c r="B73" t="s">
        <v>1284</v>
      </c>
      <c r="C73" t="s">
        <v>1069</v>
      </c>
      <c r="D73" t="s">
        <v>1102</v>
      </c>
      <c r="E73" t="s">
        <v>1069</v>
      </c>
      <c r="F73" t="s">
        <v>1070</v>
      </c>
      <c r="G73" t="s">
        <v>1069</v>
      </c>
      <c r="H73" t="s">
        <v>1304</v>
      </c>
      <c r="I73" t="s">
        <v>1069</v>
      </c>
    </row>
    <row r="74" spans="1:9">
      <c r="A74" t="s">
        <v>1305</v>
      </c>
      <c r="B74" t="s">
        <v>1121</v>
      </c>
      <c r="C74" t="s">
        <v>1069</v>
      </c>
      <c r="D74" t="s">
        <v>1113</v>
      </c>
      <c r="E74" t="s">
        <v>1069</v>
      </c>
      <c r="F74" t="s">
        <v>1122</v>
      </c>
      <c r="G74" t="s">
        <v>1069</v>
      </c>
      <c r="H74" t="s">
        <v>1306</v>
      </c>
      <c r="I74" t="s">
        <v>1069</v>
      </c>
    </row>
    <row r="75" spans="1:9">
      <c r="A75" t="s">
        <v>1307</v>
      </c>
      <c r="B75" t="s">
        <v>1093</v>
      </c>
      <c r="C75" t="s">
        <v>1069</v>
      </c>
      <c r="D75" t="s">
        <v>1094</v>
      </c>
      <c r="E75" t="s">
        <v>1069</v>
      </c>
      <c r="F75" t="s">
        <v>1261</v>
      </c>
      <c r="G75" t="s">
        <v>1069</v>
      </c>
      <c r="H75" t="s">
        <v>1308</v>
      </c>
      <c r="I75" t="s">
        <v>1069</v>
      </c>
    </row>
    <row r="76" spans="1:9">
      <c r="A76" t="s">
        <v>1309</v>
      </c>
      <c r="B76" t="s">
        <v>1310</v>
      </c>
      <c r="C76" t="s">
        <v>1069</v>
      </c>
      <c r="D76" t="s">
        <v>1144</v>
      </c>
      <c r="E76" t="s">
        <v>1069</v>
      </c>
      <c r="F76" t="s">
        <v>1081</v>
      </c>
      <c r="G76" t="s">
        <v>1069</v>
      </c>
      <c r="H76" t="s">
        <v>1311</v>
      </c>
      <c r="I76" t="s">
        <v>1069</v>
      </c>
    </row>
    <row r="77" spans="1:9">
      <c r="A77" t="s">
        <v>1312</v>
      </c>
      <c r="B77" t="s">
        <v>1074</v>
      </c>
      <c r="C77" t="s">
        <v>1069</v>
      </c>
      <c r="D77" t="s">
        <v>1090</v>
      </c>
      <c r="E77" t="s">
        <v>1069</v>
      </c>
      <c r="F77" t="s">
        <v>1166</v>
      </c>
      <c r="G77" t="s">
        <v>1069</v>
      </c>
      <c r="H77" t="s">
        <v>1313</v>
      </c>
      <c r="I77" t="s">
        <v>1069</v>
      </c>
    </row>
    <row r="78" spans="1:9">
      <c r="A78" t="s">
        <v>1314</v>
      </c>
      <c r="B78" t="s">
        <v>1103</v>
      </c>
      <c r="C78" t="s">
        <v>1069</v>
      </c>
      <c r="D78" t="s">
        <v>1075</v>
      </c>
      <c r="E78" t="s">
        <v>1069</v>
      </c>
      <c r="F78" t="s">
        <v>1261</v>
      </c>
      <c r="G78" t="s">
        <v>1069</v>
      </c>
      <c r="H78" t="s">
        <v>1315</v>
      </c>
      <c r="I78" t="s">
        <v>1069</v>
      </c>
    </row>
    <row r="79" spans="1:9">
      <c r="A79" t="s">
        <v>1316</v>
      </c>
      <c r="B79" t="s">
        <v>1144</v>
      </c>
      <c r="C79" t="s">
        <v>1069</v>
      </c>
      <c r="D79" t="s">
        <v>1104</v>
      </c>
      <c r="E79" t="s">
        <v>1069</v>
      </c>
      <c r="F79" t="s">
        <v>1317</v>
      </c>
      <c r="G79" t="s">
        <v>1069</v>
      </c>
      <c r="H79" t="s">
        <v>1318</v>
      </c>
      <c r="I79" t="s">
        <v>1069</v>
      </c>
    </row>
    <row r="80" spans="1:9">
      <c r="A80" t="s">
        <v>1319</v>
      </c>
      <c r="B80" t="s">
        <v>1320</v>
      </c>
      <c r="C80" t="s">
        <v>1069</v>
      </c>
      <c r="D80" t="s">
        <v>1223</v>
      </c>
      <c r="E80" t="s">
        <v>1069</v>
      </c>
      <c r="F80" t="s">
        <v>1203</v>
      </c>
      <c r="G80" t="s">
        <v>1069</v>
      </c>
      <c r="H80" t="s">
        <v>1321</v>
      </c>
      <c r="I80" t="s">
        <v>1069</v>
      </c>
    </row>
    <row r="81" spans="1:9">
      <c r="A81" t="s">
        <v>1322</v>
      </c>
      <c r="B81" t="s">
        <v>1099</v>
      </c>
      <c r="C81" t="s">
        <v>1069</v>
      </c>
      <c r="D81" t="s">
        <v>1081</v>
      </c>
      <c r="E81" t="s">
        <v>1069</v>
      </c>
      <c r="F81" t="s">
        <v>1323</v>
      </c>
      <c r="G81" t="s">
        <v>1069</v>
      </c>
      <c r="H81" t="s">
        <v>1324</v>
      </c>
      <c r="I81" t="s">
        <v>1069</v>
      </c>
    </row>
    <row r="82" spans="1:9">
      <c r="A82" t="s">
        <v>1325</v>
      </c>
      <c r="B82" t="s">
        <v>1159</v>
      </c>
      <c r="C82" t="s">
        <v>1069</v>
      </c>
      <c r="D82" t="s">
        <v>1166</v>
      </c>
      <c r="E82" t="s">
        <v>1069</v>
      </c>
      <c r="F82" t="s">
        <v>1224</v>
      </c>
      <c r="G82" t="s">
        <v>1069</v>
      </c>
      <c r="H82" t="s">
        <v>1326</v>
      </c>
      <c r="I82" t="s">
        <v>1069</v>
      </c>
    </row>
    <row r="83" spans="1:9">
      <c r="A83" t="s">
        <v>1327</v>
      </c>
      <c r="B83" t="s">
        <v>1328</v>
      </c>
      <c r="C83" t="s">
        <v>1069</v>
      </c>
      <c r="D83" t="s">
        <v>1168</v>
      </c>
      <c r="E83" t="s">
        <v>1069</v>
      </c>
      <c r="F83" t="s">
        <v>1329</v>
      </c>
      <c r="G83" t="s">
        <v>1069</v>
      </c>
      <c r="H83" t="s">
        <v>1330</v>
      </c>
      <c r="I83" t="s">
        <v>1069</v>
      </c>
    </row>
    <row r="84" spans="1:9">
      <c r="A84" t="s">
        <v>1331</v>
      </c>
      <c r="B84" t="s">
        <v>1332</v>
      </c>
      <c r="C84" t="s">
        <v>1069</v>
      </c>
      <c r="D84" t="s">
        <v>1333</v>
      </c>
      <c r="E84" t="s">
        <v>1069</v>
      </c>
      <c r="F84" t="s">
        <v>1334</v>
      </c>
      <c r="G84" t="s">
        <v>1069</v>
      </c>
      <c r="H84" t="s">
        <v>1335</v>
      </c>
      <c r="I84" t="s">
        <v>1069</v>
      </c>
    </row>
    <row r="85" spans="1:9">
      <c r="A85" t="s">
        <v>1336</v>
      </c>
      <c r="B85" t="s">
        <v>1337</v>
      </c>
      <c r="C85" t="s">
        <v>1069</v>
      </c>
      <c r="D85" t="s">
        <v>1338</v>
      </c>
      <c r="E85" t="s">
        <v>1069</v>
      </c>
      <c r="F85" t="s">
        <v>1339</v>
      </c>
      <c r="G85" t="s">
        <v>1069</v>
      </c>
      <c r="H85" t="s">
        <v>1340</v>
      </c>
      <c r="I85" t="s">
        <v>1069</v>
      </c>
    </row>
    <row r="86" spans="1:9">
      <c r="A86" t="s">
        <v>1341</v>
      </c>
      <c r="B86" t="s">
        <v>1338</v>
      </c>
      <c r="C86" t="s">
        <v>1069</v>
      </c>
      <c r="D86" t="s">
        <v>1342</v>
      </c>
      <c r="E86" t="s">
        <v>1069</v>
      </c>
      <c r="F86" t="s">
        <v>1343</v>
      </c>
      <c r="G86" t="s">
        <v>1069</v>
      </c>
      <c r="H86" t="s">
        <v>1344</v>
      </c>
      <c r="I86" t="s">
        <v>1069</v>
      </c>
    </row>
    <row r="87" spans="1:9">
      <c r="A87" t="s">
        <v>1345</v>
      </c>
      <c r="B87" t="s">
        <v>1346</v>
      </c>
      <c r="C87" t="s">
        <v>1069</v>
      </c>
      <c r="D87" t="s">
        <v>1347</v>
      </c>
      <c r="E87" t="s">
        <v>1069</v>
      </c>
      <c r="F87" t="s">
        <v>1348</v>
      </c>
      <c r="G87" t="s">
        <v>1069</v>
      </c>
      <c r="H87" t="s">
        <v>1349</v>
      </c>
      <c r="I87" t="s">
        <v>1069</v>
      </c>
    </row>
    <row r="88" spans="1:9">
      <c r="A88" t="s">
        <v>1350</v>
      </c>
      <c r="B88" t="s">
        <v>1351</v>
      </c>
      <c r="C88" t="s">
        <v>1069</v>
      </c>
      <c r="D88" t="s">
        <v>1352</v>
      </c>
      <c r="E88" t="s">
        <v>1069</v>
      </c>
      <c r="F88" t="s">
        <v>1353</v>
      </c>
      <c r="G88" t="s">
        <v>1069</v>
      </c>
      <c r="H88" t="s">
        <v>1354</v>
      </c>
      <c r="I88" t="s">
        <v>1069</v>
      </c>
    </row>
    <row r="89" spans="1:9">
      <c r="A89" t="s">
        <v>1355</v>
      </c>
      <c r="B89" t="s">
        <v>1356</v>
      </c>
      <c r="C89" t="s">
        <v>1069</v>
      </c>
      <c r="D89" t="s">
        <v>1357</v>
      </c>
      <c r="E89" t="s">
        <v>1069</v>
      </c>
      <c r="F89" t="s">
        <v>1358</v>
      </c>
      <c r="G89" t="s">
        <v>1069</v>
      </c>
      <c r="H89" t="s">
        <v>1359</v>
      </c>
      <c r="I89" t="s">
        <v>1069</v>
      </c>
    </row>
    <row r="90" spans="1:9">
      <c r="A90" t="s">
        <v>1360</v>
      </c>
      <c r="B90" t="s">
        <v>1361</v>
      </c>
      <c r="C90" t="s">
        <v>1069</v>
      </c>
      <c r="D90" t="s">
        <v>1362</v>
      </c>
      <c r="E90" t="s">
        <v>1069</v>
      </c>
      <c r="F90" t="s">
        <v>1363</v>
      </c>
      <c r="G90" t="s">
        <v>1069</v>
      </c>
      <c r="H90" t="s">
        <v>1364</v>
      </c>
      <c r="I90" t="s">
        <v>1069</v>
      </c>
    </row>
    <row r="91" spans="1:9">
      <c r="A91" t="s">
        <v>1365</v>
      </c>
      <c r="B91" t="s">
        <v>1366</v>
      </c>
      <c r="C91" t="s">
        <v>1069</v>
      </c>
      <c r="D91" t="s">
        <v>1363</v>
      </c>
      <c r="E91" t="s">
        <v>1069</v>
      </c>
      <c r="F91" t="s">
        <v>1367</v>
      </c>
      <c r="G91" t="s">
        <v>1069</v>
      </c>
      <c r="H91" t="s">
        <v>1368</v>
      </c>
      <c r="I91" t="s">
        <v>1069</v>
      </c>
    </row>
    <row r="92" spans="1:9">
      <c r="A92" t="s">
        <v>1369</v>
      </c>
      <c r="B92" t="s">
        <v>1370</v>
      </c>
      <c r="C92" t="s">
        <v>1069</v>
      </c>
      <c r="D92" t="s">
        <v>1346</v>
      </c>
      <c r="E92" t="s">
        <v>1069</v>
      </c>
      <c r="F92" t="s">
        <v>1367</v>
      </c>
      <c r="G92" t="s">
        <v>1069</v>
      </c>
      <c r="H92" t="s">
        <v>1371</v>
      </c>
      <c r="I92" t="s">
        <v>1069</v>
      </c>
    </row>
    <row r="93" spans="1:9">
      <c r="A93" t="s">
        <v>1372</v>
      </c>
      <c r="B93" t="s">
        <v>1373</v>
      </c>
      <c r="C93" t="s">
        <v>1069</v>
      </c>
      <c r="D93" t="s">
        <v>1374</v>
      </c>
      <c r="E93" t="s">
        <v>1069</v>
      </c>
      <c r="F93" t="s">
        <v>1375</v>
      </c>
      <c r="G93" t="s">
        <v>1069</v>
      </c>
      <c r="H93" t="s">
        <v>1376</v>
      </c>
      <c r="I93" t="s">
        <v>1069</v>
      </c>
    </row>
    <row r="94" spans="1:9">
      <c r="A94" t="s">
        <v>1377</v>
      </c>
      <c r="B94" t="s">
        <v>1378</v>
      </c>
      <c r="C94" t="s">
        <v>1069</v>
      </c>
      <c r="D94" t="s">
        <v>1379</v>
      </c>
      <c r="E94" t="s">
        <v>1069</v>
      </c>
      <c r="F94" t="s">
        <v>1380</v>
      </c>
      <c r="G94" t="s">
        <v>1069</v>
      </c>
      <c r="H94" t="s">
        <v>1381</v>
      </c>
      <c r="I94" t="s">
        <v>1069</v>
      </c>
    </row>
    <row r="95" spans="1:9">
      <c r="A95" t="s">
        <v>1382</v>
      </c>
      <c r="B95" t="s">
        <v>1383</v>
      </c>
      <c r="C95" t="s">
        <v>1069</v>
      </c>
      <c r="D95" t="s">
        <v>1384</v>
      </c>
      <c r="E95" t="s">
        <v>1069</v>
      </c>
      <c r="F95" t="s">
        <v>1346</v>
      </c>
      <c r="G95" t="s">
        <v>1069</v>
      </c>
      <c r="H95" t="s">
        <v>1385</v>
      </c>
      <c r="I95" t="s">
        <v>1069</v>
      </c>
    </row>
    <row r="96" spans="1:9">
      <c r="A96" t="s">
        <v>1386</v>
      </c>
      <c r="B96" t="s">
        <v>1387</v>
      </c>
      <c r="C96" t="s">
        <v>1069</v>
      </c>
      <c r="D96" t="s">
        <v>1388</v>
      </c>
      <c r="E96" t="s">
        <v>1069</v>
      </c>
      <c r="F96" t="s">
        <v>1384</v>
      </c>
      <c r="G96" t="s">
        <v>1069</v>
      </c>
      <c r="H96" t="s">
        <v>1389</v>
      </c>
      <c r="I96" t="s">
        <v>1069</v>
      </c>
    </row>
    <row r="97" spans="1:9">
      <c r="A97" t="s">
        <v>1390</v>
      </c>
      <c r="B97" t="s">
        <v>1391</v>
      </c>
      <c r="C97" t="s">
        <v>1069</v>
      </c>
      <c r="D97" t="s">
        <v>1392</v>
      </c>
      <c r="E97" t="s">
        <v>1069</v>
      </c>
      <c r="F97" t="s">
        <v>1333</v>
      </c>
      <c r="G97" t="s">
        <v>1069</v>
      </c>
      <c r="H97" t="s">
        <v>1393</v>
      </c>
      <c r="I97" t="s">
        <v>1069</v>
      </c>
    </row>
    <row r="98" spans="1:9">
      <c r="A98" t="s">
        <v>1394</v>
      </c>
      <c r="B98" t="s">
        <v>1395</v>
      </c>
      <c r="C98" t="s">
        <v>1069</v>
      </c>
      <c r="D98" t="s">
        <v>1396</v>
      </c>
      <c r="E98" t="s">
        <v>1069</v>
      </c>
      <c r="F98" t="s">
        <v>1397</v>
      </c>
      <c r="G98" t="s">
        <v>1069</v>
      </c>
      <c r="H98" t="s">
        <v>1398</v>
      </c>
      <c r="I98" t="s">
        <v>1069</v>
      </c>
    </row>
    <row r="99" spans="1:9">
      <c r="A99" t="s">
        <v>1399</v>
      </c>
      <c r="B99" t="s">
        <v>1400</v>
      </c>
      <c r="C99" t="s">
        <v>1069</v>
      </c>
      <c r="D99" t="s">
        <v>1228</v>
      </c>
      <c r="E99" t="s">
        <v>1069</v>
      </c>
      <c r="F99" t="s">
        <v>1356</v>
      </c>
      <c r="G99" t="s">
        <v>1069</v>
      </c>
      <c r="H99" t="s">
        <v>1401</v>
      </c>
      <c r="I99" t="s">
        <v>1069</v>
      </c>
    </row>
    <row r="100" spans="1:9">
      <c r="A100" t="s">
        <v>1402</v>
      </c>
      <c r="B100" t="s">
        <v>1199</v>
      </c>
      <c r="C100" t="s">
        <v>1069</v>
      </c>
      <c r="D100" t="s">
        <v>1403</v>
      </c>
      <c r="E100" t="s">
        <v>1069</v>
      </c>
      <c r="F100" t="s">
        <v>1404</v>
      </c>
      <c r="G100" t="s">
        <v>1069</v>
      </c>
      <c r="H100" t="s">
        <v>1405</v>
      </c>
      <c r="I100" t="s">
        <v>1069</v>
      </c>
    </row>
    <row r="101" spans="1:9">
      <c r="A101" t="s">
        <v>1406</v>
      </c>
      <c r="B101" t="s">
        <v>1184</v>
      </c>
      <c r="C101" t="s">
        <v>1069</v>
      </c>
      <c r="D101" t="s">
        <v>1163</v>
      </c>
      <c r="E101" t="s">
        <v>1069</v>
      </c>
      <c r="F101" t="s">
        <v>1323</v>
      </c>
      <c r="G101" t="s">
        <v>1069</v>
      </c>
      <c r="H101" t="s">
        <v>1407</v>
      </c>
      <c r="I101" t="s">
        <v>1069</v>
      </c>
    </row>
    <row r="102" spans="1:9">
      <c r="A102" t="s">
        <v>1408</v>
      </c>
      <c r="B102" t="s">
        <v>1172</v>
      </c>
      <c r="C102" t="s">
        <v>1069</v>
      </c>
      <c r="D102" t="s">
        <v>1168</v>
      </c>
      <c r="E102" t="s">
        <v>1069</v>
      </c>
      <c r="F102" t="s">
        <v>1403</v>
      </c>
      <c r="G102" t="s">
        <v>1069</v>
      </c>
      <c r="H102" t="s">
        <v>1409</v>
      </c>
      <c r="I102" t="s">
        <v>1069</v>
      </c>
    </row>
    <row r="103" spans="1:9">
      <c r="A103" t="s">
        <v>1410</v>
      </c>
      <c r="B103" t="s">
        <v>1212</v>
      </c>
      <c r="C103" t="s">
        <v>1069</v>
      </c>
      <c r="D103" t="s">
        <v>1403</v>
      </c>
      <c r="E103" t="s">
        <v>1069</v>
      </c>
      <c r="F103" t="s">
        <v>1411</v>
      </c>
      <c r="G103" t="s">
        <v>1069</v>
      </c>
      <c r="H103" t="s">
        <v>1412</v>
      </c>
      <c r="I103" t="s">
        <v>1069</v>
      </c>
    </row>
    <row r="104" spans="1:9">
      <c r="A104" t="s">
        <v>1413</v>
      </c>
      <c r="B104" t="s">
        <v>1180</v>
      </c>
      <c r="C104" t="s">
        <v>1069</v>
      </c>
      <c r="D104" t="s">
        <v>1163</v>
      </c>
      <c r="E104" t="s">
        <v>1069</v>
      </c>
      <c r="F104" t="s">
        <v>1414</v>
      </c>
      <c r="G104" t="s">
        <v>1069</v>
      </c>
      <c r="H104" t="s">
        <v>1415</v>
      </c>
      <c r="I104" t="s">
        <v>1069</v>
      </c>
    </row>
    <row r="105" spans="1:9">
      <c r="A105" t="s">
        <v>1416</v>
      </c>
      <c r="B105" t="s">
        <v>1231</v>
      </c>
      <c r="C105" t="s">
        <v>1069</v>
      </c>
      <c r="D105" t="s">
        <v>1328</v>
      </c>
      <c r="E105" t="s">
        <v>1069</v>
      </c>
      <c r="F105" t="s">
        <v>1191</v>
      </c>
      <c r="G105" t="s">
        <v>1069</v>
      </c>
      <c r="H105" t="s">
        <v>1417</v>
      </c>
      <c r="I105" t="s">
        <v>1069</v>
      </c>
    </row>
    <row r="106" spans="1:9">
      <c r="A106" t="s">
        <v>1418</v>
      </c>
      <c r="B106" t="s">
        <v>1071</v>
      </c>
      <c r="C106" t="s">
        <v>1069</v>
      </c>
      <c r="D106" t="s">
        <v>1285</v>
      </c>
      <c r="E106" t="s">
        <v>1069</v>
      </c>
      <c r="F106" t="s">
        <v>1179</v>
      </c>
      <c r="G106" t="s">
        <v>1069</v>
      </c>
      <c r="H106" t="s">
        <v>1419</v>
      </c>
      <c r="I106" t="s">
        <v>1069</v>
      </c>
    </row>
    <row r="107" spans="1:9">
      <c r="A107" t="s">
        <v>1420</v>
      </c>
      <c r="B107" t="s">
        <v>1242</v>
      </c>
      <c r="C107" t="s">
        <v>1069</v>
      </c>
      <c r="D107" t="s">
        <v>1099</v>
      </c>
      <c r="E107" t="s">
        <v>1069</v>
      </c>
      <c r="F107" t="s">
        <v>1285</v>
      </c>
      <c r="G107" t="s">
        <v>1069</v>
      </c>
      <c r="H107" t="s">
        <v>1421</v>
      </c>
      <c r="I107" t="s">
        <v>1069</v>
      </c>
    </row>
    <row r="108" spans="1:9">
      <c r="A108" t="s">
        <v>1422</v>
      </c>
      <c r="B108" t="s">
        <v>1122</v>
      </c>
      <c r="C108" t="s">
        <v>1069</v>
      </c>
      <c r="D108" t="s">
        <v>1242</v>
      </c>
      <c r="E108" t="s">
        <v>1069</v>
      </c>
      <c r="F108" t="s">
        <v>1279</v>
      </c>
      <c r="G108" t="s">
        <v>1069</v>
      </c>
      <c r="H108" t="s">
        <v>1423</v>
      </c>
      <c r="I108" t="s">
        <v>1069</v>
      </c>
    </row>
    <row r="109" spans="1:9">
      <c r="A109" t="s">
        <v>1424</v>
      </c>
      <c r="B109" t="s">
        <v>1094</v>
      </c>
      <c r="C109" t="s">
        <v>1069</v>
      </c>
      <c r="D109" t="s">
        <v>1070</v>
      </c>
      <c r="E109" t="s">
        <v>1069</v>
      </c>
      <c r="F109" t="s">
        <v>1242</v>
      </c>
      <c r="G109" t="s">
        <v>1069</v>
      </c>
      <c r="H109" t="s">
        <v>1425</v>
      </c>
      <c r="I109" t="s">
        <v>1069</v>
      </c>
    </row>
    <row r="110" spans="1:9">
      <c r="A110" t="s">
        <v>1426</v>
      </c>
      <c r="B110" t="s">
        <v>1140</v>
      </c>
      <c r="C110" t="s">
        <v>1069</v>
      </c>
      <c r="D110" t="s">
        <v>1080</v>
      </c>
      <c r="E110" t="s">
        <v>1069</v>
      </c>
      <c r="F110" t="s">
        <v>1427</v>
      </c>
      <c r="G110" t="s">
        <v>1069</v>
      </c>
      <c r="H110" t="s">
        <v>1428</v>
      </c>
      <c r="I110" t="s">
        <v>1069</v>
      </c>
    </row>
    <row r="111" spans="1:9">
      <c r="A111" t="s">
        <v>1429</v>
      </c>
      <c r="B111" t="s">
        <v>1075</v>
      </c>
      <c r="C111" t="s">
        <v>1069</v>
      </c>
      <c r="D111" t="s">
        <v>1104</v>
      </c>
      <c r="E111" t="s">
        <v>1069</v>
      </c>
      <c r="F111" t="s">
        <v>1223</v>
      </c>
      <c r="G111" t="s">
        <v>1069</v>
      </c>
      <c r="H111" t="s">
        <v>1430</v>
      </c>
      <c r="I111" t="s">
        <v>1069</v>
      </c>
    </row>
    <row r="112" spans="1:9">
      <c r="A112" t="s">
        <v>1431</v>
      </c>
      <c r="B112" t="s">
        <v>1102</v>
      </c>
      <c r="C112" t="s">
        <v>1069</v>
      </c>
      <c r="D112" t="s">
        <v>1129</v>
      </c>
      <c r="E112" t="s">
        <v>1069</v>
      </c>
      <c r="F112" t="s">
        <v>1084</v>
      </c>
      <c r="G112" t="s">
        <v>1069</v>
      </c>
      <c r="H112" t="s">
        <v>1432</v>
      </c>
      <c r="I112" t="s">
        <v>1069</v>
      </c>
    </row>
    <row r="113" spans="1:9">
      <c r="A113" t="s">
        <v>1433</v>
      </c>
      <c r="B113" t="s">
        <v>1125</v>
      </c>
      <c r="C113" t="s">
        <v>1069</v>
      </c>
      <c r="D113" t="s">
        <v>1260</v>
      </c>
      <c r="E113" t="s">
        <v>1069</v>
      </c>
      <c r="F113" t="s">
        <v>1129</v>
      </c>
      <c r="G113" t="s">
        <v>1069</v>
      </c>
      <c r="H113" t="s">
        <v>1434</v>
      </c>
      <c r="I113" t="s">
        <v>1069</v>
      </c>
    </row>
    <row r="114" spans="1:9">
      <c r="A114" t="s">
        <v>1435</v>
      </c>
      <c r="B114" t="s">
        <v>1125</v>
      </c>
      <c r="C114" t="s">
        <v>1069</v>
      </c>
      <c r="D114" t="s">
        <v>1260</v>
      </c>
      <c r="E114" t="s">
        <v>1069</v>
      </c>
      <c r="F114" t="s">
        <v>1436</v>
      </c>
      <c r="G114" t="s">
        <v>1069</v>
      </c>
      <c r="H114" t="s">
        <v>1437</v>
      </c>
      <c r="I114" t="s">
        <v>1069</v>
      </c>
    </row>
    <row r="115" spans="1:9">
      <c r="A115" t="s">
        <v>1438</v>
      </c>
      <c r="B115" t="s">
        <v>1265</v>
      </c>
      <c r="C115" t="s">
        <v>1069</v>
      </c>
      <c r="D115" t="s">
        <v>1128</v>
      </c>
      <c r="E115" t="s">
        <v>1069</v>
      </c>
      <c r="F115" t="s">
        <v>1113</v>
      </c>
      <c r="G115" t="s">
        <v>1069</v>
      </c>
      <c r="H115" t="s">
        <v>1439</v>
      </c>
      <c r="I115" t="s">
        <v>1069</v>
      </c>
    </row>
    <row r="116" spans="1:9">
      <c r="A116" t="s">
        <v>1440</v>
      </c>
      <c r="B116" t="s">
        <v>1265</v>
      </c>
      <c r="C116" t="s">
        <v>1069</v>
      </c>
      <c r="D116" t="s">
        <v>1128</v>
      </c>
      <c r="E116" t="s">
        <v>1069</v>
      </c>
      <c r="F116" t="s">
        <v>1093</v>
      </c>
      <c r="G116" t="s">
        <v>1069</v>
      </c>
      <c r="H116" t="s">
        <v>1441</v>
      </c>
      <c r="I116" t="s">
        <v>1069</v>
      </c>
    </row>
    <row r="117" spans="1:9">
      <c r="A117" t="s">
        <v>1442</v>
      </c>
      <c r="B117" t="s">
        <v>1125</v>
      </c>
      <c r="C117" t="s">
        <v>1069</v>
      </c>
      <c r="D117" t="s">
        <v>1260</v>
      </c>
      <c r="E117" t="s">
        <v>1069</v>
      </c>
      <c r="F117" t="s">
        <v>1068</v>
      </c>
      <c r="G117" t="s">
        <v>1069</v>
      </c>
      <c r="H117" t="s">
        <v>1443</v>
      </c>
      <c r="I117" t="s">
        <v>1069</v>
      </c>
    </row>
    <row r="118" spans="1:9">
      <c r="A118" t="s">
        <v>1444</v>
      </c>
      <c r="B118" t="s">
        <v>1128</v>
      </c>
      <c r="C118" t="s">
        <v>1069</v>
      </c>
      <c r="D118" t="s">
        <v>1116</v>
      </c>
      <c r="E118" t="s">
        <v>1069</v>
      </c>
      <c r="F118" t="s">
        <v>1140</v>
      </c>
      <c r="G118" t="s">
        <v>1069</v>
      </c>
      <c r="H118" t="s">
        <v>1445</v>
      </c>
      <c r="I118" t="s">
        <v>1069</v>
      </c>
    </row>
    <row r="119" spans="1:9">
      <c r="A119" t="s">
        <v>1446</v>
      </c>
      <c r="B119" t="s">
        <v>1136</v>
      </c>
      <c r="C119" t="s">
        <v>1069</v>
      </c>
      <c r="D119" t="s">
        <v>1116</v>
      </c>
      <c r="E119" t="s">
        <v>1069</v>
      </c>
      <c r="F119" t="s">
        <v>1090</v>
      </c>
      <c r="G119" t="s">
        <v>1069</v>
      </c>
      <c r="H119" t="s">
        <v>1447</v>
      </c>
      <c r="I119" t="s">
        <v>1069</v>
      </c>
    </row>
    <row r="120" spans="1:9">
      <c r="A120" t="s">
        <v>1448</v>
      </c>
      <c r="B120" t="s">
        <v>1125</v>
      </c>
      <c r="C120" t="s">
        <v>1069</v>
      </c>
      <c r="D120" t="s">
        <v>1260</v>
      </c>
      <c r="E120" t="s">
        <v>1069</v>
      </c>
      <c r="F120" t="s">
        <v>1089</v>
      </c>
      <c r="G120" t="s">
        <v>1069</v>
      </c>
      <c r="H120" t="s">
        <v>1449</v>
      </c>
      <c r="I120" t="s">
        <v>1069</v>
      </c>
    </row>
    <row r="121" spans="1:9">
      <c r="A121" t="s">
        <v>1450</v>
      </c>
      <c r="B121" t="s">
        <v>1136</v>
      </c>
      <c r="C121" t="s">
        <v>1069</v>
      </c>
      <c r="D121" t="s">
        <v>1116</v>
      </c>
      <c r="E121" t="s">
        <v>1069</v>
      </c>
      <c r="F121" t="s">
        <v>1098</v>
      </c>
      <c r="G121" t="s">
        <v>1069</v>
      </c>
      <c r="H121" t="s">
        <v>1221</v>
      </c>
      <c r="I121" t="s">
        <v>1069</v>
      </c>
    </row>
    <row r="122" spans="1:9">
      <c r="A122" t="s">
        <v>1451</v>
      </c>
      <c r="B122" t="s">
        <v>1265</v>
      </c>
      <c r="C122" t="s">
        <v>1069</v>
      </c>
      <c r="D122" t="s">
        <v>1102</v>
      </c>
      <c r="E122" t="s">
        <v>1069</v>
      </c>
      <c r="F122" t="s">
        <v>1080</v>
      </c>
      <c r="G122" t="s">
        <v>1069</v>
      </c>
      <c r="H122" t="s">
        <v>1452</v>
      </c>
      <c r="I122" t="s">
        <v>1069</v>
      </c>
    </row>
    <row r="123" spans="1:9">
      <c r="A123" t="s">
        <v>1453</v>
      </c>
      <c r="B123" t="s">
        <v>1125</v>
      </c>
      <c r="C123" t="s">
        <v>1069</v>
      </c>
      <c r="D123" t="s">
        <v>1093</v>
      </c>
      <c r="E123" t="s">
        <v>1069</v>
      </c>
      <c r="F123" t="s">
        <v>1104</v>
      </c>
      <c r="G123" t="s">
        <v>1069</v>
      </c>
      <c r="H123" t="s">
        <v>1117</v>
      </c>
      <c r="I123" t="s">
        <v>1069</v>
      </c>
    </row>
    <row r="124" spans="1:9">
      <c r="A124" t="s">
        <v>1454</v>
      </c>
      <c r="B124" t="s">
        <v>1125</v>
      </c>
      <c r="C124" t="s">
        <v>1069</v>
      </c>
      <c r="D124" t="s">
        <v>1139</v>
      </c>
      <c r="E124" t="s">
        <v>1069</v>
      </c>
      <c r="F124" t="s">
        <v>1104</v>
      </c>
      <c r="G124" t="s">
        <v>1069</v>
      </c>
      <c r="H124" t="s">
        <v>1455</v>
      </c>
      <c r="I124" t="s">
        <v>1069</v>
      </c>
    </row>
    <row r="125" spans="1:9">
      <c r="A125" t="s">
        <v>1456</v>
      </c>
      <c r="B125" t="s">
        <v>1121</v>
      </c>
      <c r="C125" t="s">
        <v>1069</v>
      </c>
      <c r="D125" t="s">
        <v>1089</v>
      </c>
      <c r="E125" t="s">
        <v>1069</v>
      </c>
      <c r="F125" t="s">
        <v>1071</v>
      </c>
      <c r="G125" t="s">
        <v>1069</v>
      </c>
      <c r="H125" t="s">
        <v>1457</v>
      </c>
      <c r="I125" t="s">
        <v>1069</v>
      </c>
    </row>
    <row r="126" spans="1:9">
      <c r="A126" t="s">
        <v>1458</v>
      </c>
      <c r="B126" t="s">
        <v>1125</v>
      </c>
      <c r="C126" t="s">
        <v>1069</v>
      </c>
      <c r="D126" t="s">
        <v>1089</v>
      </c>
      <c r="E126" t="s">
        <v>1069</v>
      </c>
      <c r="F126" t="s">
        <v>1159</v>
      </c>
      <c r="G126" t="s">
        <v>1069</v>
      </c>
      <c r="H126" t="s">
        <v>1459</v>
      </c>
      <c r="I126" t="s">
        <v>1069</v>
      </c>
    </row>
    <row r="127" spans="1:9">
      <c r="A127" t="s">
        <v>1460</v>
      </c>
      <c r="B127" t="s">
        <v>1125</v>
      </c>
      <c r="C127" t="s">
        <v>1069</v>
      </c>
      <c r="D127" t="s">
        <v>1089</v>
      </c>
      <c r="E127" t="s">
        <v>1069</v>
      </c>
      <c r="F127" t="s">
        <v>1104</v>
      </c>
      <c r="G127" t="s">
        <v>1069</v>
      </c>
      <c r="H127" t="s">
        <v>1117</v>
      </c>
      <c r="I127" t="s">
        <v>1069</v>
      </c>
    </row>
    <row r="128" spans="1:9">
      <c r="A128" t="s">
        <v>1461</v>
      </c>
      <c r="B128" t="s">
        <v>1128</v>
      </c>
      <c r="C128" t="s">
        <v>1069</v>
      </c>
      <c r="D128" t="s">
        <v>1068</v>
      </c>
      <c r="E128" t="s">
        <v>1069</v>
      </c>
      <c r="F128" t="s">
        <v>1266</v>
      </c>
      <c r="G128" t="s">
        <v>1069</v>
      </c>
      <c r="H128" t="s">
        <v>1462</v>
      </c>
      <c r="I128" t="s">
        <v>1069</v>
      </c>
    </row>
    <row r="129" spans="1:9">
      <c r="A129" t="s">
        <v>1463</v>
      </c>
      <c r="B129" t="s">
        <v>1136</v>
      </c>
      <c r="C129" t="s">
        <v>1069</v>
      </c>
      <c r="D129" t="s">
        <v>1089</v>
      </c>
      <c r="E129" t="s">
        <v>1069</v>
      </c>
      <c r="F129" t="s">
        <v>1110</v>
      </c>
      <c r="G129" t="s">
        <v>1069</v>
      </c>
      <c r="H129" t="s">
        <v>1464</v>
      </c>
      <c r="I129" t="s">
        <v>1069</v>
      </c>
    </row>
    <row r="130" spans="1:9">
      <c r="A130" t="s">
        <v>1465</v>
      </c>
      <c r="B130" t="s">
        <v>1125</v>
      </c>
      <c r="C130" t="s">
        <v>1069</v>
      </c>
      <c r="D130" t="s">
        <v>1310</v>
      </c>
      <c r="E130" t="s">
        <v>1069</v>
      </c>
      <c r="F130" t="s">
        <v>1104</v>
      </c>
      <c r="G130" t="s">
        <v>1069</v>
      </c>
      <c r="H130" t="s">
        <v>1466</v>
      </c>
      <c r="I130" t="s">
        <v>1069</v>
      </c>
    </row>
    <row r="131" spans="1:9">
      <c r="A131" t="s">
        <v>1467</v>
      </c>
      <c r="B131" t="s">
        <v>1265</v>
      </c>
      <c r="C131" t="s">
        <v>1069</v>
      </c>
      <c r="D131" t="s">
        <v>1093</v>
      </c>
      <c r="E131" t="s">
        <v>1069</v>
      </c>
      <c r="F131" t="s">
        <v>1095</v>
      </c>
      <c r="G131" t="s">
        <v>1069</v>
      </c>
      <c r="H131" t="s">
        <v>1087</v>
      </c>
      <c r="I131" t="s">
        <v>1069</v>
      </c>
    </row>
    <row r="132" spans="1:9">
      <c r="A132" t="s">
        <v>1468</v>
      </c>
      <c r="B132" t="s">
        <v>1149</v>
      </c>
      <c r="C132" t="s">
        <v>1069</v>
      </c>
      <c r="D132" t="s">
        <v>1107</v>
      </c>
      <c r="E132" t="s">
        <v>1069</v>
      </c>
      <c r="F132" t="s">
        <v>1098</v>
      </c>
      <c r="G132" t="s">
        <v>1069</v>
      </c>
      <c r="H132" t="s">
        <v>1469</v>
      </c>
      <c r="I132" t="s">
        <v>1069</v>
      </c>
    </row>
    <row r="133" spans="1:9">
      <c r="A133" t="s">
        <v>1470</v>
      </c>
      <c r="B133" t="s">
        <v>1259</v>
      </c>
      <c r="C133" t="s">
        <v>1069</v>
      </c>
      <c r="D133" t="s">
        <v>1125</v>
      </c>
      <c r="E133" t="s">
        <v>1069</v>
      </c>
      <c r="F133" t="s">
        <v>1089</v>
      </c>
      <c r="G133" t="s">
        <v>1069</v>
      </c>
      <c r="H133" t="s">
        <v>1471</v>
      </c>
      <c r="I133" t="s">
        <v>1069</v>
      </c>
    </row>
    <row r="134" spans="1:9">
      <c r="A134" t="s">
        <v>1472</v>
      </c>
      <c r="B134" t="s">
        <v>1269</v>
      </c>
      <c r="C134" t="s">
        <v>1069</v>
      </c>
      <c r="D134" t="s">
        <v>1259</v>
      </c>
      <c r="E134" t="s">
        <v>1069</v>
      </c>
      <c r="F134" t="s">
        <v>1260</v>
      </c>
      <c r="G134" t="s">
        <v>1069</v>
      </c>
      <c r="H134" t="s">
        <v>1473</v>
      </c>
      <c r="I134" t="s">
        <v>1069</v>
      </c>
    </row>
    <row r="135" spans="1:9">
      <c r="A135" t="s">
        <v>1474</v>
      </c>
      <c r="B135" t="s">
        <v>1475</v>
      </c>
      <c r="C135" t="s">
        <v>1069</v>
      </c>
      <c r="D135" t="s">
        <v>1476</v>
      </c>
      <c r="E135" t="s">
        <v>1069</v>
      </c>
      <c r="F135" t="s">
        <v>1284</v>
      </c>
      <c r="G135" t="s">
        <v>1069</v>
      </c>
      <c r="H135" t="s">
        <v>1477</v>
      </c>
      <c r="I135" t="s">
        <v>1069</v>
      </c>
    </row>
    <row r="136" spans="1:9">
      <c r="A136" t="s">
        <v>1478</v>
      </c>
      <c r="B136" t="s">
        <v>1475</v>
      </c>
      <c r="C136" t="s">
        <v>1069</v>
      </c>
      <c r="D136" t="s">
        <v>1476</v>
      </c>
      <c r="E136" t="s">
        <v>1069</v>
      </c>
      <c r="F136" t="s">
        <v>1125</v>
      </c>
      <c r="G136" t="s">
        <v>1069</v>
      </c>
      <c r="H136" t="s">
        <v>1479</v>
      </c>
      <c r="I136" t="s">
        <v>1069</v>
      </c>
    </row>
    <row r="137" spans="1:9">
      <c r="A137" t="s">
        <v>1480</v>
      </c>
      <c r="B137" t="s">
        <v>1475</v>
      </c>
      <c r="C137" t="s">
        <v>1069</v>
      </c>
      <c r="D137" t="s">
        <v>1476</v>
      </c>
      <c r="E137" t="s">
        <v>1069</v>
      </c>
      <c r="F137" t="s">
        <v>1128</v>
      </c>
      <c r="G137" t="s">
        <v>1069</v>
      </c>
      <c r="H137" t="s">
        <v>1481</v>
      </c>
      <c r="I137" t="s">
        <v>1069</v>
      </c>
    </row>
    <row r="138" spans="1:9">
      <c r="A138" t="s">
        <v>1482</v>
      </c>
      <c r="B138" t="s">
        <v>1483</v>
      </c>
      <c r="C138" t="s">
        <v>1069</v>
      </c>
      <c r="D138" t="s">
        <v>1288</v>
      </c>
      <c r="E138" t="s">
        <v>1069</v>
      </c>
      <c r="F138" t="s">
        <v>1260</v>
      </c>
      <c r="G138" t="s">
        <v>1069</v>
      </c>
      <c r="H138" t="s">
        <v>1484</v>
      </c>
      <c r="I138" t="s">
        <v>1069</v>
      </c>
    </row>
    <row r="139" spans="1:9">
      <c r="A139" t="s">
        <v>1485</v>
      </c>
      <c r="B139" t="s">
        <v>1483</v>
      </c>
      <c r="C139" t="s">
        <v>1069</v>
      </c>
      <c r="D139" t="s">
        <v>1288</v>
      </c>
      <c r="E139" t="s">
        <v>1069</v>
      </c>
      <c r="F139" t="s">
        <v>1260</v>
      </c>
      <c r="G139" t="s">
        <v>1069</v>
      </c>
      <c r="H139" t="s">
        <v>1486</v>
      </c>
      <c r="I139" t="s">
        <v>1069</v>
      </c>
    </row>
    <row r="140" spans="1:9">
      <c r="A140" t="s">
        <v>1487</v>
      </c>
      <c r="B140" t="s">
        <v>1483</v>
      </c>
      <c r="C140" t="s">
        <v>1069</v>
      </c>
      <c r="D140" t="s">
        <v>1488</v>
      </c>
      <c r="E140" t="s">
        <v>1069</v>
      </c>
      <c r="F140" t="s">
        <v>1136</v>
      </c>
      <c r="G140" t="s">
        <v>1069</v>
      </c>
      <c r="H140" t="s">
        <v>1489</v>
      </c>
      <c r="I140" t="s">
        <v>1069</v>
      </c>
    </row>
    <row r="141" spans="1:9">
      <c r="A141" t="s">
        <v>1490</v>
      </c>
      <c r="B141" t="s">
        <v>1269</v>
      </c>
      <c r="C141" t="s">
        <v>1069</v>
      </c>
      <c r="D141" t="s">
        <v>1270</v>
      </c>
      <c r="E141" t="s">
        <v>1069</v>
      </c>
      <c r="F141" t="s">
        <v>1103</v>
      </c>
      <c r="G141" t="s">
        <v>1069</v>
      </c>
      <c r="H141" t="s">
        <v>1491</v>
      </c>
      <c r="I141" t="s">
        <v>1069</v>
      </c>
    </row>
    <row r="142" spans="1:9">
      <c r="A142" t="s">
        <v>1492</v>
      </c>
      <c r="B142" t="s">
        <v>1476</v>
      </c>
      <c r="C142" t="s">
        <v>1069</v>
      </c>
      <c r="D142" t="s">
        <v>1284</v>
      </c>
      <c r="E142" t="s">
        <v>1069</v>
      </c>
      <c r="F142" t="s">
        <v>1144</v>
      </c>
      <c r="G142" t="s">
        <v>1069</v>
      </c>
      <c r="H142" t="s">
        <v>1294</v>
      </c>
      <c r="I142" t="s">
        <v>1069</v>
      </c>
    </row>
    <row r="143" spans="1:9">
      <c r="A143" t="s">
        <v>1493</v>
      </c>
      <c r="B143" t="s">
        <v>1288</v>
      </c>
      <c r="C143" t="s">
        <v>1069</v>
      </c>
      <c r="D143" t="s">
        <v>1284</v>
      </c>
      <c r="E143" t="s">
        <v>1069</v>
      </c>
      <c r="F143" t="s">
        <v>1094</v>
      </c>
      <c r="G143" t="s">
        <v>1069</v>
      </c>
      <c r="H143" t="s">
        <v>1494</v>
      </c>
      <c r="I143" t="s">
        <v>1069</v>
      </c>
    </row>
    <row r="144" spans="1:9">
      <c r="A144" t="s">
        <v>1495</v>
      </c>
      <c r="B144" t="s">
        <v>1259</v>
      </c>
      <c r="C144" t="s">
        <v>1069</v>
      </c>
      <c r="D144" t="s">
        <v>1143</v>
      </c>
      <c r="E144" t="s">
        <v>1069</v>
      </c>
      <c r="F144" t="s">
        <v>1122</v>
      </c>
      <c r="G144" t="s">
        <v>1069</v>
      </c>
      <c r="H144" t="s">
        <v>1496</v>
      </c>
      <c r="I144" t="s">
        <v>1069</v>
      </c>
    </row>
    <row r="145" spans="1:9">
      <c r="A145" t="s">
        <v>1497</v>
      </c>
      <c r="B145" t="s">
        <v>1270</v>
      </c>
      <c r="C145" t="s">
        <v>1069</v>
      </c>
      <c r="D145" t="s">
        <v>1129</v>
      </c>
      <c r="E145" t="s">
        <v>1069</v>
      </c>
      <c r="F145" t="s">
        <v>1071</v>
      </c>
      <c r="G145" t="s">
        <v>1069</v>
      </c>
      <c r="H145" t="s">
        <v>1484</v>
      </c>
      <c r="I145" t="s">
        <v>1069</v>
      </c>
    </row>
    <row r="146" spans="1:9">
      <c r="A146" t="s">
        <v>1498</v>
      </c>
      <c r="B146" t="s">
        <v>1125</v>
      </c>
      <c r="C146" t="s">
        <v>1069</v>
      </c>
      <c r="D146" t="s">
        <v>1084</v>
      </c>
      <c r="E146" t="s">
        <v>1069</v>
      </c>
      <c r="F146" t="s">
        <v>1285</v>
      </c>
      <c r="G146" t="s">
        <v>1069</v>
      </c>
      <c r="H146" t="s">
        <v>1499</v>
      </c>
      <c r="I146" t="s">
        <v>1069</v>
      </c>
    </row>
    <row r="147" spans="1:9">
      <c r="A147" t="s">
        <v>1500</v>
      </c>
      <c r="B147" t="s">
        <v>1121</v>
      </c>
      <c r="C147" t="s">
        <v>1069</v>
      </c>
      <c r="D147" t="s">
        <v>1084</v>
      </c>
      <c r="E147" t="s">
        <v>1069</v>
      </c>
      <c r="F147" t="s">
        <v>1166</v>
      </c>
      <c r="G147" t="s">
        <v>1069</v>
      </c>
      <c r="H147" t="s">
        <v>1501</v>
      </c>
      <c r="I147" t="s">
        <v>1502</v>
      </c>
    </row>
    <row r="148" spans="1:9">
      <c r="A148" t="s">
        <v>1503</v>
      </c>
      <c r="B148" t="s">
        <v>1107</v>
      </c>
      <c r="C148" t="s">
        <v>1069</v>
      </c>
      <c r="D148" t="s">
        <v>1504</v>
      </c>
      <c r="E148" t="s">
        <v>1069</v>
      </c>
      <c r="F148" t="s">
        <v>1180</v>
      </c>
      <c r="G148" t="s">
        <v>1069</v>
      </c>
      <c r="H148" t="s">
        <v>1505</v>
      </c>
      <c r="I148" t="s">
        <v>1069</v>
      </c>
    </row>
    <row r="149" spans="1:9">
      <c r="A149" t="s">
        <v>1506</v>
      </c>
      <c r="B149" t="s">
        <v>1129</v>
      </c>
      <c r="C149" t="s">
        <v>1069</v>
      </c>
      <c r="D149" t="s">
        <v>1162</v>
      </c>
      <c r="E149" t="s">
        <v>1069</v>
      </c>
      <c r="F149" t="s">
        <v>1323</v>
      </c>
      <c r="G149" t="s">
        <v>1069</v>
      </c>
      <c r="H149" t="s">
        <v>1507</v>
      </c>
      <c r="I149" t="s">
        <v>1069</v>
      </c>
    </row>
    <row r="150" spans="1:9">
      <c r="A150" t="s">
        <v>1508</v>
      </c>
      <c r="B150" t="s">
        <v>1084</v>
      </c>
      <c r="C150" t="s">
        <v>1069</v>
      </c>
      <c r="D150" t="s">
        <v>1167</v>
      </c>
      <c r="E150" t="s">
        <v>1069</v>
      </c>
      <c r="F150" t="s">
        <v>1395</v>
      </c>
      <c r="G150" t="s">
        <v>1069</v>
      </c>
      <c r="H150" t="s">
        <v>1509</v>
      </c>
      <c r="I150" t="s">
        <v>1069</v>
      </c>
    </row>
    <row r="151" spans="1:9">
      <c r="A151" t="s">
        <v>1510</v>
      </c>
      <c r="B151" t="s">
        <v>1140</v>
      </c>
      <c r="C151" t="s">
        <v>1069</v>
      </c>
      <c r="D151" t="s">
        <v>1207</v>
      </c>
      <c r="E151" t="s">
        <v>1069</v>
      </c>
      <c r="F151" t="s">
        <v>1511</v>
      </c>
      <c r="G151" t="s">
        <v>1069</v>
      </c>
      <c r="H151" t="s">
        <v>1512</v>
      </c>
      <c r="I151" t="s">
        <v>1069</v>
      </c>
    </row>
    <row r="152" spans="1:9">
      <c r="A152" t="s">
        <v>1513</v>
      </c>
      <c r="B152" t="s">
        <v>1090</v>
      </c>
      <c r="C152" t="s">
        <v>1069</v>
      </c>
      <c r="D152" t="s">
        <v>1207</v>
      </c>
      <c r="E152" t="s">
        <v>1069</v>
      </c>
      <c r="F152" t="s">
        <v>1514</v>
      </c>
      <c r="G152" t="s">
        <v>1069</v>
      </c>
      <c r="H152" t="s">
        <v>1271</v>
      </c>
      <c r="I152" t="s">
        <v>1069</v>
      </c>
    </row>
    <row r="153" spans="1:9">
      <c r="A153" t="s">
        <v>1515</v>
      </c>
      <c r="B153" t="s">
        <v>1144</v>
      </c>
      <c r="C153" t="s">
        <v>1069</v>
      </c>
      <c r="D153" t="s">
        <v>1195</v>
      </c>
      <c r="E153" t="s">
        <v>1069</v>
      </c>
      <c r="F153" t="s">
        <v>1204</v>
      </c>
      <c r="G153" t="s">
        <v>1069</v>
      </c>
      <c r="H153" t="s">
        <v>1516</v>
      </c>
      <c r="I153" t="s">
        <v>1069</v>
      </c>
    </row>
    <row r="154" spans="1:9">
      <c r="A154" t="s">
        <v>1517</v>
      </c>
      <c r="B154" t="s">
        <v>1276</v>
      </c>
      <c r="C154" t="s">
        <v>1069</v>
      </c>
      <c r="D154" t="s">
        <v>1518</v>
      </c>
      <c r="E154" t="s">
        <v>1069</v>
      </c>
      <c r="F154" t="s">
        <v>1357</v>
      </c>
      <c r="G154" t="s">
        <v>1069</v>
      </c>
      <c r="H154" t="s">
        <v>1519</v>
      </c>
      <c r="I154" t="s">
        <v>1069</v>
      </c>
    </row>
    <row r="155" spans="1:9">
      <c r="A155" t="s">
        <v>1520</v>
      </c>
      <c r="B155" t="s">
        <v>1080</v>
      </c>
      <c r="C155" t="s">
        <v>1069</v>
      </c>
      <c r="D155" t="s">
        <v>1414</v>
      </c>
      <c r="E155" t="s">
        <v>1069</v>
      </c>
      <c r="F155" t="s">
        <v>1521</v>
      </c>
      <c r="G155" t="s">
        <v>1069</v>
      </c>
      <c r="H155" t="s">
        <v>1522</v>
      </c>
      <c r="I155" t="s">
        <v>1069</v>
      </c>
    </row>
    <row r="156" spans="1:9">
      <c r="A156" t="s">
        <v>1523</v>
      </c>
      <c r="B156" t="s">
        <v>1320</v>
      </c>
      <c r="C156" t="s">
        <v>1069</v>
      </c>
      <c r="D156" t="s">
        <v>1224</v>
      </c>
      <c r="E156" t="s">
        <v>1069</v>
      </c>
      <c r="F156" t="s">
        <v>1524</v>
      </c>
      <c r="G156" t="s">
        <v>1069</v>
      </c>
      <c r="H156" t="s">
        <v>1525</v>
      </c>
      <c r="I156" t="s">
        <v>1069</v>
      </c>
    </row>
    <row r="157" spans="1:9">
      <c r="A157" t="s">
        <v>1526</v>
      </c>
      <c r="B157" t="s">
        <v>1080</v>
      </c>
      <c r="C157" t="s">
        <v>1069</v>
      </c>
      <c r="D157" t="s">
        <v>1527</v>
      </c>
      <c r="E157" t="s">
        <v>1069</v>
      </c>
      <c r="F157" t="s">
        <v>1528</v>
      </c>
      <c r="G157" t="s">
        <v>1069</v>
      </c>
      <c r="H157" t="s">
        <v>1529</v>
      </c>
      <c r="I157" t="s">
        <v>1069</v>
      </c>
    </row>
    <row r="158" spans="1:9">
      <c r="A158" t="s">
        <v>1530</v>
      </c>
      <c r="B158" t="s">
        <v>1266</v>
      </c>
      <c r="C158" t="s">
        <v>1069</v>
      </c>
      <c r="D158" t="s">
        <v>1196</v>
      </c>
      <c r="E158" t="s">
        <v>1069</v>
      </c>
      <c r="F158" t="s">
        <v>1531</v>
      </c>
      <c r="G158" t="s">
        <v>1069</v>
      </c>
      <c r="H158" t="s">
        <v>1532</v>
      </c>
      <c r="I158" t="s">
        <v>1069</v>
      </c>
    </row>
    <row r="159" spans="1:9">
      <c r="A159" t="s">
        <v>1533</v>
      </c>
      <c r="B159" t="s">
        <v>1534</v>
      </c>
      <c r="C159" t="s">
        <v>1069</v>
      </c>
      <c r="D159" t="s">
        <v>1535</v>
      </c>
      <c r="E159" t="s">
        <v>1069</v>
      </c>
      <c r="F159" t="s">
        <v>1536</v>
      </c>
      <c r="G159" t="s">
        <v>1069</v>
      </c>
      <c r="H159" t="s">
        <v>1537</v>
      </c>
      <c r="I159" t="s">
        <v>1069</v>
      </c>
    </row>
    <row r="160" spans="1:9">
      <c r="A160" t="s">
        <v>1538</v>
      </c>
      <c r="B160" t="s">
        <v>1279</v>
      </c>
      <c r="C160" t="s">
        <v>1069</v>
      </c>
      <c r="D160" t="s">
        <v>1404</v>
      </c>
      <c r="E160" t="s">
        <v>1069</v>
      </c>
      <c r="F160" t="s">
        <v>1539</v>
      </c>
      <c r="G160" t="s">
        <v>1069</v>
      </c>
      <c r="H160" t="s">
        <v>1540</v>
      </c>
      <c r="I160" t="s">
        <v>1069</v>
      </c>
    </row>
    <row r="161" spans="1:9">
      <c r="A161" t="s">
        <v>1541</v>
      </c>
      <c r="B161" t="s">
        <v>1162</v>
      </c>
      <c r="C161" t="s">
        <v>1069</v>
      </c>
      <c r="D161" t="s">
        <v>1400</v>
      </c>
      <c r="E161" t="s">
        <v>1069</v>
      </c>
      <c r="F161" t="s">
        <v>1542</v>
      </c>
      <c r="G161" t="s">
        <v>1069</v>
      </c>
      <c r="H161" t="s">
        <v>1543</v>
      </c>
      <c r="I161" t="s">
        <v>1069</v>
      </c>
    </row>
    <row r="162" spans="1:9">
      <c r="A162" t="s">
        <v>1544</v>
      </c>
      <c r="B162" t="s">
        <v>1099</v>
      </c>
      <c r="C162" t="s">
        <v>1069</v>
      </c>
      <c r="D162" t="s">
        <v>1411</v>
      </c>
      <c r="E162" t="s">
        <v>1069</v>
      </c>
      <c r="F162" t="s">
        <v>1545</v>
      </c>
      <c r="G162" t="s">
        <v>1069</v>
      </c>
      <c r="H162" t="s">
        <v>1546</v>
      </c>
      <c r="I162" t="s">
        <v>1069</v>
      </c>
    </row>
    <row r="163" spans="1:9">
      <c r="A163" t="s">
        <v>1547</v>
      </c>
      <c r="B163" t="s">
        <v>1159</v>
      </c>
      <c r="C163" t="s">
        <v>1069</v>
      </c>
      <c r="D163" t="s">
        <v>1548</v>
      </c>
      <c r="E163" t="s">
        <v>1069</v>
      </c>
      <c r="F163" t="s">
        <v>1388</v>
      </c>
      <c r="G163" t="s">
        <v>1069</v>
      </c>
      <c r="H163" t="s">
        <v>1549</v>
      </c>
      <c r="I163" t="s">
        <v>1069</v>
      </c>
    </row>
    <row r="164" spans="1:9">
      <c r="A164" t="s">
        <v>1550</v>
      </c>
      <c r="B164" t="s">
        <v>1242</v>
      </c>
      <c r="C164" t="s">
        <v>1069</v>
      </c>
      <c r="D164" t="s">
        <v>1551</v>
      </c>
      <c r="E164" t="s">
        <v>1069</v>
      </c>
      <c r="F164" t="s">
        <v>1552</v>
      </c>
      <c r="G164" t="s">
        <v>1069</v>
      </c>
      <c r="H164" t="s">
        <v>1553</v>
      </c>
      <c r="I164" t="s">
        <v>1069</v>
      </c>
    </row>
    <row r="165" spans="1:9">
      <c r="A165" t="s">
        <v>1554</v>
      </c>
      <c r="B165" t="s">
        <v>1266</v>
      </c>
      <c r="C165" t="s">
        <v>1069</v>
      </c>
      <c r="D165" t="s">
        <v>1203</v>
      </c>
      <c r="E165" t="s">
        <v>1069</v>
      </c>
      <c r="F165" t="s">
        <v>1555</v>
      </c>
      <c r="G165" t="s">
        <v>1069</v>
      </c>
      <c r="H165" t="s">
        <v>1556</v>
      </c>
      <c r="I165" t="s">
        <v>1069</v>
      </c>
    </row>
    <row r="166" spans="1:9">
      <c r="A166" t="s">
        <v>1557</v>
      </c>
      <c r="B166" t="s">
        <v>1266</v>
      </c>
      <c r="C166" t="s">
        <v>1069</v>
      </c>
      <c r="D166" t="s">
        <v>1323</v>
      </c>
      <c r="E166" t="s">
        <v>1069</v>
      </c>
      <c r="F166" t="s">
        <v>1558</v>
      </c>
      <c r="G166" t="s">
        <v>1069</v>
      </c>
      <c r="H166" t="s">
        <v>1559</v>
      </c>
      <c r="I166" t="s">
        <v>1069</v>
      </c>
    </row>
    <row r="167" spans="1:9">
      <c r="A167" t="s">
        <v>1560</v>
      </c>
      <c r="B167" t="s">
        <v>1110</v>
      </c>
      <c r="C167" t="s">
        <v>1069</v>
      </c>
      <c r="D167" t="s">
        <v>1224</v>
      </c>
      <c r="E167" t="s">
        <v>1069</v>
      </c>
      <c r="F167" t="s">
        <v>1392</v>
      </c>
      <c r="G167" t="s">
        <v>1069</v>
      </c>
      <c r="H167" t="s">
        <v>1561</v>
      </c>
      <c r="I167" t="s">
        <v>1069</v>
      </c>
    </row>
    <row r="168" spans="1:9">
      <c r="A168" t="s">
        <v>1562</v>
      </c>
      <c r="B168" t="s">
        <v>1122</v>
      </c>
      <c r="C168" t="s">
        <v>1069</v>
      </c>
      <c r="D168" t="s">
        <v>1403</v>
      </c>
      <c r="E168" t="s">
        <v>1069</v>
      </c>
      <c r="F168" t="s">
        <v>1388</v>
      </c>
      <c r="G168" t="s">
        <v>1069</v>
      </c>
      <c r="H168" t="s">
        <v>1563</v>
      </c>
      <c r="I168" t="s">
        <v>1069</v>
      </c>
    </row>
    <row r="169" spans="1:9">
      <c r="A169" t="s">
        <v>1564</v>
      </c>
      <c r="B169" t="s">
        <v>1266</v>
      </c>
      <c r="C169" t="s">
        <v>1069</v>
      </c>
      <c r="D169" t="s">
        <v>1196</v>
      </c>
      <c r="E169" t="s">
        <v>1069</v>
      </c>
      <c r="F169" t="s">
        <v>1362</v>
      </c>
      <c r="G169" t="s">
        <v>1069</v>
      </c>
      <c r="H169" t="s">
        <v>1565</v>
      </c>
      <c r="I169" t="s">
        <v>1069</v>
      </c>
    </row>
    <row r="170" spans="1:9">
      <c r="A170" t="s">
        <v>1566</v>
      </c>
      <c r="B170" t="s">
        <v>1110</v>
      </c>
      <c r="C170" t="s">
        <v>1069</v>
      </c>
      <c r="D170" t="s">
        <v>1235</v>
      </c>
      <c r="E170" t="s">
        <v>1069</v>
      </c>
      <c r="F170" t="s">
        <v>1397</v>
      </c>
      <c r="G170" t="s">
        <v>1069</v>
      </c>
      <c r="H170" t="s">
        <v>1567</v>
      </c>
      <c r="I170" t="s">
        <v>1069</v>
      </c>
    </row>
    <row r="171" spans="1:9">
      <c r="A171" t="s">
        <v>1568</v>
      </c>
      <c r="B171" t="s">
        <v>1104</v>
      </c>
      <c r="C171" t="s">
        <v>1069</v>
      </c>
      <c r="D171" t="s">
        <v>1224</v>
      </c>
      <c r="E171" t="s">
        <v>1069</v>
      </c>
      <c r="F171" t="s">
        <v>1542</v>
      </c>
      <c r="G171" t="s">
        <v>1069</v>
      </c>
      <c r="H171" t="s">
        <v>1569</v>
      </c>
      <c r="I171" t="s">
        <v>1069</v>
      </c>
    </row>
    <row r="172" spans="1:9">
      <c r="A172" t="s">
        <v>1570</v>
      </c>
      <c r="B172" t="s">
        <v>1122</v>
      </c>
      <c r="C172" t="s">
        <v>1069</v>
      </c>
      <c r="D172" t="s">
        <v>1527</v>
      </c>
      <c r="E172" t="s">
        <v>1069</v>
      </c>
      <c r="F172" t="s">
        <v>1555</v>
      </c>
      <c r="G172" t="s">
        <v>1069</v>
      </c>
      <c r="H172" t="s">
        <v>1571</v>
      </c>
      <c r="I172" t="s">
        <v>1069</v>
      </c>
    </row>
    <row r="173" spans="1:9">
      <c r="A173" t="s">
        <v>1572</v>
      </c>
      <c r="B173" t="s">
        <v>1504</v>
      </c>
      <c r="C173" t="s">
        <v>1069</v>
      </c>
      <c r="D173" t="s">
        <v>1573</v>
      </c>
      <c r="E173" t="s">
        <v>1069</v>
      </c>
      <c r="F173" t="s">
        <v>1574</v>
      </c>
      <c r="G173" t="s">
        <v>1069</v>
      </c>
      <c r="H173" t="s">
        <v>1575</v>
      </c>
      <c r="I173" t="s">
        <v>1069</v>
      </c>
    </row>
    <row r="174" spans="1:9">
      <c r="A174" t="s">
        <v>1576</v>
      </c>
      <c r="B174" t="s">
        <v>1090</v>
      </c>
      <c r="C174" t="s">
        <v>1069</v>
      </c>
      <c r="D174" t="s">
        <v>1191</v>
      </c>
      <c r="E174" t="s">
        <v>1069</v>
      </c>
      <c r="F174" t="s">
        <v>1356</v>
      </c>
      <c r="G174" t="s">
        <v>1069</v>
      </c>
      <c r="H174" t="s">
        <v>1577</v>
      </c>
      <c r="I174" t="s">
        <v>1069</v>
      </c>
    </row>
    <row r="175" spans="1:9">
      <c r="A175" t="s">
        <v>1578</v>
      </c>
      <c r="B175" t="s">
        <v>1140</v>
      </c>
      <c r="C175" t="s">
        <v>1069</v>
      </c>
      <c r="D175" t="s">
        <v>1579</v>
      </c>
      <c r="E175" t="s">
        <v>1069</v>
      </c>
      <c r="F175" t="s">
        <v>1580</v>
      </c>
      <c r="G175" t="s">
        <v>1069</v>
      </c>
      <c r="H175" t="s">
        <v>1581</v>
      </c>
      <c r="I175" t="s">
        <v>1069</v>
      </c>
    </row>
    <row r="176" spans="1:9">
      <c r="A176" t="s">
        <v>1582</v>
      </c>
      <c r="B176" t="s">
        <v>1085</v>
      </c>
      <c r="C176" t="s">
        <v>1069</v>
      </c>
      <c r="D176" t="s">
        <v>1191</v>
      </c>
      <c r="E176" t="s">
        <v>1069</v>
      </c>
      <c r="F176" t="s">
        <v>1583</v>
      </c>
      <c r="G176" t="s">
        <v>1069</v>
      </c>
      <c r="H176" t="s">
        <v>1584</v>
      </c>
      <c r="I176" t="s">
        <v>1069</v>
      </c>
    </row>
    <row r="177" spans="1:9">
      <c r="A177" t="s">
        <v>1585</v>
      </c>
      <c r="B177" t="s">
        <v>1276</v>
      </c>
      <c r="C177" t="s">
        <v>1069</v>
      </c>
      <c r="D177" t="s">
        <v>1328</v>
      </c>
      <c r="E177" t="s">
        <v>1069</v>
      </c>
      <c r="F177" t="s">
        <v>1586</v>
      </c>
      <c r="G177" t="s">
        <v>1069</v>
      </c>
      <c r="H177" t="s">
        <v>1587</v>
      </c>
      <c r="I177" t="s">
        <v>1069</v>
      </c>
    </row>
    <row r="178" spans="1:9">
      <c r="A178" t="s">
        <v>1588</v>
      </c>
      <c r="B178" t="s">
        <v>1103</v>
      </c>
      <c r="C178" t="s">
        <v>1069</v>
      </c>
      <c r="D178" t="s">
        <v>1076</v>
      </c>
      <c r="E178" t="s">
        <v>1069</v>
      </c>
      <c r="F178" t="s">
        <v>1199</v>
      </c>
      <c r="G178" t="s">
        <v>1069</v>
      </c>
      <c r="H178" t="s">
        <v>1589</v>
      </c>
      <c r="I178" t="s">
        <v>1069</v>
      </c>
    </row>
    <row r="179" spans="1:9">
      <c r="A179" t="s">
        <v>1590</v>
      </c>
      <c r="B179" t="s">
        <v>1113</v>
      </c>
      <c r="C179" t="s">
        <v>1069</v>
      </c>
      <c r="D179" t="s">
        <v>1159</v>
      </c>
      <c r="E179" t="s">
        <v>1069</v>
      </c>
      <c r="F179" t="s">
        <v>1518</v>
      </c>
      <c r="G179" t="s">
        <v>1069</v>
      </c>
      <c r="H179" t="s">
        <v>1591</v>
      </c>
      <c r="I179" t="s">
        <v>1069</v>
      </c>
    </row>
    <row r="180" spans="1:9">
      <c r="A180" t="s">
        <v>1592</v>
      </c>
      <c r="B180" t="s">
        <v>1093</v>
      </c>
      <c r="C180" t="s">
        <v>1069</v>
      </c>
      <c r="D180" t="s">
        <v>1159</v>
      </c>
      <c r="E180" t="s">
        <v>1069</v>
      </c>
      <c r="F180" t="s">
        <v>1172</v>
      </c>
      <c r="G180" t="s">
        <v>1069</v>
      </c>
      <c r="H180" t="s">
        <v>1593</v>
      </c>
      <c r="I180" t="s">
        <v>1069</v>
      </c>
    </row>
    <row r="181" spans="1:9">
      <c r="A181" t="s">
        <v>1594</v>
      </c>
      <c r="B181" t="s">
        <v>1068</v>
      </c>
      <c r="C181" t="s">
        <v>1069</v>
      </c>
      <c r="D181" t="s">
        <v>1595</v>
      </c>
      <c r="E181" t="s">
        <v>1069</v>
      </c>
      <c r="F181" t="s">
        <v>1203</v>
      </c>
      <c r="G181" t="s">
        <v>1069</v>
      </c>
      <c r="H181" t="s">
        <v>1596</v>
      </c>
      <c r="I181" t="s">
        <v>1069</v>
      </c>
    </row>
    <row r="182" spans="1:9">
      <c r="A182" t="s">
        <v>1597</v>
      </c>
      <c r="B182" t="s">
        <v>1310</v>
      </c>
      <c r="C182" t="s">
        <v>1069</v>
      </c>
      <c r="D182" t="s">
        <v>1285</v>
      </c>
      <c r="E182" t="s">
        <v>1069</v>
      </c>
      <c r="F182" t="s">
        <v>1548</v>
      </c>
      <c r="G182" t="s">
        <v>1069</v>
      </c>
      <c r="H182" t="s">
        <v>1598</v>
      </c>
      <c r="I182" t="s">
        <v>1069</v>
      </c>
    </row>
    <row r="183" spans="1:9">
      <c r="A183" t="s">
        <v>1599</v>
      </c>
      <c r="B183" t="s">
        <v>1089</v>
      </c>
      <c r="C183" t="s">
        <v>1069</v>
      </c>
      <c r="D183" t="s">
        <v>1179</v>
      </c>
      <c r="E183" t="s">
        <v>1069</v>
      </c>
      <c r="F183" t="s">
        <v>1600</v>
      </c>
      <c r="G183" t="s">
        <v>1069</v>
      </c>
      <c r="H183" t="s">
        <v>1601</v>
      </c>
      <c r="I183" t="s">
        <v>1069</v>
      </c>
    </row>
    <row r="184" spans="1:9">
      <c r="A184" t="s">
        <v>1602</v>
      </c>
      <c r="B184" t="s">
        <v>1074</v>
      </c>
      <c r="C184" t="s">
        <v>1069</v>
      </c>
      <c r="D184" t="s">
        <v>1261</v>
      </c>
      <c r="E184" t="s">
        <v>1069</v>
      </c>
      <c r="F184" t="s">
        <v>1603</v>
      </c>
      <c r="G184" t="s">
        <v>1069</v>
      </c>
      <c r="H184" t="s">
        <v>1604</v>
      </c>
      <c r="I184" t="s">
        <v>1069</v>
      </c>
    </row>
    <row r="185" spans="1:9">
      <c r="A185" t="s">
        <v>1605</v>
      </c>
      <c r="B185" t="s">
        <v>1310</v>
      </c>
      <c r="C185" t="s">
        <v>1069</v>
      </c>
      <c r="D185" t="s">
        <v>1076</v>
      </c>
      <c r="E185" t="s">
        <v>1069</v>
      </c>
      <c r="F185" t="s">
        <v>1606</v>
      </c>
      <c r="G185" t="s">
        <v>1069</v>
      </c>
      <c r="H185" t="s">
        <v>1507</v>
      </c>
      <c r="I185" t="s">
        <v>1069</v>
      </c>
    </row>
    <row r="186" spans="1:9">
      <c r="A186" t="s">
        <v>1607</v>
      </c>
      <c r="B186" t="s">
        <v>1129</v>
      </c>
      <c r="C186" t="s">
        <v>1069</v>
      </c>
      <c r="D186" t="s">
        <v>1534</v>
      </c>
      <c r="E186" t="s">
        <v>1069</v>
      </c>
      <c r="F186" t="s">
        <v>1204</v>
      </c>
      <c r="G186" t="s">
        <v>1069</v>
      </c>
      <c r="H186" t="s">
        <v>1494</v>
      </c>
      <c r="I186" t="s">
        <v>1069</v>
      </c>
    </row>
    <row r="187" spans="1:9">
      <c r="A187" t="s">
        <v>1608</v>
      </c>
      <c r="B187" t="s">
        <v>1113</v>
      </c>
      <c r="C187" t="s">
        <v>1069</v>
      </c>
      <c r="D187" t="s">
        <v>1242</v>
      </c>
      <c r="E187" t="s">
        <v>1069</v>
      </c>
      <c r="F187" t="s">
        <v>1403</v>
      </c>
      <c r="G187" t="s">
        <v>1069</v>
      </c>
      <c r="H187" t="s">
        <v>1609</v>
      </c>
      <c r="I187" t="s">
        <v>1069</v>
      </c>
    </row>
    <row r="188" spans="1:9">
      <c r="A188" t="s">
        <v>1610</v>
      </c>
      <c r="B188" t="s">
        <v>1113</v>
      </c>
      <c r="C188" t="s">
        <v>1069</v>
      </c>
      <c r="D188" t="s">
        <v>1104</v>
      </c>
      <c r="E188" t="s">
        <v>1069</v>
      </c>
      <c r="F188" t="s">
        <v>1216</v>
      </c>
      <c r="G188" t="s">
        <v>1069</v>
      </c>
      <c r="H188" t="s">
        <v>1611</v>
      </c>
      <c r="I188" t="s">
        <v>1069</v>
      </c>
    </row>
    <row r="189" spans="1:9">
      <c r="A189" t="s">
        <v>1612</v>
      </c>
      <c r="B189" t="s">
        <v>1089</v>
      </c>
      <c r="C189" t="s">
        <v>1069</v>
      </c>
      <c r="D189" t="s">
        <v>1234</v>
      </c>
      <c r="E189" t="s">
        <v>1069</v>
      </c>
      <c r="F189" t="s">
        <v>1187</v>
      </c>
      <c r="G189" t="s">
        <v>1069</v>
      </c>
      <c r="H189" t="s">
        <v>1613</v>
      </c>
      <c r="I189" t="s">
        <v>1069</v>
      </c>
    </row>
    <row r="190" spans="1:9">
      <c r="A190" t="s">
        <v>1614</v>
      </c>
      <c r="B190" t="s">
        <v>1079</v>
      </c>
      <c r="C190" t="s">
        <v>1069</v>
      </c>
      <c r="D190" t="s">
        <v>1534</v>
      </c>
      <c r="E190" t="s">
        <v>1069</v>
      </c>
      <c r="F190" t="s">
        <v>1586</v>
      </c>
      <c r="G190" t="s">
        <v>1069</v>
      </c>
      <c r="H190" t="s">
        <v>1615</v>
      </c>
      <c r="I190" t="s">
        <v>1069</v>
      </c>
    </row>
    <row r="191" spans="1:9">
      <c r="A191" t="s">
        <v>1616</v>
      </c>
      <c r="B191" t="s">
        <v>1068</v>
      </c>
      <c r="C191" t="s">
        <v>1069</v>
      </c>
      <c r="D191" t="s">
        <v>1427</v>
      </c>
      <c r="E191" t="s">
        <v>1069</v>
      </c>
      <c r="F191" t="s">
        <v>1181</v>
      </c>
      <c r="G191" t="s">
        <v>1069</v>
      </c>
      <c r="H191" t="s">
        <v>1617</v>
      </c>
      <c r="I191" t="s">
        <v>1069</v>
      </c>
    </row>
    <row r="192" spans="1:9">
      <c r="A192" t="s">
        <v>1618</v>
      </c>
      <c r="B192" t="s">
        <v>1084</v>
      </c>
      <c r="C192" t="s">
        <v>1069</v>
      </c>
      <c r="D192" t="s">
        <v>1534</v>
      </c>
      <c r="E192" t="s">
        <v>1069</v>
      </c>
      <c r="F192" t="s">
        <v>1212</v>
      </c>
      <c r="G192" t="s">
        <v>1069</v>
      </c>
      <c r="H192" t="s">
        <v>1619</v>
      </c>
      <c r="I192" t="s">
        <v>1069</v>
      </c>
    </row>
    <row r="193" spans="1:9">
      <c r="A193" t="s">
        <v>1620</v>
      </c>
      <c r="B193" t="s">
        <v>1103</v>
      </c>
      <c r="C193" t="s">
        <v>1069</v>
      </c>
      <c r="D193" t="s">
        <v>1162</v>
      </c>
      <c r="E193" t="s">
        <v>1069</v>
      </c>
      <c r="F193" t="s">
        <v>1256</v>
      </c>
      <c r="G193" t="s">
        <v>1069</v>
      </c>
      <c r="H193" t="s">
        <v>1621</v>
      </c>
      <c r="I193" t="s">
        <v>1069</v>
      </c>
    </row>
    <row r="194" spans="1:9">
      <c r="A194" t="s">
        <v>1622</v>
      </c>
      <c r="B194" t="s">
        <v>1079</v>
      </c>
      <c r="C194" t="s">
        <v>1069</v>
      </c>
      <c r="D194" t="s">
        <v>1242</v>
      </c>
      <c r="E194" t="s">
        <v>1069</v>
      </c>
      <c r="F194" t="s">
        <v>1171</v>
      </c>
      <c r="G194" t="s">
        <v>1069</v>
      </c>
      <c r="H194" t="s">
        <v>1297</v>
      </c>
      <c r="I194" t="s">
        <v>1069</v>
      </c>
    </row>
    <row r="195" spans="1:9">
      <c r="A195" t="s">
        <v>1623</v>
      </c>
      <c r="B195" t="s">
        <v>1113</v>
      </c>
      <c r="C195" t="s">
        <v>1069</v>
      </c>
      <c r="D195" t="s">
        <v>1075</v>
      </c>
      <c r="E195" t="s">
        <v>1069</v>
      </c>
      <c r="F195" t="s">
        <v>1518</v>
      </c>
      <c r="G195" t="s">
        <v>1069</v>
      </c>
      <c r="H195" t="s">
        <v>1624</v>
      </c>
      <c r="I195" t="s">
        <v>1069</v>
      </c>
    </row>
    <row r="196" spans="1:9">
      <c r="A196" t="s">
        <v>1625</v>
      </c>
      <c r="B196" t="s">
        <v>1310</v>
      </c>
      <c r="C196" t="s">
        <v>1069</v>
      </c>
      <c r="D196" t="s">
        <v>1266</v>
      </c>
      <c r="E196" t="s">
        <v>1069</v>
      </c>
      <c r="F196" t="s">
        <v>1579</v>
      </c>
      <c r="G196" t="s">
        <v>1069</v>
      </c>
      <c r="H196" t="s">
        <v>1626</v>
      </c>
      <c r="I196" t="s">
        <v>1069</v>
      </c>
    </row>
    <row r="197" spans="1:9">
      <c r="A197" t="s">
        <v>1627</v>
      </c>
      <c r="B197" t="s">
        <v>1074</v>
      </c>
      <c r="C197" t="s">
        <v>1069</v>
      </c>
      <c r="D197" t="s">
        <v>1427</v>
      </c>
      <c r="E197" t="s">
        <v>1069</v>
      </c>
      <c r="F197" t="s">
        <v>1203</v>
      </c>
      <c r="G197" t="s">
        <v>1069</v>
      </c>
      <c r="H197" t="s">
        <v>1628</v>
      </c>
      <c r="I197" t="s">
        <v>1069</v>
      </c>
    </row>
    <row r="198" spans="1:9">
      <c r="A198" t="s">
        <v>1629</v>
      </c>
      <c r="B198" t="s">
        <v>1089</v>
      </c>
      <c r="C198" t="s">
        <v>1069</v>
      </c>
      <c r="D198" t="s">
        <v>1162</v>
      </c>
      <c r="E198" t="s">
        <v>1069</v>
      </c>
      <c r="F198" t="s">
        <v>1208</v>
      </c>
      <c r="G198" t="s">
        <v>1069</v>
      </c>
      <c r="H198" t="s">
        <v>1630</v>
      </c>
      <c r="I198" t="s">
        <v>1069</v>
      </c>
    </row>
    <row r="199" spans="1:9">
      <c r="A199" t="s">
        <v>1631</v>
      </c>
      <c r="B199" t="s">
        <v>1089</v>
      </c>
      <c r="C199" t="s">
        <v>1069</v>
      </c>
      <c r="D199" t="s">
        <v>1234</v>
      </c>
      <c r="E199" t="s">
        <v>1069</v>
      </c>
      <c r="F199" t="s">
        <v>1212</v>
      </c>
      <c r="G199" t="s">
        <v>1069</v>
      </c>
      <c r="H199" t="s">
        <v>1632</v>
      </c>
      <c r="I199" t="s">
        <v>1069</v>
      </c>
    </row>
    <row r="200" spans="1:9">
      <c r="A200" t="s">
        <v>1633</v>
      </c>
      <c r="B200" t="s">
        <v>1139</v>
      </c>
      <c r="C200" t="s">
        <v>1069</v>
      </c>
      <c r="D200" t="s">
        <v>1122</v>
      </c>
      <c r="E200" t="s">
        <v>1069</v>
      </c>
      <c r="F200" t="s">
        <v>1195</v>
      </c>
      <c r="G200" t="s">
        <v>1069</v>
      </c>
      <c r="H200" t="s">
        <v>1634</v>
      </c>
      <c r="I200" t="s">
        <v>1069</v>
      </c>
    </row>
    <row r="201" spans="1:9">
      <c r="A201" t="s">
        <v>1635</v>
      </c>
      <c r="B201" t="s">
        <v>1125</v>
      </c>
      <c r="C201" t="s">
        <v>1069</v>
      </c>
      <c r="D201" t="s">
        <v>1113</v>
      </c>
      <c r="E201" t="s">
        <v>1069</v>
      </c>
      <c r="F201" t="s">
        <v>1276</v>
      </c>
      <c r="G201" t="s">
        <v>1069</v>
      </c>
      <c r="H201" t="s">
        <v>1636</v>
      </c>
      <c r="I201" t="s">
        <v>1069</v>
      </c>
    </row>
    <row r="202" spans="1:9">
      <c r="A202" t="s">
        <v>1637</v>
      </c>
      <c r="B202" t="s">
        <v>1293</v>
      </c>
      <c r="C202" t="s">
        <v>1069</v>
      </c>
      <c r="D202" t="s">
        <v>1265</v>
      </c>
      <c r="E202" t="s">
        <v>1069</v>
      </c>
      <c r="F202" t="s">
        <v>1113</v>
      </c>
      <c r="G202" t="s">
        <v>1069</v>
      </c>
      <c r="H202" t="s">
        <v>1638</v>
      </c>
      <c r="I202" t="s">
        <v>1069</v>
      </c>
    </row>
    <row r="203" spans="1:9">
      <c r="A203" t="s">
        <v>1639</v>
      </c>
      <c r="B203" t="s">
        <v>1488</v>
      </c>
      <c r="C203" t="s">
        <v>1069</v>
      </c>
      <c r="D203" t="s">
        <v>1149</v>
      </c>
      <c r="E203" t="s">
        <v>1069</v>
      </c>
      <c r="F203" t="s">
        <v>1093</v>
      </c>
      <c r="G203" t="s">
        <v>1069</v>
      </c>
      <c r="H203" t="s">
        <v>1640</v>
      </c>
      <c r="I203" t="s">
        <v>1069</v>
      </c>
    </row>
    <row r="204" spans="1:9">
      <c r="A204" t="s">
        <v>1641</v>
      </c>
      <c r="B204" t="s">
        <v>1488</v>
      </c>
      <c r="C204" t="s">
        <v>1069</v>
      </c>
      <c r="D204" t="s">
        <v>1149</v>
      </c>
      <c r="E204" t="s">
        <v>1069</v>
      </c>
      <c r="F204" t="s">
        <v>1143</v>
      </c>
      <c r="G204" t="s">
        <v>1069</v>
      </c>
      <c r="H204" t="s">
        <v>1642</v>
      </c>
      <c r="I204" t="s">
        <v>1069</v>
      </c>
    </row>
    <row r="205" spans="1:9">
      <c r="A205" t="s">
        <v>1643</v>
      </c>
      <c r="B205" t="s">
        <v>1149</v>
      </c>
      <c r="C205" t="s">
        <v>1069</v>
      </c>
      <c r="D205" t="s">
        <v>1121</v>
      </c>
      <c r="E205" t="s">
        <v>1069</v>
      </c>
      <c r="F205" t="s">
        <v>1113</v>
      </c>
      <c r="G205" t="s">
        <v>1069</v>
      </c>
      <c r="H205" t="s">
        <v>1443</v>
      </c>
      <c r="I205" t="s">
        <v>1069</v>
      </c>
    </row>
    <row r="206" spans="1:9">
      <c r="A206" t="s">
        <v>1644</v>
      </c>
      <c r="B206" t="s">
        <v>1102</v>
      </c>
      <c r="C206" t="s">
        <v>1069</v>
      </c>
      <c r="D206" t="s">
        <v>1129</v>
      </c>
      <c r="E206" t="s">
        <v>1069</v>
      </c>
      <c r="F206" t="s">
        <v>1144</v>
      </c>
      <c r="G206" t="s">
        <v>1069</v>
      </c>
      <c r="H206" t="s">
        <v>1645</v>
      </c>
      <c r="I206" t="s">
        <v>1069</v>
      </c>
    </row>
    <row r="207" spans="1:9">
      <c r="A207" t="s">
        <v>1646</v>
      </c>
      <c r="B207" t="s">
        <v>1125</v>
      </c>
      <c r="C207" t="s">
        <v>1069</v>
      </c>
      <c r="D207" t="s">
        <v>1260</v>
      </c>
      <c r="E207" t="s">
        <v>1069</v>
      </c>
      <c r="F207" t="s">
        <v>1094</v>
      </c>
      <c r="G207" t="s">
        <v>1069</v>
      </c>
      <c r="H207" t="s">
        <v>1647</v>
      </c>
      <c r="I207" t="s">
        <v>1069</v>
      </c>
    </row>
    <row r="208" spans="1:9">
      <c r="A208" t="s">
        <v>1648</v>
      </c>
      <c r="B208" t="s">
        <v>1649</v>
      </c>
      <c r="C208" t="s">
        <v>1069</v>
      </c>
      <c r="D208" t="s">
        <v>1483</v>
      </c>
      <c r="E208" t="s">
        <v>1069</v>
      </c>
      <c r="F208" t="s">
        <v>1293</v>
      </c>
      <c r="G208" t="s">
        <v>1069</v>
      </c>
      <c r="H208" t="s">
        <v>1650</v>
      </c>
      <c r="I208" t="s">
        <v>1069</v>
      </c>
    </row>
    <row r="209" spans="1:9">
      <c r="A209" t="s">
        <v>1651</v>
      </c>
      <c r="B209" t="s">
        <v>1652</v>
      </c>
      <c r="C209" t="s">
        <v>1069</v>
      </c>
      <c r="D209" t="s">
        <v>1649</v>
      </c>
      <c r="E209" t="s">
        <v>1069</v>
      </c>
      <c r="F209" t="s">
        <v>1288</v>
      </c>
      <c r="G209" t="s">
        <v>1069</v>
      </c>
      <c r="H209" t="s">
        <v>1653</v>
      </c>
      <c r="I209" t="s">
        <v>1069</v>
      </c>
    </row>
    <row r="210" spans="1:9">
      <c r="A210" t="s">
        <v>1654</v>
      </c>
      <c r="B210" t="s">
        <v>1655</v>
      </c>
      <c r="C210" t="s">
        <v>1069</v>
      </c>
      <c r="D210" t="s">
        <v>1656</v>
      </c>
      <c r="E210" t="s">
        <v>1069</v>
      </c>
      <c r="F210" t="s">
        <v>1152</v>
      </c>
      <c r="G210" t="s">
        <v>1069</v>
      </c>
      <c r="H210" t="s">
        <v>1657</v>
      </c>
      <c r="I210" t="s">
        <v>1069</v>
      </c>
    </row>
    <row r="211" spans="1:9">
      <c r="A211" t="s">
        <v>1658</v>
      </c>
      <c r="B211" t="s">
        <v>1655</v>
      </c>
      <c r="C211" t="s">
        <v>1069</v>
      </c>
      <c r="D211" t="s">
        <v>1656</v>
      </c>
      <c r="E211" t="s">
        <v>1069</v>
      </c>
      <c r="F211" t="s">
        <v>1488</v>
      </c>
      <c r="G211" t="s">
        <v>1069</v>
      </c>
      <c r="H211" t="s">
        <v>1659</v>
      </c>
      <c r="I211" t="s">
        <v>1069</v>
      </c>
    </row>
    <row r="212" spans="1:9">
      <c r="A212" t="s">
        <v>1660</v>
      </c>
      <c r="B212" t="s">
        <v>1661</v>
      </c>
      <c r="C212" t="s">
        <v>1069</v>
      </c>
      <c r="D212" t="s">
        <v>1652</v>
      </c>
      <c r="E212" t="s">
        <v>1069</v>
      </c>
      <c r="F212" t="s">
        <v>1275</v>
      </c>
      <c r="G212" t="s">
        <v>1069</v>
      </c>
      <c r="H212" t="s">
        <v>1577</v>
      </c>
      <c r="I212" t="s">
        <v>1069</v>
      </c>
    </row>
    <row r="213" spans="1:9">
      <c r="A213" t="s">
        <v>1662</v>
      </c>
      <c r="B213" t="s">
        <v>1663</v>
      </c>
      <c r="C213" t="s">
        <v>1069</v>
      </c>
      <c r="D213" t="s">
        <v>1655</v>
      </c>
      <c r="E213" t="s">
        <v>1069</v>
      </c>
      <c r="F213" t="s">
        <v>1475</v>
      </c>
      <c r="G213" t="s">
        <v>1069</v>
      </c>
      <c r="H213" t="s">
        <v>1664</v>
      </c>
      <c r="I213" t="s">
        <v>1069</v>
      </c>
    </row>
    <row r="214" spans="1:9">
      <c r="A214" t="s">
        <v>1665</v>
      </c>
      <c r="B214" t="s">
        <v>1663</v>
      </c>
      <c r="C214" t="s">
        <v>1069</v>
      </c>
      <c r="D214" t="s">
        <v>1655</v>
      </c>
      <c r="E214" t="s">
        <v>1069</v>
      </c>
      <c r="F214" t="s">
        <v>1483</v>
      </c>
      <c r="G214" t="s">
        <v>1069</v>
      </c>
      <c r="H214" t="s">
        <v>1666</v>
      </c>
      <c r="I214" t="s">
        <v>1069</v>
      </c>
    </row>
    <row r="215" spans="1:9">
      <c r="A215" t="s">
        <v>1667</v>
      </c>
      <c r="B215" t="s">
        <v>1661</v>
      </c>
      <c r="C215" t="s">
        <v>1069</v>
      </c>
      <c r="D215" t="s">
        <v>1652</v>
      </c>
      <c r="E215" t="s">
        <v>1069</v>
      </c>
      <c r="F215" t="s">
        <v>1475</v>
      </c>
      <c r="G215" t="s">
        <v>1069</v>
      </c>
      <c r="H215" t="s">
        <v>1668</v>
      </c>
      <c r="I215" t="s">
        <v>1069</v>
      </c>
    </row>
    <row r="216" spans="1:9">
      <c r="A216" t="s">
        <v>1669</v>
      </c>
      <c r="B216" t="s">
        <v>1661</v>
      </c>
      <c r="C216" t="s">
        <v>1069</v>
      </c>
      <c r="D216" t="s">
        <v>1652</v>
      </c>
      <c r="E216" t="s">
        <v>1069</v>
      </c>
      <c r="F216" t="s">
        <v>1275</v>
      </c>
      <c r="G216" t="s">
        <v>1069</v>
      </c>
      <c r="H216" t="s">
        <v>1670</v>
      </c>
      <c r="I216" t="s">
        <v>1069</v>
      </c>
    </row>
    <row r="217" spans="1:9">
      <c r="A217" t="s">
        <v>1671</v>
      </c>
      <c r="B217" t="s">
        <v>1661</v>
      </c>
      <c r="C217" t="s">
        <v>1069</v>
      </c>
      <c r="D217" t="s">
        <v>1652</v>
      </c>
      <c r="E217" t="s">
        <v>1069</v>
      </c>
      <c r="F217" t="s">
        <v>1269</v>
      </c>
      <c r="G217" t="s">
        <v>1069</v>
      </c>
      <c r="H217" t="s">
        <v>1672</v>
      </c>
      <c r="I217" t="s">
        <v>1069</v>
      </c>
    </row>
    <row r="218" spans="1:9">
      <c r="A218" t="s">
        <v>1673</v>
      </c>
      <c r="B218" t="s">
        <v>1663</v>
      </c>
      <c r="C218" t="s">
        <v>1069</v>
      </c>
      <c r="D218" t="s">
        <v>1652</v>
      </c>
      <c r="E218" t="s">
        <v>1069</v>
      </c>
      <c r="F218" t="s">
        <v>1121</v>
      </c>
      <c r="G218" t="s">
        <v>1069</v>
      </c>
      <c r="H218" t="s">
        <v>1674</v>
      </c>
      <c r="I218" t="s">
        <v>1069</v>
      </c>
    </row>
    <row r="219" spans="1:9">
      <c r="A219" t="s">
        <v>1675</v>
      </c>
      <c r="B219" t="s">
        <v>1663</v>
      </c>
      <c r="C219" t="s">
        <v>1069</v>
      </c>
      <c r="D219" t="s">
        <v>1652</v>
      </c>
      <c r="E219" t="s">
        <v>1069</v>
      </c>
      <c r="F219" t="s">
        <v>1284</v>
      </c>
      <c r="G219" t="s">
        <v>1069</v>
      </c>
      <c r="H219" t="s">
        <v>1676</v>
      </c>
      <c r="I219" t="s">
        <v>1069</v>
      </c>
    </row>
    <row r="220" spans="1:9">
      <c r="A220" t="s">
        <v>1677</v>
      </c>
      <c r="B220" t="s">
        <v>1663</v>
      </c>
      <c r="C220" t="s">
        <v>1069</v>
      </c>
      <c r="D220" t="s">
        <v>1652</v>
      </c>
      <c r="E220" t="s">
        <v>1069</v>
      </c>
      <c r="F220" t="s">
        <v>1152</v>
      </c>
      <c r="G220" t="s">
        <v>1069</v>
      </c>
      <c r="H220" t="s">
        <v>1650</v>
      </c>
      <c r="I220" t="s">
        <v>1069</v>
      </c>
    </row>
    <row r="221" spans="1:9">
      <c r="A221" t="s">
        <v>1678</v>
      </c>
      <c r="B221" t="s">
        <v>1661</v>
      </c>
      <c r="C221" t="s">
        <v>1069</v>
      </c>
      <c r="D221" t="s">
        <v>1656</v>
      </c>
      <c r="E221" t="s">
        <v>1069</v>
      </c>
      <c r="F221" t="s">
        <v>1136</v>
      </c>
      <c r="G221" t="s">
        <v>1069</v>
      </c>
      <c r="H221" t="s">
        <v>1679</v>
      </c>
      <c r="I221" t="s">
        <v>1069</v>
      </c>
    </row>
    <row r="222" spans="1:9">
      <c r="A222" t="s">
        <v>1680</v>
      </c>
      <c r="B222" t="s">
        <v>1663</v>
      </c>
      <c r="C222" t="s">
        <v>1069</v>
      </c>
      <c r="D222" t="s">
        <v>1681</v>
      </c>
      <c r="E222" t="s">
        <v>1069</v>
      </c>
      <c r="F222" t="s">
        <v>1255</v>
      </c>
      <c r="G222" t="s">
        <v>1069</v>
      </c>
      <c r="H222" t="s">
        <v>1682</v>
      </c>
      <c r="I222" t="s">
        <v>1069</v>
      </c>
    </row>
    <row r="223" spans="1:9">
      <c r="A223" t="s">
        <v>1683</v>
      </c>
      <c r="B223" t="s">
        <v>1652</v>
      </c>
      <c r="C223" t="s">
        <v>1069</v>
      </c>
      <c r="D223" t="s">
        <v>1275</v>
      </c>
      <c r="E223" t="s">
        <v>1069</v>
      </c>
      <c r="F223" t="s">
        <v>1128</v>
      </c>
      <c r="G223" t="s">
        <v>1069</v>
      </c>
      <c r="H223" t="s">
        <v>1684</v>
      </c>
      <c r="I223" t="s">
        <v>1069</v>
      </c>
    </row>
    <row r="224" spans="1:9">
      <c r="A224" t="s">
        <v>1685</v>
      </c>
      <c r="B224" t="s">
        <v>1275</v>
      </c>
      <c r="C224" t="s">
        <v>1069</v>
      </c>
      <c r="D224" t="s">
        <v>1293</v>
      </c>
      <c r="E224" t="s">
        <v>1069</v>
      </c>
      <c r="F224" t="s">
        <v>1074</v>
      </c>
      <c r="G224" t="s">
        <v>1069</v>
      </c>
      <c r="H224" t="s">
        <v>1686</v>
      </c>
      <c r="I224" t="s">
        <v>1069</v>
      </c>
    </row>
    <row r="225" spans="1:9">
      <c r="A225" t="s">
        <v>1687</v>
      </c>
      <c r="B225" t="s">
        <v>1681</v>
      </c>
      <c r="C225" t="s">
        <v>1069</v>
      </c>
      <c r="D225" t="s">
        <v>1269</v>
      </c>
      <c r="E225" t="s">
        <v>1069</v>
      </c>
      <c r="F225" t="s">
        <v>1113</v>
      </c>
      <c r="G225" t="s">
        <v>1069</v>
      </c>
      <c r="H225" t="s">
        <v>1688</v>
      </c>
      <c r="I225" t="s">
        <v>1069</v>
      </c>
    </row>
    <row r="226" spans="1:9">
      <c r="A226" t="s">
        <v>1689</v>
      </c>
      <c r="B226" t="s">
        <v>1655</v>
      </c>
      <c r="C226" t="s">
        <v>1069</v>
      </c>
      <c r="D226" t="s">
        <v>1475</v>
      </c>
      <c r="E226" t="s">
        <v>1069</v>
      </c>
      <c r="F226" t="s">
        <v>1107</v>
      </c>
      <c r="G226" t="s">
        <v>1069</v>
      </c>
      <c r="H226" t="s">
        <v>1690</v>
      </c>
      <c r="I226" t="s">
        <v>1069</v>
      </c>
    </row>
    <row r="227" spans="1:9">
      <c r="A227" t="s">
        <v>1691</v>
      </c>
      <c r="B227" t="s">
        <v>1681</v>
      </c>
      <c r="C227" t="s">
        <v>1069</v>
      </c>
      <c r="D227" t="s">
        <v>1483</v>
      </c>
      <c r="E227" t="s">
        <v>1069</v>
      </c>
      <c r="F227" t="s">
        <v>1143</v>
      </c>
      <c r="G227" t="s">
        <v>1069</v>
      </c>
      <c r="H227" t="s">
        <v>1692</v>
      </c>
      <c r="I227" t="s">
        <v>1069</v>
      </c>
    </row>
    <row r="228" spans="1:9">
      <c r="A228" t="s">
        <v>1693</v>
      </c>
      <c r="B228" t="s">
        <v>1652</v>
      </c>
      <c r="C228" t="s">
        <v>1069</v>
      </c>
      <c r="D228" t="s">
        <v>1483</v>
      </c>
      <c r="E228" t="s">
        <v>1069</v>
      </c>
      <c r="F228" t="s">
        <v>1102</v>
      </c>
      <c r="G228" t="s">
        <v>1069</v>
      </c>
      <c r="H228" t="s">
        <v>1647</v>
      </c>
      <c r="I228" t="s">
        <v>1069</v>
      </c>
    </row>
    <row r="229" spans="1:9">
      <c r="A229" t="s">
        <v>1694</v>
      </c>
      <c r="B229" t="s">
        <v>1655</v>
      </c>
      <c r="C229" t="s">
        <v>1069</v>
      </c>
      <c r="D229" t="s">
        <v>1475</v>
      </c>
      <c r="E229" t="s">
        <v>1069</v>
      </c>
      <c r="F229" t="s">
        <v>1260</v>
      </c>
      <c r="G229" t="s">
        <v>1069</v>
      </c>
      <c r="H229" t="s">
        <v>1289</v>
      </c>
      <c r="I229" t="s">
        <v>1069</v>
      </c>
    </row>
    <row r="230" spans="1:9">
      <c r="A230" t="s">
        <v>1695</v>
      </c>
      <c r="B230" t="s">
        <v>1652</v>
      </c>
      <c r="C230" t="s">
        <v>1069</v>
      </c>
      <c r="D230" t="s">
        <v>1275</v>
      </c>
      <c r="E230" t="s">
        <v>1069</v>
      </c>
      <c r="F230" t="s">
        <v>1089</v>
      </c>
      <c r="G230" t="s">
        <v>1069</v>
      </c>
      <c r="H230" t="s">
        <v>1696</v>
      </c>
      <c r="I230" t="s">
        <v>1069</v>
      </c>
    </row>
    <row r="231" spans="1:9">
      <c r="A231" t="s">
        <v>1697</v>
      </c>
      <c r="B231" t="s">
        <v>1656</v>
      </c>
      <c r="C231" t="s">
        <v>1069</v>
      </c>
      <c r="D231" t="s">
        <v>1476</v>
      </c>
      <c r="E231" t="s">
        <v>1069</v>
      </c>
      <c r="F231" t="s">
        <v>1436</v>
      </c>
      <c r="G231" t="s">
        <v>1069</v>
      </c>
      <c r="H231" t="s">
        <v>1698</v>
      </c>
      <c r="I231" t="s">
        <v>1069</v>
      </c>
    </row>
    <row r="232" spans="1:9">
      <c r="A232" t="s">
        <v>1699</v>
      </c>
      <c r="B232" t="s">
        <v>1483</v>
      </c>
      <c r="C232" t="s">
        <v>1069</v>
      </c>
      <c r="D232" t="s">
        <v>1488</v>
      </c>
      <c r="E232" t="s">
        <v>1069</v>
      </c>
      <c r="F232" t="s">
        <v>1098</v>
      </c>
      <c r="G232" t="s">
        <v>1069</v>
      </c>
      <c r="H232" t="s">
        <v>1700</v>
      </c>
      <c r="I232" t="s">
        <v>1069</v>
      </c>
    </row>
    <row r="233" spans="1:9">
      <c r="A233" t="s">
        <v>1701</v>
      </c>
      <c r="B233" t="s">
        <v>1269</v>
      </c>
      <c r="C233" t="s">
        <v>1069</v>
      </c>
      <c r="D233" t="s">
        <v>1293</v>
      </c>
      <c r="E233" t="s">
        <v>1069</v>
      </c>
      <c r="F233" t="s">
        <v>1276</v>
      </c>
      <c r="G233" t="s">
        <v>1069</v>
      </c>
      <c r="H233" t="s">
        <v>1702</v>
      </c>
      <c r="I233" t="s">
        <v>1069</v>
      </c>
    </row>
    <row r="234" spans="1:9">
      <c r="A234" t="s">
        <v>1703</v>
      </c>
      <c r="B234" t="s">
        <v>1264</v>
      </c>
      <c r="C234" t="s">
        <v>1069</v>
      </c>
      <c r="D234" t="s">
        <v>1270</v>
      </c>
      <c r="E234" t="s">
        <v>1069</v>
      </c>
      <c r="F234" t="s">
        <v>1234</v>
      </c>
      <c r="G234" t="s">
        <v>1069</v>
      </c>
      <c r="H234" t="s">
        <v>1704</v>
      </c>
      <c r="I234" t="s">
        <v>1069</v>
      </c>
    </row>
    <row r="235" spans="1:9">
      <c r="A235" t="s">
        <v>1705</v>
      </c>
      <c r="B235" t="s">
        <v>1488</v>
      </c>
      <c r="C235" t="s">
        <v>1069</v>
      </c>
      <c r="D235" t="s">
        <v>1152</v>
      </c>
      <c r="E235" t="s">
        <v>1069</v>
      </c>
      <c r="F235" t="s">
        <v>1276</v>
      </c>
      <c r="G235" t="s">
        <v>1069</v>
      </c>
      <c r="H235" t="s">
        <v>1706</v>
      </c>
      <c r="I235" t="s">
        <v>1069</v>
      </c>
    </row>
    <row r="236" spans="1:9">
      <c r="A236" t="s">
        <v>1707</v>
      </c>
      <c r="B236" t="s">
        <v>1476</v>
      </c>
      <c r="C236" t="s">
        <v>1069</v>
      </c>
      <c r="D236" t="s">
        <v>1152</v>
      </c>
      <c r="E236" t="s">
        <v>1069</v>
      </c>
      <c r="F236" t="s">
        <v>1122</v>
      </c>
      <c r="G236" t="s">
        <v>1069</v>
      </c>
      <c r="H236" t="s">
        <v>1708</v>
      </c>
      <c r="I236" t="s">
        <v>1069</v>
      </c>
    </row>
    <row r="237" spans="1:9">
      <c r="A237" t="s">
        <v>1709</v>
      </c>
      <c r="B237" t="s">
        <v>1488</v>
      </c>
      <c r="C237" t="s">
        <v>1069</v>
      </c>
      <c r="D237" t="s">
        <v>1284</v>
      </c>
      <c r="E237" t="s">
        <v>1069</v>
      </c>
      <c r="F237" t="s">
        <v>1095</v>
      </c>
      <c r="G237" t="s">
        <v>1069</v>
      </c>
      <c r="H237" t="s">
        <v>1710</v>
      </c>
      <c r="I237" t="s">
        <v>1069</v>
      </c>
    </row>
    <row r="238" spans="1:9">
      <c r="A238" t="s">
        <v>1711</v>
      </c>
      <c r="B238" t="s">
        <v>1288</v>
      </c>
      <c r="C238" t="s">
        <v>1069</v>
      </c>
      <c r="D238" t="s">
        <v>1265</v>
      </c>
      <c r="E238" t="s">
        <v>1069</v>
      </c>
      <c r="F238" t="s">
        <v>1162</v>
      </c>
      <c r="G238" t="s">
        <v>1069</v>
      </c>
      <c r="H238" t="s">
        <v>1712</v>
      </c>
      <c r="I238" t="s">
        <v>1069</v>
      </c>
    </row>
    <row r="239" spans="1:9">
      <c r="A239" t="s">
        <v>1713</v>
      </c>
      <c r="B239" t="s">
        <v>1476</v>
      </c>
      <c r="C239" t="s">
        <v>1069</v>
      </c>
      <c r="D239" t="s">
        <v>1265</v>
      </c>
      <c r="E239" t="s">
        <v>1069</v>
      </c>
      <c r="F239" t="s">
        <v>1595</v>
      </c>
      <c r="G239" t="s">
        <v>1069</v>
      </c>
      <c r="H239" t="s">
        <v>1714</v>
      </c>
      <c r="I239" t="s">
        <v>1069</v>
      </c>
    </row>
    <row r="240" spans="1:9">
      <c r="A240" t="s">
        <v>1715</v>
      </c>
      <c r="B240" t="s">
        <v>1264</v>
      </c>
      <c r="C240" t="s">
        <v>1069</v>
      </c>
      <c r="D240" t="s">
        <v>1270</v>
      </c>
      <c r="E240" t="s">
        <v>1069</v>
      </c>
      <c r="F240" t="s">
        <v>1140</v>
      </c>
      <c r="G240" t="s">
        <v>1069</v>
      </c>
      <c r="H240" t="s">
        <v>1716</v>
      </c>
      <c r="I240" t="s">
        <v>1069</v>
      </c>
    </row>
    <row r="241" spans="1:9">
      <c r="A241" t="s">
        <v>1717</v>
      </c>
      <c r="B241" t="s">
        <v>1275</v>
      </c>
      <c r="C241" t="s">
        <v>1069</v>
      </c>
      <c r="D241" t="s">
        <v>1255</v>
      </c>
      <c r="E241" t="s">
        <v>1069</v>
      </c>
      <c r="F241" t="s">
        <v>1098</v>
      </c>
      <c r="G241" t="s">
        <v>1069</v>
      </c>
      <c r="H241" t="s">
        <v>1718</v>
      </c>
      <c r="I241" t="s">
        <v>1069</v>
      </c>
    </row>
    <row r="242" spans="1:9">
      <c r="A242" t="s">
        <v>1719</v>
      </c>
      <c r="B242" t="s">
        <v>1275</v>
      </c>
      <c r="C242" t="s">
        <v>1069</v>
      </c>
      <c r="D242" t="s">
        <v>1255</v>
      </c>
      <c r="E242" t="s">
        <v>1069</v>
      </c>
      <c r="F242" t="s">
        <v>1084</v>
      </c>
      <c r="G242" t="s">
        <v>1069</v>
      </c>
      <c r="H242" t="s">
        <v>1720</v>
      </c>
      <c r="I242" t="s">
        <v>1069</v>
      </c>
    </row>
    <row r="243" spans="1:9">
      <c r="A243" t="s">
        <v>1721</v>
      </c>
      <c r="B243" t="s">
        <v>1275</v>
      </c>
      <c r="C243" t="s">
        <v>1069</v>
      </c>
      <c r="D243" t="s">
        <v>1293</v>
      </c>
      <c r="E243" t="s">
        <v>1069</v>
      </c>
      <c r="F243" t="s">
        <v>1079</v>
      </c>
      <c r="G243" t="s">
        <v>1069</v>
      </c>
      <c r="H243" t="s">
        <v>1722</v>
      </c>
      <c r="I243" t="s">
        <v>1069</v>
      </c>
    </row>
    <row r="244" spans="1:9">
      <c r="A244" t="s">
        <v>1723</v>
      </c>
      <c r="B244" t="s">
        <v>1275</v>
      </c>
      <c r="C244" t="s">
        <v>1069</v>
      </c>
      <c r="D244" t="s">
        <v>1270</v>
      </c>
      <c r="E244" t="s">
        <v>1069</v>
      </c>
      <c r="F244" t="s">
        <v>1090</v>
      </c>
      <c r="G244" t="s">
        <v>1069</v>
      </c>
      <c r="H244" t="s">
        <v>1724</v>
      </c>
      <c r="I244" t="s">
        <v>1069</v>
      </c>
    </row>
    <row r="245" spans="1:9">
      <c r="A245" t="s">
        <v>1725</v>
      </c>
      <c r="B245" t="s">
        <v>1269</v>
      </c>
      <c r="C245" t="s">
        <v>1069</v>
      </c>
      <c r="D245" t="s">
        <v>1255</v>
      </c>
      <c r="E245" t="s">
        <v>1069</v>
      </c>
      <c r="F245" t="s">
        <v>1144</v>
      </c>
      <c r="G245" t="s">
        <v>1069</v>
      </c>
      <c r="H245" t="s">
        <v>1726</v>
      </c>
      <c r="I245" t="s">
        <v>1069</v>
      </c>
    </row>
    <row r="246" spans="1:9">
      <c r="A246" t="s">
        <v>1727</v>
      </c>
      <c r="B246" t="s">
        <v>1264</v>
      </c>
      <c r="C246" t="s">
        <v>1069</v>
      </c>
      <c r="D246" t="s">
        <v>1149</v>
      </c>
      <c r="E246" t="s">
        <v>1069</v>
      </c>
      <c r="F246" t="s">
        <v>1068</v>
      </c>
      <c r="G246" t="s">
        <v>1069</v>
      </c>
      <c r="H246" t="s">
        <v>1728</v>
      </c>
      <c r="I246" t="s">
        <v>1069</v>
      </c>
    </row>
    <row r="247" spans="1:9">
      <c r="A247" t="s">
        <v>1729</v>
      </c>
      <c r="B247" t="s">
        <v>1476</v>
      </c>
      <c r="C247" t="s">
        <v>1069</v>
      </c>
      <c r="D247" t="s">
        <v>1265</v>
      </c>
      <c r="E247" t="s">
        <v>1069</v>
      </c>
      <c r="F247" t="s">
        <v>1122</v>
      </c>
      <c r="G247" t="s">
        <v>1069</v>
      </c>
      <c r="H247" t="s">
        <v>1730</v>
      </c>
      <c r="I247" t="s">
        <v>1069</v>
      </c>
    </row>
    <row r="248" spans="1:9">
      <c r="A248" t="s">
        <v>1731</v>
      </c>
      <c r="B248" t="s">
        <v>1476</v>
      </c>
      <c r="C248" t="s">
        <v>1069</v>
      </c>
      <c r="D248" t="s">
        <v>1265</v>
      </c>
      <c r="E248" t="s">
        <v>1069</v>
      </c>
      <c r="F248" t="s">
        <v>1144</v>
      </c>
      <c r="G248" t="s">
        <v>1069</v>
      </c>
      <c r="H248" t="s">
        <v>1732</v>
      </c>
      <c r="I248" t="s">
        <v>1069</v>
      </c>
    </row>
    <row r="249" spans="1:9">
      <c r="A249" t="s">
        <v>1733</v>
      </c>
      <c r="B249" t="s">
        <v>1269</v>
      </c>
      <c r="C249" t="s">
        <v>1069</v>
      </c>
      <c r="D249" t="s">
        <v>1255</v>
      </c>
      <c r="E249" t="s">
        <v>1069</v>
      </c>
      <c r="F249" t="s">
        <v>1276</v>
      </c>
      <c r="G249" t="s">
        <v>1069</v>
      </c>
      <c r="H249" t="s">
        <v>1734</v>
      </c>
      <c r="I249" t="s">
        <v>1069</v>
      </c>
    </row>
    <row r="250" spans="1:9">
      <c r="A250" t="s">
        <v>1735</v>
      </c>
      <c r="B250" t="s">
        <v>1483</v>
      </c>
      <c r="C250" t="s">
        <v>1069</v>
      </c>
      <c r="D250" t="s">
        <v>1255</v>
      </c>
      <c r="E250" t="s">
        <v>1069</v>
      </c>
      <c r="F250" t="s">
        <v>1279</v>
      </c>
      <c r="G250" t="s">
        <v>1069</v>
      </c>
      <c r="H250" t="s">
        <v>1280</v>
      </c>
      <c r="I250" t="s">
        <v>1069</v>
      </c>
    </row>
    <row r="251" spans="1:9">
      <c r="A251" t="s">
        <v>1736</v>
      </c>
      <c r="B251" t="s">
        <v>1475</v>
      </c>
      <c r="C251" t="s">
        <v>1069</v>
      </c>
      <c r="D251" t="s">
        <v>1259</v>
      </c>
      <c r="E251" t="s">
        <v>1069</v>
      </c>
      <c r="F251" t="s">
        <v>1504</v>
      </c>
      <c r="G251" t="s">
        <v>1069</v>
      </c>
      <c r="H251" t="s">
        <v>1737</v>
      </c>
      <c r="I251" t="s">
        <v>1069</v>
      </c>
    </row>
    <row r="252" spans="1:9">
      <c r="A252" t="s">
        <v>1738</v>
      </c>
      <c r="B252" t="s">
        <v>1483</v>
      </c>
      <c r="C252" t="s">
        <v>1069</v>
      </c>
      <c r="D252" t="s">
        <v>1255</v>
      </c>
      <c r="E252" t="s">
        <v>1069</v>
      </c>
      <c r="F252" t="s">
        <v>1110</v>
      </c>
      <c r="G252" t="s">
        <v>1069</v>
      </c>
      <c r="H252" t="s">
        <v>1739</v>
      </c>
      <c r="I252" t="s">
        <v>1069</v>
      </c>
    </row>
    <row r="253" spans="1:9">
      <c r="A253" t="s">
        <v>1740</v>
      </c>
      <c r="B253" t="s">
        <v>1275</v>
      </c>
      <c r="C253" t="s">
        <v>1069</v>
      </c>
      <c r="D253" t="s">
        <v>1270</v>
      </c>
      <c r="E253" t="s">
        <v>1069</v>
      </c>
      <c r="F253" t="s">
        <v>1223</v>
      </c>
      <c r="G253" t="s">
        <v>1069</v>
      </c>
      <c r="H253" t="s">
        <v>1282</v>
      </c>
      <c r="I253" t="s">
        <v>1069</v>
      </c>
    </row>
    <row r="254" spans="1:9">
      <c r="A254" t="s">
        <v>1741</v>
      </c>
      <c r="B254" t="s">
        <v>1475</v>
      </c>
      <c r="C254" t="s">
        <v>1069</v>
      </c>
      <c r="D254" t="s">
        <v>1259</v>
      </c>
      <c r="E254" t="s">
        <v>1069</v>
      </c>
      <c r="F254" t="s">
        <v>1075</v>
      </c>
      <c r="G254" t="s">
        <v>1069</v>
      </c>
      <c r="H254" t="s">
        <v>1742</v>
      </c>
      <c r="I254" t="s">
        <v>1069</v>
      </c>
    </row>
    <row r="255" spans="1:9">
      <c r="A255" t="s">
        <v>1743</v>
      </c>
      <c r="B255" t="s">
        <v>1483</v>
      </c>
      <c r="C255" t="s">
        <v>1069</v>
      </c>
      <c r="D255" t="s">
        <v>1488</v>
      </c>
      <c r="E255" t="s">
        <v>1069</v>
      </c>
      <c r="F255" t="s">
        <v>1310</v>
      </c>
      <c r="G255" t="s">
        <v>1069</v>
      </c>
      <c r="H255" t="s">
        <v>1744</v>
      </c>
      <c r="I255" t="s">
        <v>1069</v>
      </c>
    </row>
    <row r="256" spans="1:9">
      <c r="A256" t="s">
        <v>1745</v>
      </c>
      <c r="B256" t="s">
        <v>1275</v>
      </c>
      <c r="C256" t="s">
        <v>1069</v>
      </c>
      <c r="D256" t="s">
        <v>1255</v>
      </c>
      <c r="E256" t="s">
        <v>1069</v>
      </c>
      <c r="F256" t="s">
        <v>1140</v>
      </c>
      <c r="G256" t="s">
        <v>1069</v>
      </c>
      <c r="H256" t="s">
        <v>1746</v>
      </c>
      <c r="I256" t="s">
        <v>1069</v>
      </c>
    </row>
    <row r="257" spans="1:9">
      <c r="A257" t="s">
        <v>1747</v>
      </c>
      <c r="B257" t="s">
        <v>1288</v>
      </c>
      <c r="C257" t="s">
        <v>1069</v>
      </c>
      <c r="D257" t="s">
        <v>1284</v>
      </c>
      <c r="E257" t="s">
        <v>1069</v>
      </c>
      <c r="F257" t="s">
        <v>1095</v>
      </c>
      <c r="G257" t="s">
        <v>1069</v>
      </c>
      <c r="H257" t="s">
        <v>1748</v>
      </c>
      <c r="I257" t="s">
        <v>1069</v>
      </c>
    </row>
    <row r="258" spans="1:9">
      <c r="A258" t="s">
        <v>1749</v>
      </c>
      <c r="B258" t="s">
        <v>1269</v>
      </c>
      <c r="C258" t="s">
        <v>1069</v>
      </c>
      <c r="D258" t="s">
        <v>1270</v>
      </c>
      <c r="E258" t="s">
        <v>1069</v>
      </c>
      <c r="F258" t="s">
        <v>1238</v>
      </c>
      <c r="G258" t="s">
        <v>1069</v>
      </c>
      <c r="H258" t="s">
        <v>1750</v>
      </c>
      <c r="I258" t="s">
        <v>1069</v>
      </c>
    </row>
    <row r="259" spans="1:9">
      <c r="A259" t="s">
        <v>1751</v>
      </c>
      <c r="B259" t="s">
        <v>1275</v>
      </c>
      <c r="C259" t="s">
        <v>1069</v>
      </c>
      <c r="D259" t="s">
        <v>1255</v>
      </c>
      <c r="E259" t="s">
        <v>1069</v>
      </c>
      <c r="F259" t="s">
        <v>1320</v>
      </c>
      <c r="G259" t="s">
        <v>1069</v>
      </c>
      <c r="H259" t="s">
        <v>1752</v>
      </c>
      <c r="I259" t="s">
        <v>1069</v>
      </c>
    </row>
    <row r="260" spans="1:9">
      <c r="A260" t="s">
        <v>1753</v>
      </c>
      <c r="B260" t="s">
        <v>1264</v>
      </c>
      <c r="C260" t="s">
        <v>1069</v>
      </c>
      <c r="D260" t="s">
        <v>1270</v>
      </c>
      <c r="E260" t="s">
        <v>1069</v>
      </c>
      <c r="F260" t="s">
        <v>1070</v>
      </c>
      <c r="G260" t="s">
        <v>1069</v>
      </c>
      <c r="H260" t="s">
        <v>1754</v>
      </c>
      <c r="I260" t="s">
        <v>1069</v>
      </c>
    </row>
    <row r="261" spans="1:9">
      <c r="A261" t="s">
        <v>1755</v>
      </c>
      <c r="B261" t="s">
        <v>1269</v>
      </c>
      <c r="C261" t="s">
        <v>1069</v>
      </c>
      <c r="D261" t="s">
        <v>1255</v>
      </c>
      <c r="E261" t="s">
        <v>1069</v>
      </c>
      <c r="F261" t="s">
        <v>1104</v>
      </c>
      <c r="G261" t="s">
        <v>1069</v>
      </c>
      <c r="H261" t="s">
        <v>1756</v>
      </c>
      <c r="I261" t="s">
        <v>1069</v>
      </c>
    </row>
    <row r="262" spans="1:9">
      <c r="A262" t="s">
        <v>1757</v>
      </c>
      <c r="B262" t="s">
        <v>1264</v>
      </c>
      <c r="C262" t="s">
        <v>1069</v>
      </c>
      <c r="D262" t="s">
        <v>1255</v>
      </c>
      <c r="E262" t="s">
        <v>1069</v>
      </c>
      <c r="F262" t="s">
        <v>1504</v>
      </c>
      <c r="G262" t="s">
        <v>1069</v>
      </c>
      <c r="H262" t="s">
        <v>1758</v>
      </c>
      <c r="I262" t="s">
        <v>1069</v>
      </c>
    </row>
    <row r="263" spans="1:9">
      <c r="A263" t="s">
        <v>1759</v>
      </c>
      <c r="B263" t="s">
        <v>1259</v>
      </c>
      <c r="C263" t="s">
        <v>1069</v>
      </c>
      <c r="D263" t="s">
        <v>1284</v>
      </c>
      <c r="E263" t="s">
        <v>1069</v>
      </c>
      <c r="F263" t="s">
        <v>1110</v>
      </c>
      <c r="G263" t="s">
        <v>1069</v>
      </c>
      <c r="H263" t="s">
        <v>1760</v>
      </c>
      <c r="I263" t="s">
        <v>1069</v>
      </c>
    </row>
    <row r="264" spans="1:9">
      <c r="A264" t="s">
        <v>1761</v>
      </c>
      <c r="B264" t="s">
        <v>1149</v>
      </c>
      <c r="C264" t="s">
        <v>1069</v>
      </c>
      <c r="D264" t="s">
        <v>1143</v>
      </c>
      <c r="E264" t="s">
        <v>1069</v>
      </c>
      <c r="F264" t="s">
        <v>1534</v>
      </c>
      <c r="G264" t="s">
        <v>1069</v>
      </c>
      <c r="H264" t="s">
        <v>1762</v>
      </c>
      <c r="I264" t="s">
        <v>1069</v>
      </c>
    </row>
    <row r="265" spans="1:9">
      <c r="A265" t="s">
        <v>1763</v>
      </c>
      <c r="B265" t="s">
        <v>1152</v>
      </c>
      <c r="C265" t="s">
        <v>1069</v>
      </c>
      <c r="D265" t="s">
        <v>1107</v>
      </c>
      <c r="E265" t="s">
        <v>1069</v>
      </c>
      <c r="F265" t="s">
        <v>1159</v>
      </c>
      <c r="G265" t="s">
        <v>1069</v>
      </c>
      <c r="H265" t="s">
        <v>1764</v>
      </c>
      <c r="I265" t="s">
        <v>1069</v>
      </c>
    </row>
    <row r="266" spans="1:9">
      <c r="A266" t="s">
        <v>1765</v>
      </c>
      <c r="B266" t="s">
        <v>1128</v>
      </c>
      <c r="C266" t="s">
        <v>1069</v>
      </c>
      <c r="D266" t="s">
        <v>1129</v>
      </c>
      <c r="E266" t="s">
        <v>1069</v>
      </c>
      <c r="F266" t="s">
        <v>1320</v>
      </c>
      <c r="G266" t="s">
        <v>1069</v>
      </c>
      <c r="H266" t="s">
        <v>1766</v>
      </c>
      <c r="I266" t="s">
        <v>1069</v>
      </c>
    </row>
    <row r="267" spans="1:9">
      <c r="A267" t="s">
        <v>1767</v>
      </c>
      <c r="B267" t="s">
        <v>1128</v>
      </c>
      <c r="C267" t="s">
        <v>1069</v>
      </c>
      <c r="D267" t="s">
        <v>1310</v>
      </c>
      <c r="E267" t="s">
        <v>1069</v>
      </c>
      <c r="F267" t="s">
        <v>1166</v>
      </c>
      <c r="G267" t="s">
        <v>1069</v>
      </c>
      <c r="H267" t="s">
        <v>1768</v>
      </c>
      <c r="I267" t="s">
        <v>1069</v>
      </c>
    </row>
    <row r="268" spans="1:9">
      <c r="A268" t="s">
        <v>1769</v>
      </c>
      <c r="B268" t="s">
        <v>1107</v>
      </c>
      <c r="C268" t="s">
        <v>1069</v>
      </c>
      <c r="D268" t="s">
        <v>1074</v>
      </c>
      <c r="E268" t="s">
        <v>1069</v>
      </c>
      <c r="F268" t="s">
        <v>1328</v>
      </c>
      <c r="G268" t="s">
        <v>1069</v>
      </c>
      <c r="H268" t="s">
        <v>1770</v>
      </c>
      <c r="I268" t="s">
        <v>1069</v>
      </c>
    </row>
    <row r="269" spans="1:9">
      <c r="A269" t="s">
        <v>1771</v>
      </c>
      <c r="B269" t="s">
        <v>1102</v>
      </c>
      <c r="C269" t="s">
        <v>1069</v>
      </c>
      <c r="D269" t="s">
        <v>1074</v>
      </c>
      <c r="E269" t="s">
        <v>1069</v>
      </c>
      <c r="F269" t="s">
        <v>1099</v>
      </c>
      <c r="G269" t="s">
        <v>1069</v>
      </c>
      <c r="H269" t="s">
        <v>1772</v>
      </c>
      <c r="I269" t="s">
        <v>1069</v>
      </c>
    </row>
    <row r="270" spans="1:9">
      <c r="A270" t="s">
        <v>1773</v>
      </c>
      <c r="B270" t="s">
        <v>1116</v>
      </c>
      <c r="C270" t="s">
        <v>1069</v>
      </c>
      <c r="D270" t="s">
        <v>1079</v>
      </c>
      <c r="E270" t="s">
        <v>1069</v>
      </c>
      <c r="F270" t="s">
        <v>1166</v>
      </c>
      <c r="G270" t="s">
        <v>1069</v>
      </c>
      <c r="H270" t="s">
        <v>1774</v>
      </c>
      <c r="I270" t="s">
        <v>1069</v>
      </c>
    </row>
    <row r="271" spans="1:9">
      <c r="A271" t="s">
        <v>1775</v>
      </c>
      <c r="B271" t="s">
        <v>1139</v>
      </c>
      <c r="C271" t="s">
        <v>1069</v>
      </c>
      <c r="D271" t="s">
        <v>1436</v>
      </c>
      <c r="E271" t="s">
        <v>1069</v>
      </c>
      <c r="F271" t="s">
        <v>1175</v>
      </c>
      <c r="G271" t="s">
        <v>1069</v>
      </c>
      <c r="H271" t="s">
        <v>1776</v>
      </c>
      <c r="I271" t="s">
        <v>1069</v>
      </c>
    </row>
    <row r="272" spans="1:9">
      <c r="A272" t="s">
        <v>1777</v>
      </c>
      <c r="B272" t="s">
        <v>1102</v>
      </c>
      <c r="C272" t="s">
        <v>1069</v>
      </c>
      <c r="D272" t="s">
        <v>1074</v>
      </c>
      <c r="E272" t="s">
        <v>1069</v>
      </c>
      <c r="F272" t="s">
        <v>1427</v>
      </c>
      <c r="G272" t="s">
        <v>1069</v>
      </c>
      <c r="H272" t="s">
        <v>1698</v>
      </c>
      <c r="I272" t="s">
        <v>1069</v>
      </c>
    </row>
    <row r="273" spans="1:9">
      <c r="A273" t="s">
        <v>1778</v>
      </c>
      <c r="B273" t="s">
        <v>1121</v>
      </c>
      <c r="C273" t="s">
        <v>1069</v>
      </c>
      <c r="D273" t="s">
        <v>1116</v>
      </c>
      <c r="E273" t="s">
        <v>1069</v>
      </c>
      <c r="F273" t="s">
        <v>1104</v>
      </c>
      <c r="G273" t="s">
        <v>1069</v>
      </c>
      <c r="H273" t="s">
        <v>1779</v>
      </c>
      <c r="I273" t="s">
        <v>1069</v>
      </c>
    </row>
    <row r="274" spans="1:9">
      <c r="A274" t="s">
        <v>1780</v>
      </c>
      <c r="B274" t="s">
        <v>1149</v>
      </c>
      <c r="C274" t="s">
        <v>1069</v>
      </c>
      <c r="D274" t="s">
        <v>1136</v>
      </c>
      <c r="E274" t="s">
        <v>1069</v>
      </c>
      <c r="F274" t="s">
        <v>1079</v>
      </c>
      <c r="G274" t="s">
        <v>1069</v>
      </c>
      <c r="H274" t="s">
        <v>1781</v>
      </c>
      <c r="I274" t="s">
        <v>1069</v>
      </c>
    </row>
    <row r="275" spans="1:9">
      <c r="A275" t="s">
        <v>1782</v>
      </c>
      <c r="B275" t="s">
        <v>1149</v>
      </c>
      <c r="C275" t="s">
        <v>1069</v>
      </c>
      <c r="D275" t="s">
        <v>1136</v>
      </c>
      <c r="E275" t="s">
        <v>1069</v>
      </c>
      <c r="F275" t="s">
        <v>1079</v>
      </c>
      <c r="G275" t="s">
        <v>1069</v>
      </c>
      <c r="H275" t="s">
        <v>1783</v>
      </c>
      <c r="I275" t="s">
        <v>1069</v>
      </c>
    </row>
    <row r="276" spans="1:9">
      <c r="A276" t="s">
        <v>1784</v>
      </c>
      <c r="B276" t="s">
        <v>1284</v>
      </c>
      <c r="C276" t="s">
        <v>1069</v>
      </c>
      <c r="D276" t="s">
        <v>1107</v>
      </c>
      <c r="E276" t="s">
        <v>1069</v>
      </c>
      <c r="F276" t="s">
        <v>1276</v>
      </c>
      <c r="G276" t="s">
        <v>1069</v>
      </c>
      <c r="H276" t="s">
        <v>1785</v>
      </c>
      <c r="I276" t="s">
        <v>1069</v>
      </c>
    </row>
    <row r="277" spans="1:9">
      <c r="A277" t="s">
        <v>1786</v>
      </c>
      <c r="B277" t="s">
        <v>1125</v>
      </c>
      <c r="C277" t="s">
        <v>1069</v>
      </c>
      <c r="D277" t="s">
        <v>1116</v>
      </c>
      <c r="E277" t="s">
        <v>1069</v>
      </c>
      <c r="F277" t="s">
        <v>1122</v>
      </c>
      <c r="G277" t="s">
        <v>1069</v>
      </c>
      <c r="H277" t="s">
        <v>1787</v>
      </c>
      <c r="I277" t="s">
        <v>1069</v>
      </c>
    </row>
    <row r="278" spans="1:9">
      <c r="A278" t="s">
        <v>1788</v>
      </c>
      <c r="B278" t="s">
        <v>1284</v>
      </c>
      <c r="C278" t="s">
        <v>1069</v>
      </c>
      <c r="D278" t="s">
        <v>1102</v>
      </c>
      <c r="E278" t="s">
        <v>1069</v>
      </c>
      <c r="F278" t="s">
        <v>1085</v>
      </c>
      <c r="G278" t="s">
        <v>1069</v>
      </c>
      <c r="H278" t="s">
        <v>1789</v>
      </c>
      <c r="I278" t="s">
        <v>1069</v>
      </c>
    </row>
    <row r="279" spans="1:9">
      <c r="A279" t="s">
        <v>1790</v>
      </c>
      <c r="B279" t="s">
        <v>1152</v>
      </c>
      <c r="C279" t="s">
        <v>1069</v>
      </c>
      <c r="D279" t="s">
        <v>1260</v>
      </c>
      <c r="E279" t="s">
        <v>1069</v>
      </c>
      <c r="F279" t="s">
        <v>1276</v>
      </c>
      <c r="G279" t="s">
        <v>1069</v>
      </c>
      <c r="H279" t="s">
        <v>1791</v>
      </c>
      <c r="I279" t="s">
        <v>1069</v>
      </c>
    </row>
    <row r="280" spans="1:9">
      <c r="A280" t="s">
        <v>1792</v>
      </c>
      <c r="B280" t="s">
        <v>1149</v>
      </c>
      <c r="C280" t="s">
        <v>1069</v>
      </c>
      <c r="D280" t="s">
        <v>1136</v>
      </c>
      <c r="E280" t="s">
        <v>1069</v>
      </c>
      <c r="F280" t="s">
        <v>1310</v>
      </c>
      <c r="G280" t="s">
        <v>1069</v>
      </c>
      <c r="H280" t="s">
        <v>1789</v>
      </c>
      <c r="I280" t="s">
        <v>1069</v>
      </c>
    </row>
    <row r="281" spans="1:9">
      <c r="A281" t="s">
        <v>1793</v>
      </c>
      <c r="B281" t="s">
        <v>1270</v>
      </c>
      <c r="C281" t="s">
        <v>1069</v>
      </c>
      <c r="D281" t="s">
        <v>1121</v>
      </c>
      <c r="E281" t="s">
        <v>1069</v>
      </c>
      <c r="F281" t="s">
        <v>1089</v>
      </c>
      <c r="G281" t="s">
        <v>1069</v>
      </c>
      <c r="H281" t="s">
        <v>1794</v>
      </c>
      <c r="I281" t="s">
        <v>1069</v>
      </c>
    </row>
    <row r="282" spans="1:9">
      <c r="A282" t="s">
        <v>1795</v>
      </c>
      <c r="B282" t="s">
        <v>1255</v>
      </c>
      <c r="C282" t="s">
        <v>1069</v>
      </c>
      <c r="D282" t="s">
        <v>1284</v>
      </c>
      <c r="E282" t="s">
        <v>1069</v>
      </c>
      <c r="F282" t="s">
        <v>1310</v>
      </c>
      <c r="G282" t="s">
        <v>1069</v>
      </c>
      <c r="H282" t="s">
        <v>1796</v>
      </c>
      <c r="I282" t="s">
        <v>1069</v>
      </c>
    </row>
    <row r="283" spans="1:9">
      <c r="A283" t="s">
        <v>1797</v>
      </c>
      <c r="B283" t="s">
        <v>1255</v>
      </c>
      <c r="C283" t="s">
        <v>1069</v>
      </c>
      <c r="D283" t="s">
        <v>1284</v>
      </c>
      <c r="E283" t="s">
        <v>1069</v>
      </c>
      <c r="F283" t="s">
        <v>1129</v>
      </c>
      <c r="G283" t="s">
        <v>1069</v>
      </c>
      <c r="H283" t="s">
        <v>1798</v>
      </c>
      <c r="I283" t="s">
        <v>1069</v>
      </c>
    </row>
    <row r="284" spans="1:9">
      <c r="A284" t="s">
        <v>1799</v>
      </c>
      <c r="B284" t="s">
        <v>1255</v>
      </c>
      <c r="C284" t="s">
        <v>1069</v>
      </c>
      <c r="D284" t="s">
        <v>1265</v>
      </c>
      <c r="E284" t="s">
        <v>1069</v>
      </c>
      <c r="F284" t="s">
        <v>1102</v>
      </c>
      <c r="G284" t="s">
        <v>1069</v>
      </c>
      <c r="H284" t="s">
        <v>1800</v>
      </c>
      <c r="I284" t="s">
        <v>1069</v>
      </c>
    </row>
    <row r="285" spans="1:9">
      <c r="A285" t="s">
        <v>1801</v>
      </c>
      <c r="B285" t="s">
        <v>1255</v>
      </c>
      <c r="C285" t="s">
        <v>1069</v>
      </c>
      <c r="D285" t="s">
        <v>1265</v>
      </c>
      <c r="E285" t="s">
        <v>1069</v>
      </c>
      <c r="F285" t="s">
        <v>1116</v>
      </c>
      <c r="G285" t="s">
        <v>1069</v>
      </c>
      <c r="H285" t="s">
        <v>1297</v>
      </c>
      <c r="I285" t="s">
        <v>1069</v>
      </c>
    </row>
    <row r="286" spans="1:9">
      <c r="A286" t="s">
        <v>1802</v>
      </c>
      <c r="B286" t="s">
        <v>1293</v>
      </c>
      <c r="C286" t="s">
        <v>1069</v>
      </c>
      <c r="D286" t="s">
        <v>1284</v>
      </c>
      <c r="E286" t="s">
        <v>1069</v>
      </c>
      <c r="F286" t="s">
        <v>1079</v>
      </c>
      <c r="G286" t="s">
        <v>1069</v>
      </c>
      <c r="H286" t="s">
        <v>1803</v>
      </c>
      <c r="I286" t="s">
        <v>1069</v>
      </c>
    </row>
    <row r="287" spans="1:9">
      <c r="A287" t="s">
        <v>1804</v>
      </c>
      <c r="B287" t="s">
        <v>1259</v>
      </c>
      <c r="C287" t="s">
        <v>1069</v>
      </c>
      <c r="D287" t="s">
        <v>1284</v>
      </c>
      <c r="E287" t="s">
        <v>1069</v>
      </c>
      <c r="F287" t="s">
        <v>1094</v>
      </c>
      <c r="G287" t="s">
        <v>1069</v>
      </c>
      <c r="H287" t="s">
        <v>1789</v>
      </c>
      <c r="I287" t="s">
        <v>1069</v>
      </c>
    </row>
    <row r="288" spans="1:9">
      <c r="A288" t="s">
        <v>1805</v>
      </c>
      <c r="B288" t="s">
        <v>1488</v>
      </c>
      <c r="C288" t="s">
        <v>1069</v>
      </c>
      <c r="D288" t="s">
        <v>1152</v>
      </c>
      <c r="E288" t="s">
        <v>1069</v>
      </c>
      <c r="F288" t="s">
        <v>1102</v>
      </c>
      <c r="G288" t="s">
        <v>1069</v>
      </c>
      <c r="H288" t="s">
        <v>1806</v>
      </c>
      <c r="I288" t="s">
        <v>1069</v>
      </c>
    </row>
    <row r="289" spans="1:9">
      <c r="A289" t="s">
        <v>1807</v>
      </c>
      <c r="B289" t="s">
        <v>1288</v>
      </c>
      <c r="C289" t="s">
        <v>1069</v>
      </c>
      <c r="D289" t="s">
        <v>1149</v>
      </c>
      <c r="E289" t="s">
        <v>1069</v>
      </c>
      <c r="F289" t="s">
        <v>1136</v>
      </c>
      <c r="G289" t="s">
        <v>1069</v>
      </c>
      <c r="H289" t="s">
        <v>1808</v>
      </c>
      <c r="I289" t="s">
        <v>1069</v>
      </c>
    </row>
    <row r="290" spans="1:9">
      <c r="A290" t="s">
        <v>1809</v>
      </c>
      <c r="B290" t="s">
        <v>1259</v>
      </c>
      <c r="C290" t="s">
        <v>1069</v>
      </c>
      <c r="D290" t="s">
        <v>1265</v>
      </c>
      <c r="E290" t="s">
        <v>1069</v>
      </c>
      <c r="F290" t="s">
        <v>1113</v>
      </c>
      <c r="G290" t="s">
        <v>1069</v>
      </c>
      <c r="H290" t="s">
        <v>1810</v>
      </c>
      <c r="I290" t="s">
        <v>1069</v>
      </c>
    </row>
    <row r="291" spans="1:9">
      <c r="A291" t="s">
        <v>1811</v>
      </c>
      <c r="B291" t="s">
        <v>1293</v>
      </c>
      <c r="C291" t="s">
        <v>1069</v>
      </c>
      <c r="D291" t="s">
        <v>1284</v>
      </c>
      <c r="E291" t="s">
        <v>1069</v>
      </c>
      <c r="F291" t="s">
        <v>1093</v>
      </c>
      <c r="G291" t="s">
        <v>1069</v>
      </c>
      <c r="H291" t="s">
        <v>1812</v>
      </c>
      <c r="I291" t="s">
        <v>1069</v>
      </c>
    </row>
    <row r="292" spans="1:9">
      <c r="A292" t="s">
        <v>1813</v>
      </c>
      <c r="B292" t="s">
        <v>1488</v>
      </c>
      <c r="C292" t="s">
        <v>1069</v>
      </c>
      <c r="D292" t="s">
        <v>1149</v>
      </c>
      <c r="E292" t="s">
        <v>1069</v>
      </c>
      <c r="F292" t="s">
        <v>1107</v>
      </c>
      <c r="G292" t="s">
        <v>1069</v>
      </c>
      <c r="H292" t="s">
        <v>1814</v>
      </c>
      <c r="I292" t="s">
        <v>1069</v>
      </c>
    </row>
    <row r="293" spans="1:9">
      <c r="A293" t="s">
        <v>1815</v>
      </c>
      <c r="B293" t="s">
        <v>1259</v>
      </c>
      <c r="C293" t="s">
        <v>1069</v>
      </c>
      <c r="D293" t="s">
        <v>1265</v>
      </c>
      <c r="E293" t="s">
        <v>1069</v>
      </c>
      <c r="F293" t="s">
        <v>1093</v>
      </c>
      <c r="G293" t="s">
        <v>1069</v>
      </c>
      <c r="H293" t="s">
        <v>1816</v>
      </c>
      <c r="I293" t="s">
        <v>1069</v>
      </c>
    </row>
    <row r="294" spans="1:9">
      <c r="A294" t="s">
        <v>1817</v>
      </c>
      <c r="B294" t="s">
        <v>1270</v>
      </c>
      <c r="C294" t="s">
        <v>1069</v>
      </c>
      <c r="D294" t="s">
        <v>1121</v>
      </c>
      <c r="E294" t="s">
        <v>1069</v>
      </c>
      <c r="F294" t="s">
        <v>1129</v>
      </c>
      <c r="G294" t="s">
        <v>1069</v>
      </c>
      <c r="H294" t="s">
        <v>1818</v>
      </c>
      <c r="I294" t="s">
        <v>1069</v>
      </c>
    </row>
    <row r="295" spans="1:9">
      <c r="A295" t="s">
        <v>1819</v>
      </c>
      <c r="B295" t="s">
        <v>1149</v>
      </c>
      <c r="C295" t="s">
        <v>1069</v>
      </c>
      <c r="D295" t="s">
        <v>1128</v>
      </c>
      <c r="E295" t="s">
        <v>1069</v>
      </c>
      <c r="F295" t="s">
        <v>1089</v>
      </c>
      <c r="G295" t="s">
        <v>1069</v>
      </c>
      <c r="H295" t="s">
        <v>1820</v>
      </c>
      <c r="I295" t="s">
        <v>1069</v>
      </c>
    </row>
    <row r="296" spans="1:9">
      <c r="A296" t="s">
        <v>1821</v>
      </c>
      <c r="B296" t="s">
        <v>1152</v>
      </c>
      <c r="C296" t="s">
        <v>1069</v>
      </c>
      <c r="D296" t="s">
        <v>1143</v>
      </c>
      <c r="E296" t="s">
        <v>1069</v>
      </c>
      <c r="F296" t="s">
        <v>1079</v>
      </c>
      <c r="G296" t="s">
        <v>1069</v>
      </c>
      <c r="H296" t="s">
        <v>1822</v>
      </c>
      <c r="I296" t="s">
        <v>1069</v>
      </c>
    </row>
    <row r="297" spans="1:9">
      <c r="A297" t="s">
        <v>1823</v>
      </c>
      <c r="B297" t="s">
        <v>1152</v>
      </c>
      <c r="C297" t="s">
        <v>1069</v>
      </c>
      <c r="D297" t="s">
        <v>1136</v>
      </c>
      <c r="E297" t="s">
        <v>1069</v>
      </c>
      <c r="F297" t="s">
        <v>1129</v>
      </c>
      <c r="G297" t="s">
        <v>1069</v>
      </c>
      <c r="H297" t="s">
        <v>1824</v>
      </c>
      <c r="I297" t="s">
        <v>1069</v>
      </c>
    </row>
    <row r="298" spans="1:9">
      <c r="A298" t="s">
        <v>1825</v>
      </c>
      <c r="B298" t="s">
        <v>1152</v>
      </c>
      <c r="C298" t="s">
        <v>1069</v>
      </c>
      <c r="D298" t="s">
        <v>1136</v>
      </c>
      <c r="E298" t="s">
        <v>1069</v>
      </c>
      <c r="F298" t="s">
        <v>1113</v>
      </c>
      <c r="G298" t="s">
        <v>1069</v>
      </c>
      <c r="H298" t="s">
        <v>1826</v>
      </c>
      <c r="I298" t="s">
        <v>1069</v>
      </c>
    </row>
    <row r="299" spans="1:9">
      <c r="A299" t="s">
        <v>1827</v>
      </c>
      <c r="B299" t="s">
        <v>1152</v>
      </c>
      <c r="C299" t="s">
        <v>1069</v>
      </c>
      <c r="D299" t="s">
        <v>1128</v>
      </c>
      <c r="E299" t="s">
        <v>1069</v>
      </c>
      <c r="F299" t="s">
        <v>1079</v>
      </c>
      <c r="G299" t="s">
        <v>1069</v>
      </c>
      <c r="H299" t="s">
        <v>1828</v>
      </c>
      <c r="I299" t="s">
        <v>1069</v>
      </c>
    </row>
    <row r="300" spans="1:9">
      <c r="A300" t="s">
        <v>1829</v>
      </c>
      <c r="B300" t="s">
        <v>1128</v>
      </c>
      <c r="C300" t="s">
        <v>1069</v>
      </c>
      <c r="D300" t="s">
        <v>1113</v>
      </c>
      <c r="E300" t="s">
        <v>1069</v>
      </c>
      <c r="F300" t="s">
        <v>1079</v>
      </c>
      <c r="G300" t="s">
        <v>1069</v>
      </c>
      <c r="H300" t="s">
        <v>1830</v>
      </c>
      <c r="I300" t="s">
        <v>1069</v>
      </c>
    </row>
    <row r="301" spans="1:9">
      <c r="A301" t="s">
        <v>1831</v>
      </c>
      <c r="B301" t="s">
        <v>1102</v>
      </c>
      <c r="C301" t="s">
        <v>1069</v>
      </c>
      <c r="D301" t="s">
        <v>1310</v>
      </c>
      <c r="E301" t="s">
        <v>1069</v>
      </c>
      <c r="F301" t="s">
        <v>1084</v>
      </c>
      <c r="G301" t="s">
        <v>1069</v>
      </c>
      <c r="H301" t="s">
        <v>1832</v>
      </c>
      <c r="I301" t="s">
        <v>1069</v>
      </c>
    </row>
    <row r="302" spans="1:9">
      <c r="A302" t="s">
        <v>1833</v>
      </c>
      <c r="B302" t="s">
        <v>1102</v>
      </c>
      <c r="C302" t="s">
        <v>1069</v>
      </c>
      <c r="D302" t="s">
        <v>1310</v>
      </c>
      <c r="E302" t="s">
        <v>1069</v>
      </c>
      <c r="F302" t="s">
        <v>1144</v>
      </c>
      <c r="G302" t="s">
        <v>1069</v>
      </c>
      <c r="H302" t="s">
        <v>1834</v>
      </c>
      <c r="I302" t="s">
        <v>1069</v>
      </c>
    </row>
    <row r="303" spans="1:9">
      <c r="A303" t="s">
        <v>1835</v>
      </c>
      <c r="B303" t="s">
        <v>1113</v>
      </c>
      <c r="C303" t="s">
        <v>1069</v>
      </c>
      <c r="D303" t="s">
        <v>1068</v>
      </c>
      <c r="E303" t="s">
        <v>1069</v>
      </c>
      <c r="F303" t="s">
        <v>1144</v>
      </c>
      <c r="G303" t="s">
        <v>1069</v>
      </c>
      <c r="H303" t="s">
        <v>1836</v>
      </c>
      <c r="I303" t="s">
        <v>1069</v>
      </c>
    </row>
    <row r="304" spans="1:9">
      <c r="A304" t="s">
        <v>1837</v>
      </c>
      <c r="B304" t="s">
        <v>1093</v>
      </c>
      <c r="C304" t="s">
        <v>1069</v>
      </c>
      <c r="D304" t="s">
        <v>1074</v>
      </c>
      <c r="E304" t="s">
        <v>1069</v>
      </c>
      <c r="F304" t="s">
        <v>1090</v>
      </c>
      <c r="G304" t="s">
        <v>1069</v>
      </c>
      <c r="H304" t="s">
        <v>1838</v>
      </c>
      <c r="I304" t="s">
        <v>1069</v>
      </c>
    </row>
    <row r="305" spans="1:9">
      <c r="A305" t="s">
        <v>1839</v>
      </c>
      <c r="B305" t="s">
        <v>1113</v>
      </c>
      <c r="C305" t="s">
        <v>1069</v>
      </c>
      <c r="D305" t="s">
        <v>1068</v>
      </c>
      <c r="E305" t="s">
        <v>1069</v>
      </c>
      <c r="F305" t="s">
        <v>1090</v>
      </c>
      <c r="G305" t="s">
        <v>1069</v>
      </c>
      <c r="H305" t="s">
        <v>1840</v>
      </c>
      <c r="I305" t="s">
        <v>1069</v>
      </c>
    </row>
    <row r="306" spans="1:9">
      <c r="A306" t="s">
        <v>1841</v>
      </c>
      <c r="B306" t="s">
        <v>1102</v>
      </c>
      <c r="C306" t="s">
        <v>1069</v>
      </c>
      <c r="D306" t="s">
        <v>1089</v>
      </c>
      <c r="E306" t="s">
        <v>1069</v>
      </c>
      <c r="F306" t="s">
        <v>1140</v>
      </c>
      <c r="G306" t="s">
        <v>1069</v>
      </c>
      <c r="H306" t="s">
        <v>1842</v>
      </c>
      <c r="I306" t="s">
        <v>1069</v>
      </c>
    </row>
    <row r="307" spans="1:9">
      <c r="A307" t="s">
        <v>1843</v>
      </c>
      <c r="B307" t="s">
        <v>1260</v>
      </c>
      <c r="C307" t="s">
        <v>1069</v>
      </c>
      <c r="D307" t="s">
        <v>1310</v>
      </c>
      <c r="E307" t="s">
        <v>1069</v>
      </c>
      <c r="F307" t="s">
        <v>1085</v>
      </c>
      <c r="G307" t="s">
        <v>1069</v>
      </c>
      <c r="H307" t="s">
        <v>1844</v>
      </c>
      <c r="I307" t="s">
        <v>1069</v>
      </c>
    </row>
    <row r="308" spans="1:9">
      <c r="A308" t="s">
        <v>1845</v>
      </c>
      <c r="B308" t="s">
        <v>1143</v>
      </c>
      <c r="C308" t="s">
        <v>1069</v>
      </c>
      <c r="D308" t="s">
        <v>1139</v>
      </c>
      <c r="E308" t="s">
        <v>1069</v>
      </c>
      <c r="F308" t="s">
        <v>1140</v>
      </c>
      <c r="G308" t="s">
        <v>1069</v>
      </c>
      <c r="H308" t="s">
        <v>1700</v>
      </c>
      <c r="I308" t="s">
        <v>1069</v>
      </c>
    </row>
    <row r="309" spans="1:9">
      <c r="A309" t="s">
        <v>1846</v>
      </c>
      <c r="B309" t="s">
        <v>1121</v>
      </c>
      <c r="C309" t="s">
        <v>1069</v>
      </c>
      <c r="D309" t="s">
        <v>1102</v>
      </c>
      <c r="E309" t="s">
        <v>1069</v>
      </c>
      <c r="F309" t="s">
        <v>1074</v>
      </c>
      <c r="G309" t="s">
        <v>1069</v>
      </c>
      <c r="H309" t="s">
        <v>1762</v>
      </c>
      <c r="I309" t="s">
        <v>1069</v>
      </c>
    </row>
    <row r="310" spans="1:9">
      <c r="A310" t="s">
        <v>1847</v>
      </c>
      <c r="B310" t="s">
        <v>1284</v>
      </c>
      <c r="C310" t="s">
        <v>1069</v>
      </c>
      <c r="D310" t="s">
        <v>1107</v>
      </c>
      <c r="E310" t="s">
        <v>1069</v>
      </c>
      <c r="F310" t="s">
        <v>1074</v>
      </c>
      <c r="G310" t="s">
        <v>1069</v>
      </c>
      <c r="H310" t="s">
        <v>1848</v>
      </c>
      <c r="I310" t="s">
        <v>1069</v>
      </c>
    </row>
    <row r="311" spans="1:9">
      <c r="A311" t="s">
        <v>1849</v>
      </c>
      <c r="B311" t="s">
        <v>1265</v>
      </c>
      <c r="C311" t="s">
        <v>1069</v>
      </c>
      <c r="D311" t="s">
        <v>1128</v>
      </c>
      <c r="E311" t="s">
        <v>1069</v>
      </c>
      <c r="F311" t="s">
        <v>1129</v>
      </c>
      <c r="G311" t="s">
        <v>1069</v>
      </c>
      <c r="H311" t="s">
        <v>1850</v>
      </c>
      <c r="I311" t="s">
        <v>1069</v>
      </c>
    </row>
    <row r="312" spans="1:9">
      <c r="A312" t="s">
        <v>1851</v>
      </c>
      <c r="B312" t="s">
        <v>1125</v>
      </c>
      <c r="C312" t="s">
        <v>1069</v>
      </c>
      <c r="D312" t="s">
        <v>1102</v>
      </c>
      <c r="E312" t="s">
        <v>1069</v>
      </c>
      <c r="F312" t="s">
        <v>1080</v>
      </c>
      <c r="G312" t="s">
        <v>1069</v>
      </c>
      <c r="H312" t="s">
        <v>1852</v>
      </c>
      <c r="I312" t="s">
        <v>1069</v>
      </c>
    </row>
    <row r="313" spans="1:9">
      <c r="A313" t="s">
        <v>1853</v>
      </c>
      <c r="B313" t="s">
        <v>1121</v>
      </c>
      <c r="C313" t="s">
        <v>1069</v>
      </c>
      <c r="D313" t="s">
        <v>1093</v>
      </c>
      <c r="E313" t="s">
        <v>1069</v>
      </c>
      <c r="F313" t="s">
        <v>1122</v>
      </c>
      <c r="G313" t="s">
        <v>1069</v>
      </c>
      <c r="H313" t="s">
        <v>1854</v>
      </c>
      <c r="I313" t="s">
        <v>1069</v>
      </c>
    </row>
    <row r="314" spans="1:9">
      <c r="A314" t="s">
        <v>1855</v>
      </c>
      <c r="B314" t="s">
        <v>1284</v>
      </c>
      <c r="C314" t="s">
        <v>1069</v>
      </c>
      <c r="D314" t="s">
        <v>1102</v>
      </c>
      <c r="E314" t="s">
        <v>1069</v>
      </c>
      <c r="F314" t="s">
        <v>1110</v>
      </c>
      <c r="G314" t="s">
        <v>1069</v>
      </c>
      <c r="H314" t="s">
        <v>1856</v>
      </c>
      <c r="I314" t="s">
        <v>1069</v>
      </c>
    </row>
    <row r="315" spans="1:9">
      <c r="A315" t="s">
        <v>1857</v>
      </c>
      <c r="B315" t="s">
        <v>1152</v>
      </c>
      <c r="C315" t="s">
        <v>1069</v>
      </c>
      <c r="D315" t="s">
        <v>1260</v>
      </c>
      <c r="E315" t="s">
        <v>1069</v>
      </c>
      <c r="F315" t="s">
        <v>1084</v>
      </c>
      <c r="G315" t="s">
        <v>1069</v>
      </c>
      <c r="H315" t="s">
        <v>1858</v>
      </c>
      <c r="I315" t="s">
        <v>1069</v>
      </c>
    </row>
    <row r="316" spans="1:9">
      <c r="A316" t="s">
        <v>1859</v>
      </c>
      <c r="B316" t="s">
        <v>1265</v>
      </c>
      <c r="C316" t="s">
        <v>1069</v>
      </c>
      <c r="D316" t="s">
        <v>1102</v>
      </c>
      <c r="E316" t="s">
        <v>1069</v>
      </c>
      <c r="F316" t="s">
        <v>1504</v>
      </c>
      <c r="G316" t="s">
        <v>1069</v>
      </c>
      <c r="H316" t="s">
        <v>1860</v>
      </c>
      <c r="I316" t="s">
        <v>1069</v>
      </c>
    </row>
    <row r="317" spans="1:9">
      <c r="A317" t="s">
        <v>1861</v>
      </c>
      <c r="B317" t="s">
        <v>1125</v>
      </c>
      <c r="C317" t="s">
        <v>1069</v>
      </c>
      <c r="D317" t="s">
        <v>1116</v>
      </c>
      <c r="E317" t="s">
        <v>1069</v>
      </c>
      <c r="F317" t="s">
        <v>1094</v>
      </c>
      <c r="G317" t="s">
        <v>1069</v>
      </c>
      <c r="H317" t="s">
        <v>1862</v>
      </c>
      <c r="I317" t="s">
        <v>1069</v>
      </c>
    </row>
    <row r="318" spans="1:9">
      <c r="A318" t="s">
        <v>1863</v>
      </c>
      <c r="B318" t="s">
        <v>1125</v>
      </c>
      <c r="C318" t="s">
        <v>1069</v>
      </c>
      <c r="D318" t="s">
        <v>1113</v>
      </c>
      <c r="E318" t="s">
        <v>1069</v>
      </c>
      <c r="F318" t="s">
        <v>1234</v>
      </c>
      <c r="G318" t="s">
        <v>1069</v>
      </c>
      <c r="H318" t="s">
        <v>1114</v>
      </c>
      <c r="I318" t="s">
        <v>1069</v>
      </c>
    </row>
    <row r="319" spans="1:9">
      <c r="A319" t="s">
        <v>1864</v>
      </c>
      <c r="B319" t="s">
        <v>1125</v>
      </c>
      <c r="C319" t="s">
        <v>1069</v>
      </c>
      <c r="D319" t="s">
        <v>1093</v>
      </c>
      <c r="E319" t="s">
        <v>1069</v>
      </c>
      <c r="F319" t="s">
        <v>1162</v>
      </c>
      <c r="G319" t="s">
        <v>1069</v>
      </c>
      <c r="H319" t="s">
        <v>1865</v>
      </c>
      <c r="I319" t="s">
        <v>1069</v>
      </c>
    </row>
    <row r="320" spans="1:9">
      <c r="A320" t="s">
        <v>1866</v>
      </c>
      <c r="B320" t="s">
        <v>1136</v>
      </c>
      <c r="C320" t="s">
        <v>1069</v>
      </c>
      <c r="D320" t="s">
        <v>1310</v>
      </c>
      <c r="E320" t="s">
        <v>1069</v>
      </c>
      <c r="F320" t="s">
        <v>1238</v>
      </c>
      <c r="G320" t="s">
        <v>1069</v>
      </c>
      <c r="H320" t="s">
        <v>1867</v>
      </c>
      <c r="I320" t="s">
        <v>1069</v>
      </c>
    </row>
    <row r="321" spans="1:9">
      <c r="A321" t="s">
        <v>1868</v>
      </c>
      <c r="B321" t="s">
        <v>1260</v>
      </c>
      <c r="C321" t="s">
        <v>1069</v>
      </c>
      <c r="D321" t="s">
        <v>1103</v>
      </c>
      <c r="E321" t="s">
        <v>1069</v>
      </c>
      <c r="F321" t="s">
        <v>1167</v>
      </c>
      <c r="G321" t="s">
        <v>1069</v>
      </c>
      <c r="H321" t="s">
        <v>1869</v>
      </c>
      <c r="I321" t="s">
        <v>1069</v>
      </c>
    </row>
    <row r="322" spans="1:9">
      <c r="A322" t="s">
        <v>1870</v>
      </c>
      <c r="B322" t="s">
        <v>1107</v>
      </c>
      <c r="C322" t="s">
        <v>1069</v>
      </c>
      <c r="D322" t="s">
        <v>1084</v>
      </c>
      <c r="E322" t="s">
        <v>1069</v>
      </c>
      <c r="F322" t="s">
        <v>1175</v>
      </c>
      <c r="G322" t="s">
        <v>1069</v>
      </c>
      <c r="H322" t="s">
        <v>1871</v>
      </c>
      <c r="I322" t="s">
        <v>1069</v>
      </c>
    </row>
    <row r="323" spans="1:9">
      <c r="A323" t="s">
        <v>1872</v>
      </c>
      <c r="B323" t="s">
        <v>1121</v>
      </c>
      <c r="C323" t="s">
        <v>1069</v>
      </c>
      <c r="D323" t="s">
        <v>1310</v>
      </c>
      <c r="E323" t="s">
        <v>1069</v>
      </c>
      <c r="F323" t="s">
        <v>1238</v>
      </c>
      <c r="G323" t="s">
        <v>1069</v>
      </c>
      <c r="H323" t="s">
        <v>1873</v>
      </c>
      <c r="I323" t="s">
        <v>1069</v>
      </c>
    </row>
    <row r="324" spans="1:9">
      <c r="A324" t="s">
        <v>1874</v>
      </c>
      <c r="B324" t="s">
        <v>1125</v>
      </c>
      <c r="C324" t="s">
        <v>1069</v>
      </c>
      <c r="D324" t="s">
        <v>1093</v>
      </c>
      <c r="E324" t="s">
        <v>1069</v>
      </c>
      <c r="F324" t="s">
        <v>1076</v>
      </c>
      <c r="G324" t="s">
        <v>1069</v>
      </c>
      <c r="H324" t="s">
        <v>1875</v>
      </c>
      <c r="I324" t="s">
        <v>1069</v>
      </c>
    </row>
    <row r="325" spans="1:9">
      <c r="A325" t="s">
        <v>1876</v>
      </c>
      <c r="B325" t="s">
        <v>1121</v>
      </c>
      <c r="C325" t="s">
        <v>1069</v>
      </c>
      <c r="D325" t="s">
        <v>1068</v>
      </c>
      <c r="E325" t="s">
        <v>1069</v>
      </c>
      <c r="F325" t="s">
        <v>1518</v>
      </c>
      <c r="G325" t="s">
        <v>1069</v>
      </c>
      <c r="H325" t="s">
        <v>1877</v>
      </c>
      <c r="I325" t="s">
        <v>1069</v>
      </c>
    </row>
    <row r="326" spans="1:9">
      <c r="A326" t="s">
        <v>1878</v>
      </c>
      <c r="B326" t="s">
        <v>1260</v>
      </c>
      <c r="C326" t="s">
        <v>1069</v>
      </c>
      <c r="D326" t="s">
        <v>1144</v>
      </c>
      <c r="E326" t="s">
        <v>1069</v>
      </c>
      <c r="F326" t="s">
        <v>1296</v>
      </c>
      <c r="G326" t="s">
        <v>1069</v>
      </c>
      <c r="H326" t="s">
        <v>1879</v>
      </c>
      <c r="I326" t="s">
        <v>1069</v>
      </c>
    </row>
    <row r="327" spans="1:9">
      <c r="A327" t="s">
        <v>1880</v>
      </c>
      <c r="B327" t="s">
        <v>1116</v>
      </c>
      <c r="C327" t="s">
        <v>1069</v>
      </c>
      <c r="D327" t="s">
        <v>1504</v>
      </c>
      <c r="E327" t="s">
        <v>1069</v>
      </c>
      <c r="F327" t="s">
        <v>1535</v>
      </c>
      <c r="G327" t="s">
        <v>1069</v>
      </c>
      <c r="H327" t="s">
        <v>1881</v>
      </c>
      <c r="I327" t="s">
        <v>1069</v>
      </c>
    </row>
    <row r="328" spans="1:9">
      <c r="A328" t="s">
        <v>1882</v>
      </c>
      <c r="B328" t="s">
        <v>1116</v>
      </c>
      <c r="C328" t="s">
        <v>1069</v>
      </c>
      <c r="D328" t="s">
        <v>1504</v>
      </c>
      <c r="E328" t="s">
        <v>1069</v>
      </c>
      <c r="F328" t="s">
        <v>1883</v>
      </c>
      <c r="G328" t="s">
        <v>1069</v>
      </c>
      <c r="H328" t="s">
        <v>1884</v>
      </c>
      <c r="I328" t="s">
        <v>1069</v>
      </c>
    </row>
    <row r="329" spans="1:9">
      <c r="A329" t="s">
        <v>1885</v>
      </c>
      <c r="B329" t="s">
        <v>1260</v>
      </c>
      <c r="C329" t="s">
        <v>1069</v>
      </c>
      <c r="D329" t="s">
        <v>1090</v>
      </c>
      <c r="E329" t="s">
        <v>1069</v>
      </c>
      <c r="F329" t="s">
        <v>1574</v>
      </c>
      <c r="G329" t="s">
        <v>1069</v>
      </c>
      <c r="H329" t="s">
        <v>1886</v>
      </c>
      <c r="I329" t="s">
        <v>1069</v>
      </c>
    </row>
    <row r="330" spans="1:9">
      <c r="A330" t="s">
        <v>1887</v>
      </c>
      <c r="B330" t="s">
        <v>1128</v>
      </c>
      <c r="C330" t="s">
        <v>1069</v>
      </c>
      <c r="D330" t="s">
        <v>1084</v>
      </c>
      <c r="E330" t="s">
        <v>1069</v>
      </c>
      <c r="F330" t="s">
        <v>1888</v>
      </c>
      <c r="G330" t="s">
        <v>1069</v>
      </c>
      <c r="H330" t="s">
        <v>1225</v>
      </c>
      <c r="I330" t="s">
        <v>1069</v>
      </c>
    </row>
    <row r="331" spans="1:9">
      <c r="A331" t="s">
        <v>1889</v>
      </c>
      <c r="B331" t="s">
        <v>1143</v>
      </c>
      <c r="C331" t="s">
        <v>1069</v>
      </c>
      <c r="D331" t="s">
        <v>1436</v>
      </c>
      <c r="E331" t="s">
        <v>1069</v>
      </c>
      <c r="F331" t="s">
        <v>1296</v>
      </c>
      <c r="G331" t="s">
        <v>1069</v>
      </c>
      <c r="H331" t="s">
        <v>1890</v>
      </c>
      <c r="I331" t="s">
        <v>1069</v>
      </c>
    </row>
    <row r="332" spans="1:9">
      <c r="A332" t="s">
        <v>1891</v>
      </c>
      <c r="B332" t="s">
        <v>1125</v>
      </c>
      <c r="C332" t="s">
        <v>1069</v>
      </c>
      <c r="D332" t="s">
        <v>1089</v>
      </c>
      <c r="E332" t="s">
        <v>1069</v>
      </c>
      <c r="F332" t="s">
        <v>1187</v>
      </c>
      <c r="G332" t="s">
        <v>1069</v>
      </c>
      <c r="H332" t="s">
        <v>1892</v>
      </c>
      <c r="I332" t="s">
        <v>1069</v>
      </c>
    </row>
    <row r="333" spans="1:9">
      <c r="A333" t="s">
        <v>1893</v>
      </c>
      <c r="B333" t="s">
        <v>1143</v>
      </c>
      <c r="C333" t="s">
        <v>1069</v>
      </c>
      <c r="D333" t="s">
        <v>1079</v>
      </c>
      <c r="E333" t="s">
        <v>1069</v>
      </c>
      <c r="F333" t="s">
        <v>1199</v>
      </c>
      <c r="G333" t="s">
        <v>1069</v>
      </c>
      <c r="H333" t="s">
        <v>1894</v>
      </c>
      <c r="I333" t="s">
        <v>1069</v>
      </c>
    </row>
    <row r="334" spans="1:9">
      <c r="A334" t="s">
        <v>1895</v>
      </c>
      <c r="B334" t="s">
        <v>1136</v>
      </c>
      <c r="C334" t="s">
        <v>1069</v>
      </c>
      <c r="D334" t="s">
        <v>1310</v>
      </c>
      <c r="E334" t="s">
        <v>1069</v>
      </c>
      <c r="F334" t="s">
        <v>1081</v>
      </c>
      <c r="G334" t="s">
        <v>1069</v>
      </c>
      <c r="H334" t="s">
        <v>1794</v>
      </c>
      <c r="I334" t="s">
        <v>1069</v>
      </c>
    </row>
    <row r="335" spans="1:9">
      <c r="A335" t="s">
        <v>1896</v>
      </c>
      <c r="B335" t="s">
        <v>1265</v>
      </c>
      <c r="C335" t="s">
        <v>1069</v>
      </c>
      <c r="D335" t="s">
        <v>1113</v>
      </c>
      <c r="E335" t="s">
        <v>1069</v>
      </c>
      <c r="F335" t="s">
        <v>1534</v>
      </c>
      <c r="G335" t="s">
        <v>1069</v>
      </c>
      <c r="H335" t="s">
        <v>1897</v>
      </c>
      <c r="I335" t="s">
        <v>1069</v>
      </c>
    </row>
    <row r="336" spans="1:9">
      <c r="A336" t="s">
        <v>1898</v>
      </c>
      <c r="B336" t="s">
        <v>1255</v>
      </c>
      <c r="C336" t="s">
        <v>1069</v>
      </c>
      <c r="D336" t="s">
        <v>1107</v>
      </c>
      <c r="E336" t="s">
        <v>1069</v>
      </c>
      <c r="F336" t="s">
        <v>1223</v>
      </c>
      <c r="G336" t="s">
        <v>1069</v>
      </c>
      <c r="H336" t="s">
        <v>1899</v>
      </c>
      <c r="I336" t="s">
        <v>1069</v>
      </c>
    </row>
    <row r="337" spans="1:9">
      <c r="A337" t="s">
        <v>1900</v>
      </c>
      <c r="B337" t="s">
        <v>1255</v>
      </c>
      <c r="C337" t="s">
        <v>1069</v>
      </c>
      <c r="D337" t="s">
        <v>1260</v>
      </c>
      <c r="E337" t="s">
        <v>1069</v>
      </c>
      <c r="F337" t="s">
        <v>1162</v>
      </c>
      <c r="G337" t="s">
        <v>1069</v>
      </c>
      <c r="H337" t="s">
        <v>1746</v>
      </c>
      <c r="I337" t="s">
        <v>1069</v>
      </c>
    </row>
    <row r="338" spans="1:9">
      <c r="A338" t="s">
        <v>1901</v>
      </c>
      <c r="B338" t="s">
        <v>1149</v>
      </c>
      <c r="C338" t="s">
        <v>1069</v>
      </c>
      <c r="D338" t="s">
        <v>1102</v>
      </c>
      <c r="E338" t="s">
        <v>1069</v>
      </c>
      <c r="F338" t="s">
        <v>1071</v>
      </c>
      <c r="G338" t="s">
        <v>1069</v>
      </c>
      <c r="H338" t="s">
        <v>1567</v>
      </c>
      <c r="I338" t="s">
        <v>1069</v>
      </c>
    </row>
    <row r="339" spans="1:9">
      <c r="A339" t="s">
        <v>1902</v>
      </c>
      <c r="B339" t="s">
        <v>1284</v>
      </c>
      <c r="C339" t="s">
        <v>1069</v>
      </c>
      <c r="D339" t="s">
        <v>1074</v>
      </c>
      <c r="E339" t="s">
        <v>1069</v>
      </c>
      <c r="F339" t="s">
        <v>1527</v>
      </c>
      <c r="G339" t="s">
        <v>1069</v>
      </c>
      <c r="H339" t="s">
        <v>1903</v>
      </c>
      <c r="I339" t="s">
        <v>1069</v>
      </c>
    </row>
    <row r="340" spans="1:9">
      <c r="A340" t="s">
        <v>1904</v>
      </c>
      <c r="B340" t="s">
        <v>1265</v>
      </c>
      <c r="C340" t="s">
        <v>1069</v>
      </c>
      <c r="D340" t="s">
        <v>1436</v>
      </c>
      <c r="E340" t="s">
        <v>1069</v>
      </c>
      <c r="F340" t="s">
        <v>1905</v>
      </c>
      <c r="G340" t="s">
        <v>1069</v>
      </c>
      <c r="H340" t="s">
        <v>1906</v>
      </c>
      <c r="I340" t="s">
        <v>1069</v>
      </c>
    </row>
    <row r="341" spans="1:9">
      <c r="A341" t="s">
        <v>1907</v>
      </c>
      <c r="B341" t="s">
        <v>1152</v>
      </c>
      <c r="C341" t="s">
        <v>1069</v>
      </c>
      <c r="D341" t="s">
        <v>1089</v>
      </c>
      <c r="E341" t="s">
        <v>1069</v>
      </c>
      <c r="F341" t="s">
        <v>1192</v>
      </c>
      <c r="G341" t="s">
        <v>1069</v>
      </c>
      <c r="H341" t="s">
        <v>1577</v>
      </c>
      <c r="I341" t="s">
        <v>1069</v>
      </c>
    </row>
    <row r="342" spans="1:9">
      <c r="A342" t="s">
        <v>1908</v>
      </c>
      <c r="B342" t="s">
        <v>1152</v>
      </c>
      <c r="C342" t="s">
        <v>1069</v>
      </c>
      <c r="D342" t="s">
        <v>1310</v>
      </c>
      <c r="E342" t="s">
        <v>1069</v>
      </c>
      <c r="F342" t="s">
        <v>1196</v>
      </c>
      <c r="G342" t="s">
        <v>1069</v>
      </c>
      <c r="H342" t="s">
        <v>1909</v>
      </c>
      <c r="I342" t="s">
        <v>1069</v>
      </c>
    </row>
    <row r="343" spans="1:9">
      <c r="A343" t="s">
        <v>1910</v>
      </c>
      <c r="B343" t="s">
        <v>1255</v>
      </c>
      <c r="C343" t="s">
        <v>1069</v>
      </c>
      <c r="D343" t="s">
        <v>1113</v>
      </c>
      <c r="E343" t="s">
        <v>1069</v>
      </c>
      <c r="F343" t="s">
        <v>1911</v>
      </c>
      <c r="G343" t="s">
        <v>1069</v>
      </c>
      <c r="H343" t="s">
        <v>1912</v>
      </c>
      <c r="I343" t="s">
        <v>1069</v>
      </c>
    </row>
    <row r="344" spans="1:9">
      <c r="A344" t="s">
        <v>1913</v>
      </c>
      <c r="B344" t="s">
        <v>1259</v>
      </c>
      <c r="C344" t="s">
        <v>1069</v>
      </c>
      <c r="D344" t="s">
        <v>1128</v>
      </c>
      <c r="E344" t="s">
        <v>1069</v>
      </c>
      <c r="F344" t="s">
        <v>1247</v>
      </c>
      <c r="G344" t="s">
        <v>1069</v>
      </c>
      <c r="H344" t="s">
        <v>1914</v>
      </c>
      <c r="I344" t="s">
        <v>1502</v>
      </c>
    </row>
    <row r="345" spans="1:9">
      <c r="A345" t="s">
        <v>1915</v>
      </c>
      <c r="B345" t="s">
        <v>1488</v>
      </c>
      <c r="C345" t="s">
        <v>1069</v>
      </c>
      <c r="D345" t="s">
        <v>1136</v>
      </c>
      <c r="E345" t="s">
        <v>1069</v>
      </c>
      <c r="F345" t="s">
        <v>1159</v>
      </c>
      <c r="G345" t="s">
        <v>1069</v>
      </c>
      <c r="H345" t="s">
        <v>1598</v>
      </c>
      <c r="I345" t="s">
        <v>1069</v>
      </c>
    </row>
    <row r="346" spans="1:9">
      <c r="A346" t="s">
        <v>1916</v>
      </c>
      <c r="B346" t="s">
        <v>1488</v>
      </c>
      <c r="C346" t="s">
        <v>1069</v>
      </c>
      <c r="D346" t="s">
        <v>1143</v>
      </c>
      <c r="E346" t="s">
        <v>1069</v>
      </c>
      <c r="F346" t="s">
        <v>1166</v>
      </c>
      <c r="G346" t="s">
        <v>1069</v>
      </c>
      <c r="H346" t="s">
        <v>1917</v>
      </c>
      <c r="I346" t="s">
        <v>1069</v>
      </c>
    </row>
    <row r="347" spans="1:9">
      <c r="A347" t="s">
        <v>1918</v>
      </c>
      <c r="B347" t="s">
        <v>1259</v>
      </c>
      <c r="C347" t="s">
        <v>1069</v>
      </c>
      <c r="D347" t="s">
        <v>1113</v>
      </c>
      <c r="E347" t="s">
        <v>1069</v>
      </c>
      <c r="F347" t="s">
        <v>1414</v>
      </c>
      <c r="G347" t="s">
        <v>1069</v>
      </c>
      <c r="H347" t="s">
        <v>1919</v>
      </c>
      <c r="I347" t="s">
        <v>1069</v>
      </c>
    </row>
    <row r="348" spans="1:9">
      <c r="A348" t="s">
        <v>1920</v>
      </c>
      <c r="B348" t="s">
        <v>1149</v>
      </c>
      <c r="C348" t="s">
        <v>1069</v>
      </c>
      <c r="D348" t="s">
        <v>1079</v>
      </c>
      <c r="E348" t="s">
        <v>1069</v>
      </c>
      <c r="F348" t="s">
        <v>1883</v>
      </c>
      <c r="G348" t="s">
        <v>1069</v>
      </c>
      <c r="H348" t="s">
        <v>1921</v>
      </c>
      <c r="I348" t="s">
        <v>1069</v>
      </c>
    </row>
    <row r="349" spans="1:9">
      <c r="A349" t="s">
        <v>1922</v>
      </c>
      <c r="B349" t="s">
        <v>1259</v>
      </c>
      <c r="C349" t="s">
        <v>1069</v>
      </c>
      <c r="D349" t="s">
        <v>1260</v>
      </c>
      <c r="E349" t="s">
        <v>1069</v>
      </c>
      <c r="F349" t="s">
        <v>1247</v>
      </c>
      <c r="G349" t="s">
        <v>1069</v>
      </c>
      <c r="H349" t="s">
        <v>1923</v>
      </c>
      <c r="I349" t="s">
        <v>1069</v>
      </c>
    </row>
    <row r="350" spans="1:9">
      <c r="A350" t="s">
        <v>1924</v>
      </c>
      <c r="B350" t="s">
        <v>1488</v>
      </c>
      <c r="C350" t="s">
        <v>1069</v>
      </c>
      <c r="D350" t="s">
        <v>1136</v>
      </c>
      <c r="E350" t="s">
        <v>1069</v>
      </c>
      <c r="F350" t="s">
        <v>1595</v>
      </c>
      <c r="G350" t="s">
        <v>1069</v>
      </c>
      <c r="H350" t="s">
        <v>1925</v>
      </c>
      <c r="I350" t="s">
        <v>1069</v>
      </c>
    </row>
    <row r="351" spans="1:9">
      <c r="A351" t="s">
        <v>1926</v>
      </c>
      <c r="B351" t="s">
        <v>1488</v>
      </c>
      <c r="C351" t="s">
        <v>1069</v>
      </c>
      <c r="D351" t="s">
        <v>1143</v>
      </c>
      <c r="E351" t="s">
        <v>1069</v>
      </c>
      <c r="F351" t="s">
        <v>1086</v>
      </c>
      <c r="G351" t="s">
        <v>1069</v>
      </c>
      <c r="H351" t="s">
        <v>1927</v>
      </c>
      <c r="I351" t="s">
        <v>1069</v>
      </c>
    </row>
    <row r="352" spans="1:9">
      <c r="A352" t="s">
        <v>1928</v>
      </c>
      <c r="B352" t="s">
        <v>1259</v>
      </c>
      <c r="C352" t="s">
        <v>1069</v>
      </c>
      <c r="D352" t="s">
        <v>1128</v>
      </c>
      <c r="E352" t="s">
        <v>1069</v>
      </c>
      <c r="F352" t="s">
        <v>1238</v>
      </c>
      <c r="G352" t="s">
        <v>1069</v>
      </c>
      <c r="H352" t="s">
        <v>1929</v>
      </c>
      <c r="I352" t="s">
        <v>1069</v>
      </c>
    </row>
    <row r="353" spans="1:9">
      <c r="A353" t="s">
        <v>1930</v>
      </c>
      <c r="B353" t="s">
        <v>1259</v>
      </c>
      <c r="C353" t="s">
        <v>1069</v>
      </c>
      <c r="D353" t="s">
        <v>1136</v>
      </c>
      <c r="E353" t="s">
        <v>1069</v>
      </c>
      <c r="F353" t="s">
        <v>1242</v>
      </c>
      <c r="G353" t="s">
        <v>1069</v>
      </c>
      <c r="H353" t="s">
        <v>1931</v>
      </c>
      <c r="I353" t="s">
        <v>1069</v>
      </c>
    </row>
    <row r="354" spans="1:9">
      <c r="A354" t="s">
        <v>1932</v>
      </c>
      <c r="B354" t="s">
        <v>1255</v>
      </c>
      <c r="C354" t="s">
        <v>1069</v>
      </c>
      <c r="D354" t="s">
        <v>1102</v>
      </c>
      <c r="E354" t="s">
        <v>1069</v>
      </c>
      <c r="F354" t="s">
        <v>1317</v>
      </c>
      <c r="G354" t="s">
        <v>1069</v>
      </c>
      <c r="H354" t="s">
        <v>1800</v>
      </c>
      <c r="I354" t="s">
        <v>1069</v>
      </c>
    </row>
    <row r="355" spans="1:9">
      <c r="A355" t="s">
        <v>1933</v>
      </c>
      <c r="B355" t="s">
        <v>1259</v>
      </c>
      <c r="C355" t="s">
        <v>1069</v>
      </c>
      <c r="D355" t="s">
        <v>1143</v>
      </c>
      <c r="E355" t="s">
        <v>1069</v>
      </c>
      <c r="F355" t="s">
        <v>1227</v>
      </c>
      <c r="G355" t="s">
        <v>1069</v>
      </c>
      <c r="H355" t="s">
        <v>1783</v>
      </c>
      <c r="I355" t="s">
        <v>1069</v>
      </c>
    </row>
    <row r="356" spans="1:9">
      <c r="A356" t="s">
        <v>1934</v>
      </c>
      <c r="B356" t="s">
        <v>1259</v>
      </c>
      <c r="C356" t="s">
        <v>1069</v>
      </c>
      <c r="D356" t="s">
        <v>1143</v>
      </c>
      <c r="E356" t="s">
        <v>1069</v>
      </c>
      <c r="F356" t="s">
        <v>1223</v>
      </c>
      <c r="G356" t="s">
        <v>1069</v>
      </c>
      <c r="H356" t="s">
        <v>1794</v>
      </c>
      <c r="I356" t="s">
        <v>1069</v>
      </c>
    </row>
    <row r="357" spans="1:9">
      <c r="A357" t="s">
        <v>1935</v>
      </c>
      <c r="B357" t="s">
        <v>1259</v>
      </c>
      <c r="C357" t="s">
        <v>1069</v>
      </c>
      <c r="D357" t="s">
        <v>1136</v>
      </c>
      <c r="E357" t="s">
        <v>1069</v>
      </c>
      <c r="F357" t="s">
        <v>1320</v>
      </c>
      <c r="G357" t="s">
        <v>1069</v>
      </c>
      <c r="H357" t="s">
        <v>1936</v>
      </c>
      <c r="I357" t="s">
        <v>1069</v>
      </c>
    </row>
    <row r="358" spans="1:9">
      <c r="A358" t="s">
        <v>1937</v>
      </c>
      <c r="B358" t="s">
        <v>1270</v>
      </c>
      <c r="C358" t="s">
        <v>1069</v>
      </c>
      <c r="D358" t="s">
        <v>1107</v>
      </c>
      <c r="E358" t="s">
        <v>1069</v>
      </c>
      <c r="F358" t="s">
        <v>1285</v>
      </c>
      <c r="G358" t="s">
        <v>1069</v>
      </c>
      <c r="H358" t="s">
        <v>1938</v>
      </c>
      <c r="I358" t="s">
        <v>1069</v>
      </c>
    </row>
    <row r="359" spans="1:9">
      <c r="A359" t="s">
        <v>1939</v>
      </c>
      <c r="B359" t="s">
        <v>1255</v>
      </c>
      <c r="C359" t="s">
        <v>1069</v>
      </c>
      <c r="D359" t="s">
        <v>1116</v>
      </c>
      <c r="E359" t="s">
        <v>1069</v>
      </c>
      <c r="F359" t="s">
        <v>1184</v>
      </c>
      <c r="G359" t="s">
        <v>1069</v>
      </c>
      <c r="H359" t="s">
        <v>1940</v>
      </c>
      <c r="I359" t="s">
        <v>1069</v>
      </c>
    </row>
    <row r="360" spans="1:9">
      <c r="A360" t="s">
        <v>1941</v>
      </c>
      <c r="B360" t="s">
        <v>1270</v>
      </c>
      <c r="C360" t="s">
        <v>1069</v>
      </c>
      <c r="D360" t="s">
        <v>1093</v>
      </c>
      <c r="E360" t="s">
        <v>1069</v>
      </c>
      <c r="F360" t="s">
        <v>1191</v>
      </c>
      <c r="G360" t="s">
        <v>1069</v>
      </c>
      <c r="H360" t="s">
        <v>1421</v>
      </c>
      <c r="I360" t="s">
        <v>1069</v>
      </c>
    </row>
    <row r="361" spans="1:9">
      <c r="A361" t="s">
        <v>1942</v>
      </c>
      <c r="B361" t="s">
        <v>1284</v>
      </c>
      <c r="C361" t="s">
        <v>1069</v>
      </c>
      <c r="D361" t="s">
        <v>1310</v>
      </c>
      <c r="E361" t="s">
        <v>1069</v>
      </c>
      <c r="F361" t="s">
        <v>1579</v>
      </c>
      <c r="G361" t="s">
        <v>1069</v>
      </c>
      <c r="H361" t="s">
        <v>1943</v>
      </c>
      <c r="I361" t="s">
        <v>1069</v>
      </c>
    </row>
    <row r="362" spans="1:9">
      <c r="A362" t="s">
        <v>1944</v>
      </c>
      <c r="B362" t="s">
        <v>1093</v>
      </c>
      <c r="C362" t="s">
        <v>1069</v>
      </c>
      <c r="D362" t="s">
        <v>1090</v>
      </c>
      <c r="E362" t="s">
        <v>1069</v>
      </c>
      <c r="F362" t="s">
        <v>1911</v>
      </c>
      <c r="G362" t="s">
        <v>1069</v>
      </c>
      <c r="H362" t="s">
        <v>1945</v>
      </c>
      <c r="I362" t="s">
        <v>1069</v>
      </c>
    </row>
    <row r="363" spans="1:9">
      <c r="A363" t="s">
        <v>1946</v>
      </c>
      <c r="B363" t="s">
        <v>1102</v>
      </c>
      <c r="C363" t="s">
        <v>1069</v>
      </c>
      <c r="D363" t="s">
        <v>1098</v>
      </c>
      <c r="E363" t="s">
        <v>1069</v>
      </c>
      <c r="F363" t="s">
        <v>1317</v>
      </c>
      <c r="G363" t="s">
        <v>1069</v>
      </c>
      <c r="H363" t="s">
        <v>1947</v>
      </c>
      <c r="I363" t="s">
        <v>1069</v>
      </c>
    </row>
    <row r="364" spans="1:9">
      <c r="A364" t="s">
        <v>1948</v>
      </c>
      <c r="B364" t="s">
        <v>1089</v>
      </c>
      <c r="C364" t="s">
        <v>1069</v>
      </c>
      <c r="D364" t="s">
        <v>1070</v>
      </c>
      <c r="E364" t="s">
        <v>1069</v>
      </c>
      <c r="F364" t="s">
        <v>1527</v>
      </c>
      <c r="G364" t="s">
        <v>1069</v>
      </c>
      <c r="H364" t="s">
        <v>1949</v>
      </c>
      <c r="I364" t="s">
        <v>1069</v>
      </c>
    </row>
    <row r="365" spans="1:9">
      <c r="A365" t="s">
        <v>1950</v>
      </c>
      <c r="B365" t="s">
        <v>1079</v>
      </c>
      <c r="C365" t="s">
        <v>1069</v>
      </c>
      <c r="D365" t="s">
        <v>1122</v>
      </c>
      <c r="E365" t="s">
        <v>1069</v>
      </c>
      <c r="F365" t="s">
        <v>1403</v>
      </c>
      <c r="G365" t="s">
        <v>1069</v>
      </c>
      <c r="H365" t="s">
        <v>1951</v>
      </c>
      <c r="I365" t="s">
        <v>1069</v>
      </c>
    </row>
    <row r="366" spans="1:9">
      <c r="A366" t="s">
        <v>1952</v>
      </c>
      <c r="B366" t="s">
        <v>1276</v>
      </c>
      <c r="C366" t="s">
        <v>1069</v>
      </c>
      <c r="D366" t="s">
        <v>1427</v>
      </c>
      <c r="E366" t="s">
        <v>1069</v>
      </c>
      <c r="F366" t="s">
        <v>1200</v>
      </c>
      <c r="G366" t="s">
        <v>1069</v>
      </c>
      <c r="H366" t="s">
        <v>1953</v>
      </c>
      <c r="I366" t="s">
        <v>1069</v>
      </c>
    </row>
    <row r="367" spans="1:9">
      <c r="A367" t="s">
        <v>1954</v>
      </c>
      <c r="B367" t="s">
        <v>1427</v>
      </c>
      <c r="C367" t="s">
        <v>1069</v>
      </c>
      <c r="D367" t="s">
        <v>1261</v>
      </c>
      <c r="E367" t="s">
        <v>1069</v>
      </c>
      <c r="F367" t="s">
        <v>1955</v>
      </c>
      <c r="G367" t="s">
        <v>1069</v>
      </c>
      <c r="H367" t="s">
        <v>1956</v>
      </c>
      <c r="I367" t="s">
        <v>1069</v>
      </c>
    </row>
    <row r="368" spans="1:9">
      <c r="A368" t="s">
        <v>1957</v>
      </c>
      <c r="B368" t="s">
        <v>1216</v>
      </c>
      <c r="C368" t="s">
        <v>1069</v>
      </c>
      <c r="D368" t="s">
        <v>1551</v>
      </c>
      <c r="E368" t="s">
        <v>1069</v>
      </c>
      <c r="F368" t="s">
        <v>1332</v>
      </c>
      <c r="G368" t="s">
        <v>1069</v>
      </c>
      <c r="H368" t="s">
        <v>1958</v>
      </c>
      <c r="I368" t="s">
        <v>1069</v>
      </c>
    </row>
    <row r="369" spans="1:9">
      <c r="A369" t="s">
        <v>1959</v>
      </c>
      <c r="B369" t="s">
        <v>1217</v>
      </c>
      <c r="C369" t="s">
        <v>1069</v>
      </c>
      <c r="D369" t="s">
        <v>1521</v>
      </c>
      <c r="E369" t="s">
        <v>1069</v>
      </c>
      <c r="F369" t="s">
        <v>1960</v>
      </c>
      <c r="G369" t="s">
        <v>1069</v>
      </c>
      <c r="H369" t="s">
        <v>1961</v>
      </c>
      <c r="I369" t="s">
        <v>1069</v>
      </c>
    </row>
    <row r="370" spans="1:9">
      <c r="A370" t="s">
        <v>1962</v>
      </c>
      <c r="B370" t="s">
        <v>1963</v>
      </c>
      <c r="C370" t="s">
        <v>1069</v>
      </c>
      <c r="D370" t="s">
        <v>1964</v>
      </c>
      <c r="E370" t="s">
        <v>1069</v>
      </c>
      <c r="F370" t="s">
        <v>1965</v>
      </c>
      <c r="G370" t="s">
        <v>1069</v>
      </c>
      <c r="H370" t="s">
        <v>1966</v>
      </c>
      <c r="I370" t="s">
        <v>1069</v>
      </c>
    </row>
    <row r="371" spans="1:9">
      <c r="A371" t="s">
        <v>1967</v>
      </c>
      <c r="B371" t="s">
        <v>1261</v>
      </c>
      <c r="C371" t="s">
        <v>1069</v>
      </c>
      <c r="D371" t="s">
        <v>1176</v>
      </c>
      <c r="E371" t="s">
        <v>1069</v>
      </c>
      <c r="F371" t="s">
        <v>1329</v>
      </c>
      <c r="G371" t="s">
        <v>1069</v>
      </c>
      <c r="H371" t="s">
        <v>1968</v>
      </c>
      <c r="I371" t="s">
        <v>1069</v>
      </c>
    </row>
    <row r="372" spans="1:9">
      <c r="A372" t="s">
        <v>1969</v>
      </c>
      <c r="B372" t="s">
        <v>1223</v>
      </c>
      <c r="C372" t="s">
        <v>1069</v>
      </c>
      <c r="D372" t="s">
        <v>1328</v>
      </c>
      <c r="E372" t="s">
        <v>1069</v>
      </c>
      <c r="F372" t="s">
        <v>1296</v>
      </c>
      <c r="G372" t="s">
        <v>1069</v>
      </c>
      <c r="H372" t="s">
        <v>1970</v>
      </c>
      <c r="I372" t="s">
        <v>1069</v>
      </c>
    </row>
    <row r="373" spans="1:9">
      <c r="A373" t="s">
        <v>1971</v>
      </c>
      <c r="B373" t="s">
        <v>1090</v>
      </c>
      <c r="C373" t="s">
        <v>1069</v>
      </c>
      <c r="D373" t="s">
        <v>1095</v>
      </c>
      <c r="E373" t="s">
        <v>1069</v>
      </c>
      <c r="F373" t="s">
        <v>1579</v>
      </c>
      <c r="G373" t="s">
        <v>1069</v>
      </c>
      <c r="H373" t="s">
        <v>1972</v>
      </c>
      <c r="I373" t="s">
        <v>1069</v>
      </c>
    </row>
    <row r="374" spans="1:9">
      <c r="A374" t="s">
        <v>1973</v>
      </c>
      <c r="B374" t="s">
        <v>1266</v>
      </c>
      <c r="C374" t="s">
        <v>1069</v>
      </c>
      <c r="D374" t="s">
        <v>1595</v>
      </c>
      <c r="E374" t="s">
        <v>1069</v>
      </c>
      <c r="F374" t="s">
        <v>1551</v>
      </c>
      <c r="G374" t="s">
        <v>1069</v>
      </c>
      <c r="H374" t="s">
        <v>1974</v>
      </c>
      <c r="I374" t="s">
        <v>1069</v>
      </c>
    </row>
    <row r="375" spans="1:9">
      <c r="A375" t="s">
        <v>1975</v>
      </c>
      <c r="B375" t="s">
        <v>1976</v>
      </c>
      <c r="C375" t="s">
        <v>1069</v>
      </c>
      <c r="D375" t="s">
        <v>1329</v>
      </c>
      <c r="E375" t="s">
        <v>1069</v>
      </c>
      <c r="F375" t="s">
        <v>1977</v>
      </c>
      <c r="G375" t="s">
        <v>1069</v>
      </c>
      <c r="H375" t="s">
        <v>1978</v>
      </c>
      <c r="I375" t="s">
        <v>1069</v>
      </c>
    </row>
    <row r="376" spans="1:9">
      <c r="A376" t="s">
        <v>1979</v>
      </c>
      <c r="B376" t="s">
        <v>1521</v>
      </c>
      <c r="C376" t="s">
        <v>1069</v>
      </c>
      <c r="D376" t="s">
        <v>1358</v>
      </c>
      <c r="E376" t="s">
        <v>1069</v>
      </c>
      <c r="F376" t="s">
        <v>1980</v>
      </c>
      <c r="G376" t="s">
        <v>1069</v>
      </c>
      <c r="H376" t="s">
        <v>1981</v>
      </c>
      <c r="I376" t="s">
        <v>1069</v>
      </c>
    </row>
    <row r="377" spans="1:9">
      <c r="A377" t="s">
        <v>1982</v>
      </c>
      <c r="B377" t="s">
        <v>1983</v>
      </c>
      <c r="C377" t="s">
        <v>1069</v>
      </c>
      <c r="D377" t="s">
        <v>1984</v>
      </c>
      <c r="E377" t="s">
        <v>1069</v>
      </c>
      <c r="F377" t="s">
        <v>1985</v>
      </c>
      <c r="G377" t="s">
        <v>1069</v>
      </c>
      <c r="H377" t="s">
        <v>1986</v>
      </c>
      <c r="I377" t="s">
        <v>1069</v>
      </c>
    </row>
    <row r="378" spans="1:9">
      <c r="A378" t="s">
        <v>1987</v>
      </c>
      <c r="B378" t="s">
        <v>1391</v>
      </c>
      <c r="C378" t="s">
        <v>1069</v>
      </c>
      <c r="D378" t="s">
        <v>1362</v>
      </c>
      <c r="E378" t="s">
        <v>1069</v>
      </c>
      <c r="F378" t="s">
        <v>1988</v>
      </c>
      <c r="G378" t="s">
        <v>1069</v>
      </c>
      <c r="H378" t="s">
        <v>1989</v>
      </c>
      <c r="I378" t="s">
        <v>1069</v>
      </c>
    </row>
    <row r="379" spans="1:9">
      <c r="A379" t="s">
        <v>1990</v>
      </c>
      <c r="B379" t="s">
        <v>1531</v>
      </c>
      <c r="C379" t="s">
        <v>1069</v>
      </c>
      <c r="D379" t="s">
        <v>1373</v>
      </c>
      <c r="E379" t="s">
        <v>1069</v>
      </c>
      <c r="F379" t="s">
        <v>1991</v>
      </c>
      <c r="G379" t="s">
        <v>1069</v>
      </c>
      <c r="H379" t="s">
        <v>1992</v>
      </c>
      <c r="I379" t="s">
        <v>1069</v>
      </c>
    </row>
    <row r="380" spans="1:9">
      <c r="A380" t="s">
        <v>1993</v>
      </c>
      <c r="B380" t="s">
        <v>1373</v>
      </c>
      <c r="C380" t="s">
        <v>1069</v>
      </c>
      <c r="D380" t="s">
        <v>1370</v>
      </c>
      <c r="E380" t="s">
        <v>1069</v>
      </c>
      <c r="F380" t="s">
        <v>1965</v>
      </c>
      <c r="G380" t="s">
        <v>1069</v>
      </c>
      <c r="H380" t="s">
        <v>1994</v>
      </c>
      <c r="I380" t="s">
        <v>1069</v>
      </c>
    </row>
    <row r="381" spans="1:9">
      <c r="A381" t="s">
        <v>1995</v>
      </c>
      <c r="B381" t="s">
        <v>1996</v>
      </c>
      <c r="C381" t="s">
        <v>1069</v>
      </c>
      <c r="D381" t="s">
        <v>1997</v>
      </c>
      <c r="E381" t="s">
        <v>1069</v>
      </c>
      <c r="F381" t="s">
        <v>1998</v>
      </c>
      <c r="G381" t="s">
        <v>1069</v>
      </c>
      <c r="H381" t="s">
        <v>1999</v>
      </c>
      <c r="I381" t="s">
        <v>1069</v>
      </c>
    </row>
    <row r="382" spans="1:9">
      <c r="A382" t="s">
        <v>2000</v>
      </c>
      <c r="B382" t="s">
        <v>2001</v>
      </c>
      <c r="C382" t="s">
        <v>1069</v>
      </c>
      <c r="D382" t="s">
        <v>1373</v>
      </c>
      <c r="E382" t="s">
        <v>1069</v>
      </c>
      <c r="F382" t="s">
        <v>2002</v>
      </c>
      <c r="G382" t="s">
        <v>1069</v>
      </c>
      <c r="H382" t="s">
        <v>2003</v>
      </c>
      <c r="I382" t="s">
        <v>1069</v>
      </c>
    </row>
    <row r="383" spans="1:9">
      <c r="A383" t="s">
        <v>2004</v>
      </c>
      <c r="B383" t="s">
        <v>2005</v>
      </c>
      <c r="C383" t="s">
        <v>1069</v>
      </c>
      <c r="D383" t="s">
        <v>1384</v>
      </c>
      <c r="E383" t="s">
        <v>1069</v>
      </c>
      <c r="F383" t="s">
        <v>2002</v>
      </c>
      <c r="G383" t="s">
        <v>1069</v>
      </c>
      <c r="H383" t="s">
        <v>2006</v>
      </c>
      <c r="I383" t="s">
        <v>1069</v>
      </c>
    </row>
    <row r="384" spans="1:9">
      <c r="A384" t="s">
        <v>2007</v>
      </c>
      <c r="B384" t="s">
        <v>2008</v>
      </c>
      <c r="C384" t="s">
        <v>1069</v>
      </c>
      <c r="D384" t="s">
        <v>2009</v>
      </c>
      <c r="E384" t="s">
        <v>1069</v>
      </c>
      <c r="F384" t="s">
        <v>2010</v>
      </c>
      <c r="G384" t="s">
        <v>1069</v>
      </c>
      <c r="H384" t="s">
        <v>2011</v>
      </c>
      <c r="I384" t="s">
        <v>1069</v>
      </c>
    </row>
    <row r="385" spans="1:9">
      <c r="A385" t="s">
        <v>2012</v>
      </c>
      <c r="B385" t="s">
        <v>2013</v>
      </c>
      <c r="C385" t="s">
        <v>1069</v>
      </c>
      <c r="D385" t="s">
        <v>1337</v>
      </c>
      <c r="E385" t="s">
        <v>1069</v>
      </c>
      <c r="F385" t="s">
        <v>2014</v>
      </c>
      <c r="G385" t="s">
        <v>1069</v>
      </c>
      <c r="H385" t="s">
        <v>2015</v>
      </c>
      <c r="I385" t="s">
        <v>1069</v>
      </c>
    </row>
    <row r="386" spans="1:9">
      <c r="A386" t="s">
        <v>2016</v>
      </c>
      <c r="B386" t="s">
        <v>2017</v>
      </c>
      <c r="C386" t="s">
        <v>1069</v>
      </c>
      <c r="D386" t="s">
        <v>2018</v>
      </c>
      <c r="E386" t="s">
        <v>1069</v>
      </c>
      <c r="F386" t="s">
        <v>1342</v>
      </c>
      <c r="G386" t="s">
        <v>1069</v>
      </c>
      <c r="H386" t="s">
        <v>2019</v>
      </c>
      <c r="I386" t="s">
        <v>1069</v>
      </c>
    </row>
    <row r="387" spans="1:9">
      <c r="A387" t="s">
        <v>2020</v>
      </c>
      <c r="B387" t="s">
        <v>1378</v>
      </c>
      <c r="C387" t="s">
        <v>1069</v>
      </c>
      <c r="D387" t="s">
        <v>2021</v>
      </c>
      <c r="E387" t="s">
        <v>1069</v>
      </c>
      <c r="F387" t="s">
        <v>2022</v>
      </c>
      <c r="G387" t="s">
        <v>1069</v>
      </c>
      <c r="H387" t="s">
        <v>2023</v>
      </c>
      <c r="I387" t="s">
        <v>1069</v>
      </c>
    </row>
    <row r="388" spans="1:9">
      <c r="A388" t="s">
        <v>2024</v>
      </c>
      <c r="B388" t="s">
        <v>2025</v>
      </c>
      <c r="C388" t="s">
        <v>1069</v>
      </c>
      <c r="D388" t="s">
        <v>2026</v>
      </c>
      <c r="E388" t="s">
        <v>1069</v>
      </c>
      <c r="F388" t="s">
        <v>1373</v>
      </c>
      <c r="G388" t="s">
        <v>1069</v>
      </c>
      <c r="H388" t="s">
        <v>2027</v>
      </c>
      <c r="I388" t="s">
        <v>1069</v>
      </c>
    </row>
    <row r="389" spans="1:9">
      <c r="A389" t="s">
        <v>2028</v>
      </c>
      <c r="B389" t="s">
        <v>1404</v>
      </c>
      <c r="C389" t="s">
        <v>1069</v>
      </c>
      <c r="D389" t="s">
        <v>1217</v>
      </c>
      <c r="E389" t="s">
        <v>1069</v>
      </c>
      <c r="F389" t="s">
        <v>1357</v>
      </c>
      <c r="G389" t="s">
        <v>1069</v>
      </c>
      <c r="H389" t="s">
        <v>2029</v>
      </c>
      <c r="I389" t="s">
        <v>1069</v>
      </c>
    </row>
    <row r="390" spans="1:9">
      <c r="A390" t="s">
        <v>2030</v>
      </c>
      <c r="B390" t="s">
        <v>1579</v>
      </c>
      <c r="C390" t="s">
        <v>1069</v>
      </c>
      <c r="D390" t="s">
        <v>1518</v>
      </c>
      <c r="E390" t="s">
        <v>1069</v>
      </c>
      <c r="F390" t="s">
        <v>1235</v>
      </c>
      <c r="G390" t="s">
        <v>1069</v>
      </c>
      <c r="H390" t="s">
        <v>2031</v>
      </c>
      <c r="I390" t="s">
        <v>1069</v>
      </c>
    </row>
    <row r="391" spans="1:9">
      <c r="A391" t="s">
        <v>2032</v>
      </c>
      <c r="B391" t="s">
        <v>1247</v>
      </c>
      <c r="C391" t="s">
        <v>1069</v>
      </c>
      <c r="D391" t="s">
        <v>1317</v>
      </c>
      <c r="E391" t="s">
        <v>1069</v>
      </c>
      <c r="F391" t="s">
        <v>1414</v>
      </c>
      <c r="G391" t="s">
        <v>1069</v>
      </c>
      <c r="H391" t="s">
        <v>2033</v>
      </c>
      <c r="I391" t="s">
        <v>1069</v>
      </c>
    </row>
    <row r="392" spans="1:9">
      <c r="A392" t="s">
        <v>2034</v>
      </c>
      <c r="B392" t="s">
        <v>1179</v>
      </c>
      <c r="C392" t="s">
        <v>1069</v>
      </c>
      <c r="D392" t="s">
        <v>1256</v>
      </c>
      <c r="E392" t="s">
        <v>1069</v>
      </c>
      <c r="F392" t="s">
        <v>1176</v>
      </c>
      <c r="G392" t="s">
        <v>1069</v>
      </c>
      <c r="H392" t="s">
        <v>2035</v>
      </c>
      <c r="I392" t="s">
        <v>1069</v>
      </c>
    </row>
    <row r="393" spans="1:9">
      <c r="A393" t="s">
        <v>2036</v>
      </c>
      <c r="B393" t="s">
        <v>1208</v>
      </c>
      <c r="C393" t="s">
        <v>1069</v>
      </c>
      <c r="D393" t="s">
        <v>1239</v>
      </c>
      <c r="E393" t="s">
        <v>1069</v>
      </c>
      <c r="F393" t="s">
        <v>1220</v>
      </c>
      <c r="G393" t="s">
        <v>1069</v>
      </c>
      <c r="H393" t="s">
        <v>2037</v>
      </c>
      <c r="I393" t="s">
        <v>1069</v>
      </c>
    </row>
    <row r="394" spans="1:9">
      <c r="A394" t="s">
        <v>2038</v>
      </c>
      <c r="B394" t="s">
        <v>1888</v>
      </c>
      <c r="C394" t="s">
        <v>1069</v>
      </c>
      <c r="D394" t="s">
        <v>2039</v>
      </c>
      <c r="E394" t="s">
        <v>1069</v>
      </c>
      <c r="F394" t="s">
        <v>2040</v>
      </c>
      <c r="G394" t="s">
        <v>1069</v>
      </c>
      <c r="H394" t="s">
        <v>2041</v>
      </c>
      <c r="I394" t="s">
        <v>1069</v>
      </c>
    </row>
    <row r="395" spans="1:9">
      <c r="A395" t="s">
        <v>2042</v>
      </c>
      <c r="B395" t="s">
        <v>1207</v>
      </c>
      <c r="C395" t="s">
        <v>1069</v>
      </c>
      <c r="D395" t="s">
        <v>1181</v>
      </c>
      <c r="E395" t="s">
        <v>1069</v>
      </c>
      <c r="F395" t="s">
        <v>1888</v>
      </c>
      <c r="G395" t="s">
        <v>1069</v>
      </c>
      <c r="H395" t="s">
        <v>2043</v>
      </c>
      <c r="I395" t="s">
        <v>1069</v>
      </c>
    </row>
    <row r="396" spans="1:9">
      <c r="A396" t="s">
        <v>2044</v>
      </c>
      <c r="B396" t="s">
        <v>1579</v>
      </c>
      <c r="C396" t="s">
        <v>1069</v>
      </c>
      <c r="D396" t="s">
        <v>1573</v>
      </c>
      <c r="E396" t="s">
        <v>1069</v>
      </c>
      <c r="F396" t="s">
        <v>1551</v>
      </c>
      <c r="G396" t="s">
        <v>1069</v>
      </c>
      <c r="H396" t="s">
        <v>2045</v>
      </c>
      <c r="I396" t="s">
        <v>1069</v>
      </c>
    </row>
    <row r="397" spans="1:9">
      <c r="A397" t="s">
        <v>2046</v>
      </c>
      <c r="B397" t="s">
        <v>1163</v>
      </c>
      <c r="C397" t="s">
        <v>1069</v>
      </c>
      <c r="D397" t="s">
        <v>1414</v>
      </c>
      <c r="E397" t="s">
        <v>1069</v>
      </c>
      <c r="F397" t="s">
        <v>1883</v>
      </c>
      <c r="G397" t="s">
        <v>1069</v>
      </c>
      <c r="H397" t="s">
        <v>2047</v>
      </c>
      <c r="I397" t="s">
        <v>1069</v>
      </c>
    </row>
    <row r="398" spans="1:9">
      <c r="A398" t="s">
        <v>2048</v>
      </c>
      <c r="B398" t="s">
        <v>1573</v>
      </c>
      <c r="C398" t="s">
        <v>1069</v>
      </c>
      <c r="D398" t="s">
        <v>2049</v>
      </c>
      <c r="E398" t="s">
        <v>1069</v>
      </c>
      <c r="F398" t="s">
        <v>1583</v>
      </c>
      <c r="G398" t="s">
        <v>1069</v>
      </c>
      <c r="H398" t="s">
        <v>2050</v>
      </c>
      <c r="I398" t="s">
        <v>1069</v>
      </c>
    </row>
    <row r="399" spans="1:9">
      <c r="A399" t="s">
        <v>2051</v>
      </c>
      <c r="B399" t="s">
        <v>1163</v>
      </c>
      <c r="C399" t="s">
        <v>1069</v>
      </c>
      <c r="D399" t="s">
        <v>1181</v>
      </c>
      <c r="E399" t="s">
        <v>1069</v>
      </c>
      <c r="F399" t="s">
        <v>2052</v>
      </c>
      <c r="G399" t="s">
        <v>1069</v>
      </c>
      <c r="H399" t="s">
        <v>2053</v>
      </c>
      <c r="I399" t="s">
        <v>1069</v>
      </c>
    </row>
    <row r="400" spans="1:9">
      <c r="A400" t="s">
        <v>2054</v>
      </c>
      <c r="B400" t="s">
        <v>1518</v>
      </c>
      <c r="C400" t="s">
        <v>1069</v>
      </c>
      <c r="D400" t="s">
        <v>1527</v>
      </c>
      <c r="E400" t="s">
        <v>1069</v>
      </c>
      <c r="F400" t="s">
        <v>1220</v>
      </c>
      <c r="G400" t="s">
        <v>1069</v>
      </c>
      <c r="H400" t="s">
        <v>2055</v>
      </c>
      <c r="I400" t="s">
        <v>1069</v>
      </c>
    </row>
    <row r="401" spans="1:9">
      <c r="A401" t="s">
        <v>2056</v>
      </c>
      <c r="B401" t="s">
        <v>1317</v>
      </c>
      <c r="C401" t="s">
        <v>1069</v>
      </c>
      <c r="D401" t="s">
        <v>1176</v>
      </c>
      <c r="E401" t="s">
        <v>1069</v>
      </c>
      <c r="F401" t="s">
        <v>1548</v>
      </c>
      <c r="G401" t="s">
        <v>1069</v>
      </c>
      <c r="H401" t="s">
        <v>2057</v>
      </c>
      <c r="I401" t="s">
        <v>1069</v>
      </c>
    </row>
    <row r="402" spans="1:9">
      <c r="A402" t="s">
        <v>2058</v>
      </c>
      <c r="B402" t="s">
        <v>1256</v>
      </c>
      <c r="C402" t="s">
        <v>1069</v>
      </c>
      <c r="D402" t="s">
        <v>1207</v>
      </c>
      <c r="E402" t="s">
        <v>1069</v>
      </c>
      <c r="F402" t="s">
        <v>1235</v>
      </c>
      <c r="G402" t="s">
        <v>1069</v>
      </c>
      <c r="H402" t="s">
        <v>2059</v>
      </c>
      <c r="I402" t="s">
        <v>1069</v>
      </c>
    </row>
    <row r="403" spans="1:9">
      <c r="A403" t="s">
        <v>2060</v>
      </c>
      <c r="B403" t="s">
        <v>1086</v>
      </c>
      <c r="C403" t="s">
        <v>1069</v>
      </c>
      <c r="D403" t="s">
        <v>1184</v>
      </c>
      <c r="E403" t="s">
        <v>1069</v>
      </c>
      <c r="F403" t="s">
        <v>1168</v>
      </c>
      <c r="G403" t="s">
        <v>1069</v>
      </c>
      <c r="H403" t="s">
        <v>2061</v>
      </c>
      <c r="I403" t="s">
        <v>1069</v>
      </c>
    </row>
    <row r="404" spans="1:9">
      <c r="A404" t="s">
        <v>2062</v>
      </c>
      <c r="B404" t="s">
        <v>1070</v>
      </c>
      <c r="C404" t="s">
        <v>1069</v>
      </c>
      <c r="D404" t="s">
        <v>1099</v>
      </c>
      <c r="E404" t="s">
        <v>1069</v>
      </c>
      <c r="F404" t="s">
        <v>1317</v>
      </c>
      <c r="G404" t="s">
        <v>1069</v>
      </c>
      <c r="H404" t="s">
        <v>2063</v>
      </c>
      <c r="I404" t="s">
        <v>1069</v>
      </c>
    </row>
    <row r="405" spans="1:9">
      <c r="A405" t="s">
        <v>2064</v>
      </c>
      <c r="B405" t="s">
        <v>1436</v>
      </c>
      <c r="C405" t="s">
        <v>1069</v>
      </c>
      <c r="D405" t="s">
        <v>1104</v>
      </c>
      <c r="E405" t="s">
        <v>1069</v>
      </c>
      <c r="F405" t="s">
        <v>1247</v>
      </c>
      <c r="G405" t="s">
        <v>1069</v>
      </c>
      <c r="H405" t="s">
        <v>2065</v>
      </c>
      <c r="I405" t="s">
        <v>1069</v>
      </c>
    </row>
    <row r="406" spans="1:9">
      <c r="A406" t="s">
        <v>2066</v>
      </c>
      <c r="B406" t="s">
        <v>1310</v>
      </c>
      <c r="C406" t="s">
        <v>1069</v>
      </c>
      <c r="D406" t="s">
        <v>1085</v>
      </c>
      <c r="E406" t="s">
        <v>1069</v>
      </c>
      <c r="F406" t="s">
        <v>1181</v>
      </c>
      <c r="G406" t="s">
        <v>1069</v>
      </c>
      <c r="H406" t="s">
        <v>2067</v>
      </c>
      <c r="I406" t="s">
        <v>1069</v>
      </c>
    </row>
    <row r="407" spans="1:9">
      <c r="A407" t="s">
        <v>2068</v>
      </c>
      <c r="B407" t="s">
        <v>1107</v>
      </c>
      <c r="C407" t="s">
        <v>1069</v>
      </c>
      <c r="D407" t="s">
        <v>1504</v>
      </c>
      <c r="E407" t="s">
        <v>1069</v>
      </c>
      <c r="F407" t="s">
        <v>1168</v>
      </c>
      <c r="G407" t="s">
        <v>1069</v>
      </c>
      <c r="H407" t="s">
        <v>1789</v>
      </c>
      <c r="I407" t="s">
        <v>1069</v>
      </c>
    </row>
    <row r="408" spans="1:9">
      <c r="A408" t="s">
        <v>2069</v>
      </c>
      <c r="B408" t="s">
        <v>1102</v>
      </c>
      <c r="C408" t="s">
        <v>1069</v>
      </c>
      <c r="D408" t="s">
        <v>1085</v>
      </c>
      <c r="E408" t="s">
        <v>1069</v>
      </c>
      <c r="F408" t="s">
        <v>1216</v>
      </c>
      <c r="G408" t="s">
        <v>1069</v>
      </c>
      <c r="H408" t="s">
        <v>2070</v>
      </c>
      <c r="I408" t="s">
        <v>1069</v>
      </c>
    </row>
    <row r="409" spans="1:9">
      <c r="A409" t="s">
        <v>2071</v>
      </c>
      <c r="B409" t="s">
        <v>1143</v>
      </c>
      <c r="C409" t="s">
        <v>1069</v>
      </c>
      <c r="D409" t="s">
        <v>1090</v>
      </c>
      <c r="E409" t="s">
        <v>1069</v>
      </c>
      <c r="F409" t="s">
        <v>1180</v>
      </c>
      <c r="G409" t="s">
        <v>1069</v>
      </c>
      <c r="H409" t="s">
        <v>2072</v>
      </c>
      <c r="I409" t="s">
        <v>1069</v>
      </c>
    </row>
    <row r="410" spans="1:9">
      <c r="A410" t="s">
        <v>2073</v>
      </c>
      <c r="B410" t="s">
        <v>1107</v>
      </c>
      <c r="C410" t="s">
        <v>1069</v>
      </c>
      <c r="D410" t="s">
        <v>1140</v>
      </c>
      <c r="E410" t="s">
        <v>1069</v>
      </c>
      <c r="F410" t="s">
        <v>1167</v>
      </c>
      <c r="G410" t="s">
        <v>1069</v>
      </c>
      <c r="H410" t="s">
        <v>2074</v>
      </c>
      <c r="I410" t="s">
        <v>1069</v>
      </c>
    </row>
    <row r="411" spans="1:9">
      <c r="A411" t="s">
        <v>2075</v>
      </c>
      <c r="B411" t="s">
        <v>1139</v>
      </c>
      <c r="C411" t="s">
        <v>1069</v>
      </c>
      <c r="D411" t="s">
        <v>1080</v>
      </c>
      <c r="E411" t="s">
        <v>1069</v>
      </c>
      <c r="F411" t="s">
        <v>1328</v>
      </c>
      <c r="G411" t="s">
        <v>1069</v>
      </c>
      <c r="H411" t="s">
        <v>2076</v>
      </c>
      <c r="I411" t="s">
        <v>1069</v>
      </c>
    </row>
    <row r="412" spans="1:9">
      <c r="A412" t="s">
        <v>2077</v>
      </c>
      <c r="B412" t="s">
        <v>1089</v>
      </c>
      <c r="C412" t="s">
        <v>1069</v>
      </c>
      <c r="D412" t="s">
        <v>1110</v>
      </c>
      <c r="E412" t="s">
        <v>1069</v>
      </c>
      <c r="F412" t="s">
        <v>1579</v>
      </c>
      <c r="G412" t="s">
        <v>1069</v>
      </c>
      <c r="H412" t="s">
        <v>2078</v>
      </c>
      <c r="I412" t="s">
        <v>1069</v>
      </c>
    </row>
    <row r="413" spans="1:9">
      <c r="A413" t="s">
        <v>2079</v>
      </c>
      <c r="B413" t="s">
        <v>1068</v>
      </c>
      <c r="C413" t="s">
        <v>1069</v>
      </c>
      <c r="D413" t="s">
        <v>1110</v>
      </c>
      <c r="E413" t="s">
        <v>1069</v>
      </c>
      <c r="F413" t="s">
        <v>1163</v>
      </c>
      <c r="G413" t="s">
        <v>1069</v>
      </c>
      <c r="H413" t="s">
        <v>2080</v>
      </c>
      <c r="I413" t="s">
        <v>1069</v>
      </c>
    </row>
    <row r="414" spans="1:9">
      <c r="A414" t="s">
        <v>2081</v>
      </c>
      <c r="B414" t="s">
        <v>1074</v>
      </c>
      <c r="C414" t="s">
        <v>1069</v>
      </c>
      <c r="D414" t="s">
        <v>1320</v>
      </c>
      <c r="E414" t="s">
        <v>1069</v>
      </c>
      <c r="F414" t="s">
        <v>1199</v>
      </c>
      <c r="G414" t="s">
        <v>1069</v>
      </c>
      <c r="H414" t="s">
        <v>2082</v>
      </c>
      <c r="I414" t="s">
        <v>1069</v>
      </c>
    </row>
    <row r="415" spans="1:9">
      <c r="A415" t="s">
        <v>2083</v>
      </c>
      <c r="B415" t="s">
        <v>1103</v>
      </c>
      <c r="C415" t="s">
        <v>1069</v>
      </c>
      <c r="D415" t="s">
        <v>1095</v>
      </c>
      <c r="E415" t="s">
        <v>1069</v>
      </c>
      <c r="F415" t="s">
        <v>1212</v>
      </c>
      <c r="G415" t="s">
        <v>1069</v>
      </c>
      <c r="H415" t="s">
        <v>2084</v>
      </c>
      <c r="I415" t="s">
        <v>1069</v>
      </c>
    </row>
    <row r="416" spans="1:9">
      <c r="A416" t="s">
        <v>2085</v>
      </c>
      <c r="B416" t="s">
        <v>1103</v>
      </c>
      <c r="C416" t="s">
        <v>1069</v>
      </c>
      <c r="D416" t="s">
        <v>1159</v>
      </c>
      <c r="E416" t="s">
        <v>1069</v>
      </c>
      <c r="F416" t="s">
        <v>1239</v>
      </c>
      <c r="G416" t="s">
        <v>1069</v>
      </c>
      <c r="H416" t="s">
        <v>2086</v>
      </c>
      <c r="I416" t="s">
        <v>1069</v>
      </c>
    </row>
    <row r="417" spans="1:9">
      <c r="A417" t="s">
        <v>2087</v>
      </c>
      <c r="B417" t="s">
        <v>1089</v>
      </c>
      <c r="C417" t="s">
        <v>1069</v>
      </c>
      <c r="D417" t="s">
        <v>1266</v>
      </c>
      <c r="E417" t="s">
        <v>1069</v>
      </c>
      <c r="F417" t="s">
        <v>1976</v>
      </c>
      <c r="G417" t="s">
        <v>1069</v>
      </c>
      <c r="H417" t="s">
        <v>2088</v>
      </c>
      <c r="I417" t="s">
        <v>1069</v>
      </c>
    </row>
    <row r="418" spans="1:9">
      <c r="A418" t="s">
        <v>2089</v>
      </c>
      <c r="B418" t="s">
        <v>1260</v>
      </c>
      <c r="C418" t="s">
        <v>1069</v>
      </c>
      <c r="D418" t="s">
        <v>1090</v>
      </c>
      <c r="E418" t="s">
        <v>1069</v>
      </c>
      <c r="F418" t="s">
        <v>1551</v>
      </c>
      <c r="G418" t="s">
        <v>1069</v>
      </c>
      <c r="H418" t="s">
        <v>2090</v>
      </c>
      <c r="I418" t="s">
        <v>1069</v>
      </c>
    </row>
    <row r="419" spans="1:9">
      <c r="A419" t="s">
        <v>2091</v>
      </c>
      <c r="B419" t="s">
        <v>1260</v>
      </c>
      <c r="C419" t="s">
        <v>1069</v>
      </c>
      <c r="D419" t="s">
        <v>1276</v>
      </c>
      <c r="E419" t="s">
        <v>1069</v>
      </c>
      <c r="F419" t="s">
        <v>1239</v>
      </c>
      <c r="G419" t="s">
        <v>1069</v>
      </c>
      <c r="H419" t="s">
        <v>2092</v>
      </c>
      <c r="I419" t="s">
        <v>1069</v>
      </c>
    </row>
    <row r="420" spans="1:9">
      <c r="A420" t="s">
        <v>2093</v>
      </c>
      <c r="B420" t="s">
        <v>1113</v>
      </c>
      <c r="C420" t="s">
        <v>1069</v>
      </c>
      <c r="D420" t="s">
        <v>1080</v>
      </c>
      <c r="E420" t="s">
        <v>1069</v>
      </c>
      <c r="F420" t="s">
        <v>1548</v>
      </c>
      <c r="G420" t="s">
        <v>1069</v>
      </c>
      <c r="H420" t="s">
        <v>2094</v>
      </c>
      <c r="I420" t="s">
        <v>1069</v>
      </c>
    </row>
    <row r="421" spans="1:9">
      <c r="A421" t="s">
        <v>2095</v>
      </c>
      <c r="B421" t="s">
        <v>1089</v>
      </c>
      <c r="C421" t="s">
        <v>1069</v>
      </c>
      <c r="D421" t="s">
        <v>1266</v>
      </c>
      <c r="E421" t="s">
        <v>1069</v>
      </c>
      <c r="F421" t="s">
        <v>1323</v>
      </c>
      <c r="G421" t="s">
        <v>1069</v>
      </c>
      <c r="H421" t="s">
        <v>2096</v>
      </c>
      <c r="I421" t="s">
        <v>1069</v>
      </c>
    </row>
    <row r="422" spans="1:9">
      <c r="A422" t="s">
        <v>2097</v>
      </c>
      <c r="B422" t="s">
        <v>1089</v>
      </c>
      <c r="C422" t="s">
        <v>1069</v>
      </c>
      <c r="D422" t="s">
        <v>1266</v>
      </c>
      <c r="E422" t="s">
        <v>1069</v>
      </c>
      <c r="F422" t="s">
        <v>1224</v>
      </c>
      <c r="G422" t="s">
        <v>1069</v>
      </c>
      <c r="H422" t="s">
        <v>2098</v>
      </c>
      <c r="I422" t="s">
        <v>1069</v>
      </c>
    </row>
    <row r="423" spans="1:9">
      <c r="A423" t="s">
        <v>2099</v>
      </c>
      <c r="B423" t="s">
        <v>1113</v>
      </c>
      <c r="C423" t="s">
        <v>1069</v>
      </c>
      <c r="D423" t="s">
        <v>1070</v>
      </c>
      <c r="E423" t="s">
        <v>1069</v>
      </c>
      <c r="F423" t="s">
        <v>1551</v>
      </c>
      <c r="G423" t="s">
        <v>1069</v>
      </c>
      <c r="H423" t="s">
        <v>2100</v>
      </c>
      <c r="I423" t="s">
        <v>1069</v>
      </c>
    </row>
    <row r="424" spans="1:9">
      <c r="A424" t="s">
        <v>2101</v>
      </c>
      <c r="B424" t="s">
        <v>1121</v>
      </c>
      <c r="C424" t="s">
        <v>1069</v>
      </c>
      <c r="D424" t="s">
        <v>1079</v>
      </c>
      <c r="E424" t="s">
        <v>1069</v>
      </c>
      <c r="F424" t="s">
        <v>1195</v>
      </c>
      <c r="G424" t="s">
        <v>1069</v>
      </c>
      <c r="H424" t="s">
        <v>2102</v>
      </c>
      <c r="I424" t="s">
        <v>1069</v>
      </c>
    </row>
    <row r="425" spans="1:9">
      <c r="A425" t="s">
        <v>2103</v>
      </c>
      <c r="B425" t="s">
        <v>1284</v>
      </c>
      <c r="C425" t="s">
        <v>1069</v>
      </c>
      <c r="D425" t="s">
        <v>1276</v>
      </c>
      <c r="E425" t="s">
        <v>1069</v>
      </c>
      <c r="F425" t="s">
        <v>1555</v>
      </c>
      <c r="G425" t="s">
        <v>1069</v>
      </c>
      <c r="H425" t="s">
        <v>2104</v>
      </c>
      <c r="I425" t="s">
        <v>1069</v>
      </c>
    </row>
    <row r="426" spans="1:9">
      <c r="A426" t="s">
        <v>2105</v>
      </c>
      <c r="B426" t="s">
        <v>1265</v>
      </c>
      <c r="C426" t="s">
        <v>1069</v>
      </c>
      <c r="D426" t="s">
        <v>1103</v>
      </c>
      <c r="E426" t="s">
        <v>1069</v>
      </c>
      <c r="F426" t="s">
        <v>1239</v>
      </c>
      <c r="G426" t="s">
        <v>1069</v>
      </c>
      <c r="H426" t="s">
        <v>2106</v>
      </c>
      <c r="I426" t="s">
        <v>1069</v>
      </c>
    </row>
    <row r="427" spans="1:9">
      <c r="A427" t="s">
        <v>2107</v>
      </c>
      <c r="B427" t="s">
        <v>1121</v>
      </c>
      <c r="C427" t="s">
        <v>1069</v>
      </c>
      <c r="D427" t="s">
        <v>1084</v>
      </c>
      <c r="E427" t="s">
        <v>1069</v>
      </c>
      <c r="F427" t="s">
        <v>1224</v>
      </c>
      <c r="G427" t="s">
        <v>1069</v>
      </c>
      <c r="H427" t="s">
        <v>1469</v>
      </c>
      <c r="I427" t="s">
        <v>1069</v>
      </c>
    </row>
    <row r="428" spans="1:9">
      <c r="A428" t="s">
        <v>2108</v>
      </c>
      <c r="B428" t="s">
        <v>1265</v>
      </c>
      <c r="C428" t="s">
        <v>1069</v>
      </c>
      <c r="D428" t="s">
        <v>1068</v>
      </c>
      <c r="E428" t="s">
        <v>1069</v>
      </c>
      <c r="F428" t="s">
        <v>1168</v>
      </c>
      <c r="G428" t="s">
        <v>1069</v>
      </c>
      <c r="H428" t="s">
        <v>2109</v>
      </c>
      <c r="I428" t="s">
        <v>1069</v>
      </c>
    </row>
    <row r="429" spans="1:9">
      <c r="A429" t="s">
        <v>2110</v>
      </c>
      <c r="B429" t="s">
        <v>1293</v>
      </c>
      <c r="C429" t="s">
        <v>1069</v>
      </c>
      <c r="D429" t="s">
        <v>1139</v>
      </c>
      <c r="E429" t="s">
        <v>1069</v>
      </c>
      <c r="F429" t="s">
        <v>1527</v>
      </c>
      <c r="G429" t="s">
        <v>1069</v>
      </c>
      <c r="H429" t="s">
        <v>1632</v>
      </c>
      <c r="I429" t="s">
        <v>1069</v>
      </c>
    </row>
    <row r="430" spans="1:9">
      <c r="A430" t="s">
        <v>2111</v>
      </c>
      <c r="B430" t="s">
        <v>1149</v>
      </c>
      <c r="C430" t="s">
        <v>1069</v>
      </c>
      <c r="D430" t="s">
        <v>1139</v>
      </c>
      <c r="E430" t="s">
        <v>1069</v>
      </c>
      <c r="F430" t="s">
        <v>1216</v>
      </c>
      <c r="G430" t="s">
        <v>1069</v>
      </c>
      <c r="H430" t="s">
        <v>2112</v>
      </c>
      <c r="I430" t="s">
        <v>1069</v>
      </c>
    </row>
    <row r="431" spans="1:9">
      <c r="A431" t="s">
        <v>2113</v>
      </c>
      <c r="B431" t="s">
        <v>1270</v>
      </c>
      <c r="C431" t="s">
        <v>1069</v>
      </c>
      <c r="D431" t="s">
        <v>1113</v>
      </c>
      <c r="E431" t="s">
        <v>1069</v>
      </c>
      <c r="F431" t="s">
        <v>1175</v>
      </c>
      <c r="G431" t="s">
        <v>1069</v>
      </c>
      <c r="H431" t="s">
        <v>2114</v>
      </c>
      <c r="I431" t="s">
        <v>1069</v>
      </c>
    </row>
    <row r="432" spans="1:9">
      <c r="A432" t="s">
        <v>2115</v>
      </c>
      <c r="B432" t="s">
        <v>1488</v>
      </c>
      <c r="C432" t="s">
        <v>1069</v>
      </c>
      <c r="D432" t="s">
        <v>1143</v>
      </c>
      <c r="E432" t="s">
        <v>1069</v>
      </c>
      <c r="F432" t="s">
        <v>1159</v>
      </c>
      <c r="G432" t="s">
        <v>1069</v>
      </c>
      <c r="H432" t="s">
        <v>2116</v>
      </c>
      <c r="I432" t="s">
        <v>1069</v>
      </c>
    </row>
    <row r="433" spans="1:9">
      <c r="A433" t="s">
        <v>2117</v>
      </c>
      <c r="B433" t="s">
        <v>1275</v>
      </c>
      <c r="C433" t="s">
        <v>1069</v>
      </c>
      <c r="D433" t="s">
        <v>1265</v>
      </c>
      <c r="E433" t="s">
        <v>1069</v>
      </c>
      <c r="F433" t="s">
        <v>1080</v>
      </c>
      <c r="G433" t="s">
        <v>1069</v>
      </c>
      <c r="H433" t="s">
        <v>2118</v>
      </c>
      <c r="I433" t="s">
        <v>1069</v>
      </c>
    </row>
    <row r="434" spans="1:9">
      <c r="A434" t="s">
        <v>2119</v>
      </c>
      <c r="B434" t="s">
        <v>1269</v>
      </c>
      <c r="C434" t="s">
        <v>1069</v>
      </c>
      <c r="D434" t="s">
        <v>1152</v>
      </c>
      <c r="E434" t="s">
        <v>1069</v>
      </c>
      <c r="F434" t="s">
        <v>1427</v>
      </c>
      <c r="G434" t="s">
        <v>1069</v>
      </c>
      <c r="H434" t="s">
        <v>2120</v>
      </c>
      <c r="I434" t="s">
        <v>1069</v>
      </c>
    </row>
    <row r="435" spans="1:9">
      <c r="A435" t="s">
        <v>2121</v>
      </c>
      <c r="B435" t="s">
        <v>1269</v>
      </c>
      <c r="C435" t="s">
        <v>1069</v>
      </c>
      <c r="D435" t="s">
        <v>1265</v>
      </c>
      <c r="E435" t="s">
        <v>1069</v>
      </c>
      <c r="F435" t="s">
        <v>1595</v>
      </c>
      <c r="G435" t="s">
        <v>1069</v>
      </c>
      <c r="H435" t="s">
        <v>2122</v>
      </c>
      <c r="I435" t="s">
        <v>1069</v>
      </c>
    </row>
    <row r="436" spans="1:9">
      <c r="A436" t="s">
        <v>2123</v>
      </c>
      <c r="B436" t="s">
        <v>1269</v>
      </c>
      <c r="C436" t="s">
        <v>1069</v>
      </c>
      <c r="D436" t="s">
        <v>1128</v>
      </c>
      <c r="E436" t="s">
        <v>1069</v>
      </c>
      <c r="F436" t="s">
        <v>1518</v>
      </c>
      <c r="G436" t="s">
        <v>1069</v>
      </c>
      <c r="H436" t="s">
        <v>2124</v>
      </c>
      <c r="I436" t="s">
        <v>1069</v>
      </c>
    </row>
    <row r="437" spans="1:9">
      <c r="A437" t="s">
        <v>2125</v>
      </c>
      <c r="B437" t="s">
        <v>1475</v>
      </c>
      <c r="C437" t="s">
        <v>1069</v>
      </c>
      <c r="D437" t="s">
        <v>1149</v>
      </c>
      <c r="E437" t="s">
        <v>1069</v>
      </c>
      <c r="F437" t="s">
        <v>1234</v>
      </c>
      <c r="G437" t="s">
        <v>1069</v>
      </c>
      <c r="H437" t="s">
        <v>2126</v>
      </c>
      <c r="I437" t="s">
        <v>1069</v>
      </c>
    </row>
    <row r="438" spans="1:9">
      <c r="A438" t="s">
        <v>2127</v>
      </c>
      <c r="B438" t="s">
        <v>1275</v>
      </c>
      <c r="C438" t="s">
        <v>1069</v>
      </c>
      <c r="D438" t="s">
        <v>1125</v>
      </c>
      <c r="E438" t="s">
        <v>1069</v>
      </c>
      <c r="F438" t="s">
        <v>1285</v>
      </c>
      <c r="G438" t="s">
        <v>1069</v>
      </c>
      <c r="H438" t="s">
        <v>2128</v>
      </c>
      <c r="I438" t="s">
        <v>1069</v>
      </c>
    </row>
    <row r="439" spans="1:9">
      <c r="A439" t="s">
        <v>2129</v>
      </c>
      <c r="B439" t="s">
        <v>1269</v>
      </c>
      <c r="C439" t="s">
        <v>1069</v>
      </c>
      <c r="D439" t="s">
        <v>1125</v>
      </c>
      <c r="E439" t="s">
        <v>1069</v>
      </c>
      <c r="F439" t="s">
        <v>1086</v>
      </c>
      <c r="G439" t="s">
        <v>1069</v>
      </c>
      <c r="H439" t="s">
        <v>2130</v>
      </c>
      <c r="I439" t="s">
        <v>1069</v>
      </c>
    </row>
    <row r="440" spans="1:9">
      <c r="A440" t="s">
        <v>2131</v>
      </c>
      <c r="B440" t="s">
        <v>1288</v>
      </c>
      <c r="C440" t="s">
        <v>1069</v>
      </c>
      <c r="D440" t="s">
        <v>1129</v>
      </c>
      <c r="E440" t="s">
        <v>1069</v>
      </c>
      <c r="F440" t="s">
        <v>1217</v>
      </c>
      <c r="G440" t="s">
        <v>1069</v>
      </c>
      <c r="H440" t="s">
        <v>2132</v>
      </c>
      <c r="I440" t="s">
        <v>1069</v>
      </c>
    </row>
    <row r="441" spans="1:9">
      <c r="A441" t="s">
        <v>2133</v>
      </c>
      <c r="B441" t="s">
        <v>1476</v>
      </c>
      <c r="C441" t="s">
        <v>1069</v>
      </c>
      <c r="D441" t="s">
        <v>1102</v>
      </c>
      <c r="E441" t="s">
        <v>1069</v>
      </c>
      <c r="F441" t="s">
        <v>1235</v>
      </c>
      <c r="G441" t="s">
        <v>1069</v>
      </c>
      <c r="H441" t="s">
        <v>2134</v>
      </c>
      <c r="I441" t="s">
        <v>1069</v>
      </c>
    </row>
    <row r="442" spans="1:9">
      <c r="A442" t="s">
        <v>2135</v>
      </c>
      <c r="B442" t="s">
        <v>1149</v>
      </c>
      <c r="C442" t="s">
        <v>1069</v>
      </c>
      <c r="D442" t="s">
        <v>1144</v>
      </c>
      <c r="E442" t="s">
        <v>1069</v>
      </c>
      <c r="F442" t="s">
        <v>1411</v>
      </c>
      <c r="G442" t="s">
        <v>1069</v>
      </c>
      <c r="H442" t="s">
        <v>2136</v>
      </c>
      <c r="I442" t="s">
        <v>1069</v>
      </c>
    </row>
    <row r="443" spans="1:9">
      <c r="A443" t="s">
        <v>2137</v>
      </c>
      <c r="B443" t="s">
        <v>1128</v>
      </c>
      <c r="C443" t="s">
        <v>1069</v>
      </c>
      <c r="D443" t="s">
        <v>1242</v>
      </c>
      <c r="E443" t="s">
        <v>1069</v>
      </c>
      <c r="F443" t="s">
        <v>2138</v>
      </c>
      <c r="G443" t="s">
        <v>1069</v>
      </c>
      <c r="H443" t="s">
        <v>2136</v>
      </c>
      <c r="I443" t="s">
        <v>1069</v>
      </c>
    </row>
    <row r="444" spans="1:9">
      <c r="A444" t="s">
        <v>2139</v>
      </c>
      <c r="B444" t="s">
        <v>1136</v>
      </c>
      <c r="C444" t="s">
        <v>1069</v>
      </c>
      <c r="D444" t="s">
        <v>1320</v>
      </c>
      <c r="E444" t="s">
        <v>1069</v>
      </c>
      <c r="F444" t="s">
        <v>1217</v>
      </c>
      <c r="G444" t="s">
        <v>1069</v>
      </c>
      <c r="H444" t="s">
        <v>2140</v>
      </c>
      <c r="I444" t="s">
        <v>1069</v>
      </c>
    </row>
    <row r="445" spans="1:9">
      <c r="A445" t="s">
        <v>2141</v>
      </c>
      <c r="B445" t="s">
        <v>1128</v>
      </c>
      <c r="C445" t="s">
        <v>1069</v>
      </c>
      <c r="D445" t="s">
        <v>1162</v>
      </c>
      <c r="E445" t="s">
        <v>1069</v>
      </c>
      <c r="F445" t="s">
        <v>1964</v>
      </c>
      <c r="G445" t="s">
        <v>1069</v>
      </c>
      <c r="H445" t="s">
        <v>1507</v>
      </c>
      <c r="I445" t="s">
        <v>1069</v>
      </c>
    </row>
    <row r="446" spans="1:9">
      <c r="A446" t="s">
        <v>2142</v>
      </c>
      <c r="B446" t="s">
        <v>1128</v>
      </c>
      <c r="C446" t="s">
        <v>1069</v>
      </c>
      <c r="D446" t="s">
        <v>1234</v>
      </c>
      <c r="E446" t="s">
        <v>1069</v>
      </c>
      <c r="F446" t="s">
        <v>1514</v>
      </c>
      <c r="G446" t="s">
        <v>1069</v>
      </c>
      <c r="H446" t="s">
        <v>1828</v>
      </c>
      <c r="I446" t="s">
        <v>1069</v>
      </c>
    </row>
    <row r="447" spans="1:9">
      <c r="A447" t="s">
        <v>2143</v>
      </c>
      <c r="B447" t="s">
        <v>1128</v>
      </c>
      <c r="C447" t="s">
        <v>1069</v>
      </c>
      <c r="D447" t="s">
        <v>1095</v>
      </c>
      <c r="E447" t="s">
        <v>1069</v>
      </c>
      <c r="F447" t="s">
        <v>2144</v>
      </c>
      <c r="G447" t="s">
        <v>1069</v>
      </c>
      <c r="H447" t="s">
        <v>2145</v>
      </c>
      <c r="I447" t="s">
        <v>1069</v>
      </c>
    </row>
    <row r="448" spans="1:9">
      <c r="A448" t="s">
        <v>2146</v>
      </c>
      <c r="B448" t="s">
        <v>1143</v>
      </c>
      <c r="C448" t="s">
        <v>1069</v>
      </c>
      <c r="D448" t="s">
        <v>1159</v>
      </c>
      <c r="E448" t="s">
        <v>1069</v>
      </c>
      <c r="F448" t="s">
        <v>2147</v>
      </c>
      <c r="G448" t="s">
        <v>1069</v>
      </c>
      <c r="H448" t="s">
        <v>1770</v>
      </c>
      <c r="I448" t="s">
        <v>1069</v>
      </c>
    </row>
    <row r="449" spans="1:9">
      <c r="A449" t="s">
        <v>2148</v>
      </c>
      <c r="B449" t="s">
        <v>1260</v>
      </c>
      <c r="C449" t="s">
        <v>1069</v>
      </c>
      <c r="D449" t="s">
        <v>1162</v>
      </c>
      <c r="E449" t="s">
        <v>1069</v>
      </c>
      <c r="F449" t="s">
        <v>1600</v>
      </c>
      <c r="G449" t="s">
        <v>1069</v>
      </c>
      <c r="H449" t="s">
        <v>2149</v>
      </c>
      <c r="I449" t="s">
        <v>1069</v>
      </c>
    </row>
    <row r="450" spans="1:9">
      <c r="A450" t="s">
        <v>2150</v>
      </c>
      <c r="B450" t="s">
        <v>1260</v>
      </c>
      <c r="C450" t="s">
        <v>1069</v>
      </c>
      <c r="D450" t="s">
        <v>1234</v>
      </c>
      <c r="E450" t="s">
        <v>1069</v>
      </c>
      <c r="F450" t="s">
        <v>1188</v>
      </c>
      <c r="G450" t="s">
        <v>1069</v>
      </c>
      <c r="H450" t="s">
        <v>2151</v>
      </c>
      <c r="I450" t="s">
        <v>1069</v>
      </c>
    </row>
    <row r="451" spans="1:9">
      <c r="A451" t="s">
        <v>2152</v>
      </c>
      <c r="B451" t="s">
        <v>1102</v>
      </c>
      <c r="C451" t="s">
        <v>1069</v>
      </c>
      <c r="D451" t="s">
        <v>1099</v>
      </c>
      <c r="E451" t="s">
        <v>1069</v>
      </c>
      <c r="F451" t="s">
        <v>2153</v>
      </c>
      <c r="G451" t="s">
        <v>1069</v>
      </c>
      <c r="H451" t="s">
        <v>2154</v>
      </c>
      <c r="I451" t="s">
        <v>1069</v>
      </c>
    </row>
    <row r="452" spans="1:9">
      <c r="A452" t="s">
        <v>2155</v>
      </c>
      <c r="B452" t="s">
        <v>1107</v>
      </c>
      <c r="C452" t="s">
        <v>1069</v>
      </c>
      <c r="D452" t="s">
        <v>1427</v>
      </c>
      <c r="E452" t="s">
        <v>1069</v>
      </c>
      <c r="F452" t="s">
        <v>1574</v>
      </c>
      <c r="G452" t="s">
        <v>1069</v>
      </c>
      <c r="H452" t="s">
        <v>2156</v>
      </c>
      <c r="I452" t="s">
        <v>1069</v>
      </c>
    </row>
    <row r="453" spans="1:9">
      <c r="A453" t="s">
        <v>2157</v>
      </c>
      <c r="B453" t="s">
        <v>1102</v>
      </c>
      <c r="C453" t="s">
        <v>1069</v>
      </c>
      <c r="D453" t="s">
        <v>1099</v>
      </c>
      <c r="E453" t="s">
        <v>1069</v>
      </c>
      <c r="F453" t="s">
        <v>1209</v>
      </c>
      <c r="G453" t="s">
        <v>1069</v>
      </c>
      <c r="H453" t="s">
        <v>1692</v>
      </c>
      <c r="I453" t="s">
        <v>1069</v>
      </c>
    </row>
    <row r="454" spans="1:9">
      <c r="A454" t="s">
        <v>2158</v>
      </c>
      <c r="B454" t="s">
        <v>1310</v>
      </c>
      <c r="C454" t="s">
        <v>1069</v>
      </c>
      <c r="D454" t="s">
        <v>1595</v>
      </c>
      <c r="E454" t="s">
        <v>1069</v>
      </c>
      <c r="F454" t="s">
        <v>1213</v>
      </c>
      <c r="G454" t="s">
        <v>1069</v>
      </c>
      <c r="H454" t="s">
        <v>2159</v>
      </c>
      <c r="I454" t="s">
        <v>1069</v>
      </c>
    </row>
    <row r="455" spans="1:9">
      <c r="A455" t="s">
        <v>2160</v>
      </c>
      <c r="B455" t="s">
        <v>1310</v>
      </c>
      <c r="C455" t="s">
        <v>1069</v>
      </c>
      <c r="D455" t="s">
        <v>1223</v>
      </c>
      <c r="E455" t="s">
        <v>1069</v>
      </c>
      <c r="F455" t="s">
        <v>1204</v>
      </c>
      <c r="G455" t="s">
        <v>1069</v>
      </c>
      <c r="H455" t="s">
        <v>1621</v>
      </c>
      <c r="I455" t="s">
        <v>1069</v>
      </c>
    </row>
    <row r="456" spans="1:9">
      <c r="A456" t="s">
        <v>2161</v>
      </c>
      <c r="B456" t="s">
        <v>1140</v>
      </c>
      <c r="C456" t="s">
        <v>1069</v>
      </c>
      <c r="D456" t="s">
        <v>1167</v>
      </c>
      <c r="E456" t="s">
        <v>1069</v>
      </c>
      <c r="F456" t="s">
        <v>2162</v>
      </c>
      <c r="G456" t="s">
        <v>1069</v>
      </c>
      <c r="H456" t="s">
        <v>2163</v>
      </c>
      <c r="I456" t="s">
        <v>1069</v>
      </c>
    </row>
    <row r="457" spans="1:9">
      <c r="A457" t="s">
        <v>2164</v>
      </c>
      <c r="B457" t="s">
        <v>1103</v>
      </c>
      <c r="C457" t="s">
        <v>1069</v>
      </c>
      <c r="D457" t="s">
        <v>1231</v>
      </c>
      <c r="E457" t="s">
        <v>1069</v>
      </c>
      <c r="F457" t="s">
        <v>1213</v>
      </c>
      <c r="G457" t="s">
        <v>1069</v>
      </c>
      <c r="H457" t="s">
        <v>2165</v>
      </c>
      <c r="I457" t="s">
        <v>1069</v>
      </c>
    </row>
    <row r="458" spans="1:9">
      <c r="A458" t="s">
        <v>2166</v>
      </c>
      <c r="B458" t="s">
        <v>1068</v>
      </c>
      <c r="C458" t="s">
        <v>1069</v>
      </c>
      <c r="D458" t="s">
        <v>1081</v>
      </c>
      <c r="E458" t="s">
        <v>1069</v>
      </c>
      <c r="F458" t="s">
        <v>1329</v>
      </c>
      <c r="G458" t="s">
        <v>1069</v>
      </c>
      <c r="H458" t="s">
        <v>1091</v>
      </c>
      <c r="I458" t="s">
        <v>1069</v>
      </c>
    </row>
    <row r="459" spans="1:9">
      <c r="A459" t="s">
        <v>2167</v>
      </c>
      <c r="B459" t="s">
        <v>1084</v>
      </c>
      <c r="C459" t="s">
        <v>1069</v>
      </c>
      <c r="D459" t="s">
        <v>1231</v>
      </c>
      <c r="E459" t="s">
        <v>1069</v>
      </c>
      <c r="F459" t="s">
        <v>1220</v>
      </c>
      <c r="G459" t="s">
        <v>1069</v>
      </c>
      <c r="H459" t="s">
        <v>2168</v>
      </c>
      <c r="I459" t="s">
        <v>1069</v>
      </c>
    </row>
    <row r="460" spans="1:9">
      <c r="A460" t="s">
        <v>2169</v>
      </c>
      <c r="B460" t="s">
        <v>1098</v>
      </c>
      <c r="C460" t="s">
        <v>1069</v>
      </c>
      <c r="D460" t="s">
        <v>1171</v>
      </c>
      <c r="E460" t="s">
        <v>1069</v>
      </c>
      <c r="F460" t="s">
        <v>1217</v>
      </c>
      <c r="G460" t="s">
        <v>1069</v>
      </c>
      <c r="H460" t="s">
        <v>2170</v>
      </c>
      <c r="I460" t="s">
        <v>1069</v>
      </c>
    </row>
    <row r="461" spans="1:9">
      <c r="A461" t="s">
        <v>2171</v>
      </c>
      <c r="B461" t="s">
        <v>1504</v>
      </c>
      <c r="C461" t="s">
        <v>1069</v>
      </c>
      <c r="D461" t="s">
        <v>1195</v>
      </c>
      <c r="E461" t="s">
        <v>1069</v>
      </c>
      <c r="F461" t="s">
        <v>1983</v>
      </c>
      <c r="G461" t="s">
        <v>1069</v>
      </c>
      <c r="H461" t="s">
        <v>2172</v>
      </c>
      <c r="I461" t="s">
        <v>1069</v>
      </c>
    </row>
    <row r="462" spans="1:9">
      <c r="A462" t="s">
        <v>2173</v>
      </c>
      <c r="B462" t="s">
        <v>1076</v>
      </c>
      <c r="C462" t="s">
        <v>1069</v>
      </c>
      <c r="D462" t="s">
        <v>1323</v>
      </c>
      <c r="E462" t="s">
        <v>1069</v>
      </c>
      <c r="F462" t="s">
        <v>1373</v>
      </c>
      <c r="G462" t="s">
        <v>1069</v>
      </c>
      <c r="H462" t="s">
        <v>2174</v>
      </c>
      <c r="I462" t="s">
        <v>1069</v>
      </c>
    </row>
    <row r="463" spans="1:9">
      <c r="A463" t="s">
        <v>2175</v>
      </c>
      <c r="B463" t="s">
        <v>1192</v>
      </c>
      <c r="C463" t="s">
        <v>1069</v>
      </c>
      <c r="D463" t="s">
        <v>2144</v>
      </c>
      <c r="E463" t="s">
        <v>1069</v>
      </c>
      <c r="F463" t="s">
        <v>2176</v>
      </c>
      <c r="G463" t="s">
        <v>1069</v>
      </c>
      <c r="H463" t="s">
        <v>2177</v>
      </c>
      <c r="I463" t="s">
        <v>1069</v>
      </c>
    </row>
    <row r="464" spans="1:9">
      <c r="A464" t="s">
        <v>2178</v>
      </c>
      <c r="B464" t="s">
        <v>2138</v>
      </c>
      <c r="C464" t="s">
        <v>1069</v>
      </c>
      <c r="D464" t="s">
        <v>2179</v>
      </c>
      <c r="E464" t="s">
        <v>1069</v>
      </c>
      <c r="F464" t="s">
        <v>2180</v>
      </c>
      <c r="G464" t="s">
        <v>1069</v>
      </c>
      <c r="H464" t="s">
        <v>2181</v>
      </c>
      <c r="I464" t="s">
        <v>1069</v>
      </c>
    </row>
    <row r="465" spans="1:9">
      <c r="A465" t="s">
        <v>2182</v>
      </c>
      <c r="B465" t="s">
        <v>1552</v>
      </c>
      <c r="C465" t="s">
        <v>1069</v>
      </c>
      <c r="D465" t="s">
        <v>2183</v>
      </c>
      <c r="E465" t="s">
        <v>1069</v>
      </c>
      <c r="F465" t="s">
        <v>2184</v>
      </c>
      <c r="G465" t="s">
        <v>1069</v>
      </c>
      <c r="H465" t="s">
        <v>2185</v>
      </c>
      <c r="I465" t="s">
        <v>1069</v>
      </c>
    </row>
    <row r="466" spans="1:9">
      <c r="A466" t="s">
        <v>2186</v>
      </c>
      <c r="B466" t="s">
        <v>2179</v>
      </c>
      <c r="C466" t="s">
        <v>1069</v>
      </c>
      <c r="D466" t="s">
        <v>1366</v>
      </c>
      <c r="E466" t="s">
        <v>1069</v>
      </c>
      <c r="F466" t="s">
        <v>2187</v>
      </c>
      <c r="G466" t="s">
        <v>1069</v>
      </c>
      <c r="H466" t="s">
        <v>2188</v>
      </c>
      <c r="I466" t="s">
        <v>1069</v>
      </c>
    </row>
    <row r="467" spans="1:9">
      <c r="A467" t="s">
        <v>2189</v>
      </c>
      <c r="B467" t="s">
        <v>2009</v>
      </c>
      <c r="C467" t="s">
        <v>1069</v>
      </c>
      <c r="D467" t="s">
        <v>2190</v>
      </c>
      <c r="E467" t="s">
        <v>1069</v>
      </c>
      <c r="F467" t="s">
        <v>2191</v>
      </c>
      <c r="G467" t="s">
        <v>1069</v>
      </c>
      <c r="H467" t="s">
        <v>2192</v>
      </c>
      <c r="I467" t="s">
        <v>1069</v>
      </c>
    </row>
    <row r="468" spans="1:9">
      <c r="A468" t="s">
        <v>2193</v>
      </c>
      <c r="B468" t="s">
        <v>1375</v>
      </c>
      <c r="C468" t="s">
        <v>1069</v>
      </c>
      <c r="D468" t="s">
        <v>2194</v>
      </c>
      <c r="E468" t="s">
        <v>1069</v>
      </c>
      <c r="F468" t="s">
        <v>2195</v>
      </c>
      <c r="G468" t="s">
        <v>1069</v>
      </c>
      <c r="H468" t="s">
        <v>2196</v>
      </c>
      <c r="I468" t="s">
        <v>1069</v>
      </c>
    </row>
    <row r="469" spans="1:9">
      <c r="A469" t="s">
        <v>2197</v>
      </c>
      <c r="B469" t="s">
        <v>2198</v>
      </c>
      <c r="C469" t="s">
        <v>1069</v>
      </c>
      <c r="D469" t="s">
        <v>2199</v>
      </c>
      <c r="E469" t="s">
        <v>1069</v>
      </c>
      <c r="F469" t="s">
        <v>2200</v>
      </c>
      <c r="G469" t="s">
        <v>1069</v>
      </c>
      <c r="H469" t="s">
        <v>2201</v>
      </c>
      <c r="I469" t="s">
        <v>1069</v>
      </c>
    </row>
    <row r="470" spans="1:9">
      <c r="A470" t="s">
        <v>2202</v>
      </c>
      <c r="B470" t="s">
        <v>2203</v>
      </c>
      <c r="C470" t="s">
        <v>1069</v>
      </c>
      <c r="D470" t="s">
        <v>2014</v>
      </c>
      <c r="E470" t="s">
        <v>1069</v>
      </c>
      <c r="F470" t="s">
        <v>1343</v>
      </c>
      <c r="G470" t="s">
        <v>1069</v>
      </c>
      <c r="H470" t="s">
        <v>2204</v>
      </c>
      <c r="I470" t="s">
        <v>1069</v>
      </c>
    </row>
    <row r="471" spans="1:9">
      <c r="A471" t="s">
        <v>2205</v>
      </c>
      <c r="B471" t="s">
        <v>2002</v>
      </c>
      <c r="C471" t="s">
        <v>1069</v>
      </c>
      <c r="D471" t="s">
        <v>2206</v>
      </c>
      <c r="E471" t="s">
        <v>1069</v>
      </c>
      <c r="F471" t="s">
        <v>2207</v>
      </c>
      <c r="G471" t="s">
        <v>1069</v>
      </c>
      <c r="H471" t="s">
        <v>2208</v>
      </c>
      <c r="I471" t="s">
        <v>1069</v>
      </c>
    </row>
    <row r="472" spans="1:9">
      <c r="A472" t="s">
        <v>2209</v>
      </c>
      <c r="B472" t="s">
        <v>2009</v>
      </c>
      <c r="C472" t="s">
        <v>1069</v>
      </c>
      <c r="D472" t="s">
        <v>2190</v>
      </c>
      <c r="E472" t="s">
        <v>1069</v>
      </c>
      <c r="F472" t="s">
        <v>2210</v>
      </c>
      <c r="G472" t="s">
        <v>1069</v>
      </c>
      <c r="H472" t="s">
        <v>2211</v>
      </c>
      <c r="I472" t="s">
        <v>1069</v>
      </c>
    </row>
    <row r="473" spans="1:9">
      <c r="A473" t="s">
        <v>2212</v>
      </c>
      <c r="B473" t="s">
        <v>2213</v>
      </c>
      <c r="C473" t="s">
        <v>1069</v>
      </c>
      <c r="D473" t="s">
        <v>2203</v>
      </c>
      <c r="E473" t="s">
        <v>1069</v>
      </c>
      <c r="F473" t="s">
        <v>2194</v>
      </c>
      <c r="G473" t="s">
        <v>1069</v>
      </c>
      <c r="H473" t="s">
        <v>2214</v>
      </c>
      <c r="I473" t="s">
        <v>1069</v>
      </c>
    </row>
    <row r="474" spans="1:9">
      <c r="A474" t="s">
        <v>2215</v>
      </c>
      <c r="B474" t="s">
        <v>1542</v>
      </c>
      <c r="C474" t="s">
        <v>1069</v>
      </c>
      <c r="D474" t="s">
        <v>1333</v>
      </c>
      <c r="E474" t="s">
        <v>1069</v>
      </c>
      <c r="F474" t="s">
        <v>1375</v>
      </c>
      <c r="G474" t="s">
        <v>1069</v>
      </c>
      <c r="H474" t="s">
        <v>2216</v>
      </c>
      <c r="I474" t="s">
        <v>1069</v>
      </c>
    </row>
    <row r="475" spans="1:9">
      <c r="A475" t="s">
        <v>2217</v>
      </c>
      <c r="B475" t="s">
        <v>1603</v>
      </c>
      <c r="C475" t="s">
        <v>1069</v>
      </c>
      <c r="D475" t="s">
        <v>2026</v>
      </c>
      <c r="E475" t="s">
        <v>1069</v>
      </c>
      <c r="F475" t="s">
        <v>2218</v>
      </c>
      <c r="G475" t="s">
        <v>1069</v>
      </c>
      <c r="H475" t="s">
        <v>2219</v>
      </c>
      <c r="I475" t="s">
        <v>1069</v>
      </c>
    </row>
    <row r="476" spans="1:9">
      <c r="A476" t="s">
        <v>2220</v>
      </c>
      <c r="B476" t="s">
        <v>1955</v>
      </c>
      <c r="C476" t="s">
        <v>1069</v>
      </c>
      <c r="D476" t="s">
        <v>1542</v>
      </c>
      <c r="E476" t="s">
        <v>1069</v>
      </c>
      <c r="F476" t="s">
        <v>2221</v>
      </c>
      <c r="G476" t="s">
        <v>1069</v>
      </c>
      <c r="H476" t="s">
        <v>2222</v>
      </c>
      <c r="I476" t="s">
        <v>1069</v>
      </c>
    </row>
    <row r="477" spans="1:9">
      <c r="A477" t="s">
        <v>2223</v>
      </c>
      <c r="B477" t="s">
        <v>2153</v>
      </c>
      <c r="C477" t="s">
        <v>1069</v>
      </c>
      <c r="D477" t="s">
        <v>1387</v>
      </c>
      <c r="E477" t="s">
        <v>1069</v>
      </c>
      <c r="F477" t="s">
        <v>1996</v>
      </c>
      <c r="G477" t="s">
        <v>1069</v>
      </c>
      <c r="H477" t="s">
        <v>2224</v>
      </c>
      <c r="I477" t="s">
        <v>1069</v>
      </c>
    </row>
    <row r="478" spans="1:9">
      <c r="A478" t="s">
        <v>2225</v>
      </c>
      <c r="B478" t="s">
        <v>1603</v>
      </c>
      <c r="C478" t="s">
        <v>1069</v>
      </c>
      <c r="D478" t="s">
        <v>2026</v>
      </c>
      <c r="E478" t="s">
        <v>1069</v>
      </c>
      <c r="F478" t="s">
        <v>1363</v>
      </c>
      <c r="G478" t="s">
        <v>1069</v>
      </c>
      <c r="H478" t="s">
        <v>2226</v>
      </c>
      <c r="I478" t="s">
        <v>1069</v>
      </c>
    </row>
    <row r="479" spans="1:9">
      <c r="A479" t="s">
        <v>2227</v>
      </c>
      <c r="B479" t="s">
        <v>2228</v>
      </c>
      <c r="C479" t="s">
        <v>1069</v>
      </c>
      <c r="D479" t="s">
        <v>1351</v>
      </c>
      <c r="E479" t="s">
        <v>1069</v>
      </c>
      <c r="F479" t="s">
        <v>1353</v>
      </c>
      <c r="G479" t="s">
        <v>1069</v>
      </c>
      <c r="H479" t="s">
        <v>2229</v>
      </c>
      <c r="I479" t="s">
        <v>1069</v>
      </c>
    </row>
    <row r="480" spans="1:9">
      <c r="A480" t="s">
        <v>2230</v>
      </c>
      <c r="B480" t="s">
        <v>1583</v>
      </c>
      <c r="C480" t="s">
        <v>1069</v>
      </c>
      <c r="D480" t="s">
        <v>1511</v>
      </c>
      <c r="E480" t="s">
        <v>1069</v>
      </c>
      <c r="F480" t="s">
        <v>1352</v>
      </c>
      <c r="G480" t="s">
        <v>1069</v>
      </c>
      <c r="H480" t="s">
        <v>2231</v>
      </c>
      <c r="I480" t="s">
        <v>1069</v>
      </c>
    </row>
    <row r="481" spans="1:9">
      <c r="A481" t="s">
        <v>2232</v>
      </c>
      <c r="B481" t="s">
        <v>1586</v>
      </c>
      <c r="C481" t="s">
        <v>1069</v>
      </c>
      <c r="D481" t="s">
        <v>1356</v>
      </c>
      <c r="E481" t="s">
        <v>1069</v>
      </c>
      <c r="F481" t="s">
        <v>1361</v>
      </c>
      <c r="G481" t="s">
        <v>1069</v>
      </c>
      <c r="H481" t="s">
        <v>2233</v>
      </c>
      <c r="I481" t="s">
        <v>1069</v>
      </c>
    </row>
    <row r="482" spans="1:9">
      <c r="A482" t="s">
        <v>2234</v>
      </c>
      <c r="B482" t="s">
        <v>1595</v>
      </c>
      <c r="C482" t="s">
        <v>1069</v>
      </c>
      <c r="D482" t="s">
        <v>1207</v>
      </c>
      <c r="E482" t="s">
        <v>1069</v>
      </c>
      <c r="F482" t="s">
        <v>1220</v>
      </c>
      <c r="G482" t="s">
        <v>1069</v>
      </c>
      <c r="H482" t="s">
        <v>2235</v>
      </c>
      <c r="I482" t="s">
        <v>1069</v>
      </c>
    </row>
    <row r="483" spans="1:9">
      <c r="A483" t="s">
        <v>2236</v>
      </c>
      <c r="B483" t="s">
        <v>1266</v>
      </c>
      <c r="C483" t="s">
        <v>1069</v>
      </c>
      <c r="D483" t="s">
        <v>1167</v>
      </c>
      <c r="E483" t="s">
        <v>1069</v>
      </c>
      <c r="F483" t="s">
        <v>1888</v>
      </c>
      <c r="G483" t="s">
        <v>1069</v>
      </c>
      <c r="H483" t="s">
        <v>2237</v>
      </c>
      <c r="I483" t="s">
        <v>1069</v>
      </c>
    </row>
    <row r="484" spans="1:9">
      <c r="A484" t="s">
        <v>2238</v>
      </c>
      <c r="B484" t="s">
        <v>1261</v>
      </c>
      <c r="C484" t="s">
        <v>1069</v>
      </c>
      <c r="D484" t="s">
        <v>1235</v>
      </c>
      <c r="E484" t="s">
        <v>1069</v>
      </c>
      <c r="F484" t="s">
        <v>2239</v>
      </c>
      <c r="G484" t="s">
        <v>1069</v>
      </c>
      <c r="H484" t="s">
        <v>2240</v>
      </c>
      <c r="I484" t="s">
        <v>1069</v>
      </c>
    </row>
    <row r="485" spans="1:9">
      <c r="A485" t="s">
        <v>2241</v>
      </c>
      <c r="B485" t="s">
        <v>1191</v>
      </c>
      <c r="C485" t="s">
        <v>1069</v>
      </c>
      <c r="D485" t="s">
        <v>1586</v>
      </c>
      <c r="E485" t="s">
        <v>1069</v>
      </c>
      <c r="F485" t="s">
        <v>2040</v>
      </c>
      <c r="G485" t="s">
        <v>1069</v>
      </c>
      <c r="H485" t="s">
        <v>2242</v>
      </c>
      <c r="I485" t="s">
        <v>1069</v>
      </c>
    </row>
    <row r="486" spans="1:9">
      <c r="A486" t="s">
        <v>2243</v>
      </c>
      <c r="B486" t="s">
        <v>1175</v>
      </c>
      <c r="C486" t="s">
        <v>1069</v>
      </c>
      <c r="D486" t="s">
        <v>1176</v>
      </c>
      <c r="E486" t="s">
        <v>1069</v>
      </c>
      <c r="F486" t="s">
        <v>2039</v>
      </c>
      <c r="G486" t="s">
        <v>1069</v>
      </c>
      <c r="H486" t="s">
        <v>2244</v>
      </c>
      <c r="I486" t="s">
        <v>1069</v>
      </c>
    </row>
    <row r="487" spans="1:9">
      <c r="A487" t="s">
        <v>2245</v>
      </c>
      <c r="B487" t="s">
        <v>1238</v>
      </c>
      <c r="C487" t="s">
        <v>1069</v>
      </c>
      <c r="D487" t="s">
        <v>1172</v>
      </c>
      <c r="E487" t="s">
        <v>1069</v>
      </c>
      <c r="F487" t="s">
        <v>1200</v>
      </c>
      <c r="G487" t="s">
        <v>1069</v>
      </c>
      <c r="H487" t="s">
        <v>2246</v>
      </c>
      <c r="I487" t="s">
        <v>1069</v>
      </c>
    </row>
    <row r="488" spans="1:9">
      <c r="A488" t="s">
        <v>2247</v>
      </c>
      <c r="B488" t="s">
        <v>1534</v>
      </c>
      <c r="C488" t="s">
        <v>1069</v>
      </c>
      <c r="D488" t="s">
        <v>1579</v>
      </c>
      <c r="E488" t="s">
        <v>1069</v>
      </c>
      <c r="F488" t="s">
        <v>1403</v>
      </c>
      <c r="G488" t="s">
        <v>1069</v>
      </c>
      <c r="H488" t="s">
        <v>2248</v>
      </c>
      <c r="I488" t="s">
        <v>1069</v>
      </c>
    </row>
    <row r="489" spans="1:9">
      <c r="A489" t="s">
        <v>2249</v>
      </c>
      <c r="B489" t="s">
        <v>1279</v>
      </c>
      <c r="C489" t="s">
        <v>1069</v>
      </c>
      <c r="D489" t="s">
        <v>1167</v>
      </c>
      <c r="E489" t="s">
        <v>1069</v>
      </c>
      <c r="F489" t="s">
        <v>1573</v>
      </c>
      <c r="G489" t="s">
        <v>1069</v>
      </c>
      <c r="H489" t="s">
        <v>2250</v>
      </c>
      <c r="I489" t="s">
        <v>1069</v>
      </c>
    </row>
    <row r="490" spans="1:9">
      <c r="A490" t="s">
        <v>2251</v>
      </c>
      <c r="B490" t="s">
        <v>1162</v>
      </c>
      <c r="C490" t="s">
        <v>1069</v>
      </c>
      <c r="D490" t="s">
        <v>1231</v>
      </c>
      <c r="E490" t="s">
        <v>1069</v>
      </c>
      <c r="F490" t="s">
        <v>1172</v>
      </c>
      <c r="G490" t="s">
        <v>1069</v>
      </c>
      <c r="H490" t="s">
        <v>2252</v>
      </c>
      <c r="I490" t="s">
        <v>1069</v>
      </c>
    </row>
    <row r="491" spans="1:9">
      <c r="A491" t="s">
        <v>2253</v>
      </c>
      <c r="B491" t="s">
        <v>1110</v>
      </c>
      <c r="C491" t="s">
        <v>1069</v>
      </c>
      <c r="D491" t="s">
        <v>1595</v>
      </c>
      <c r="E491" t="s">
        <v>1069</v>
      </c>
      <c r="F491" t="s">
        <v>1317</v>
      </c>
      <c r="G491" t="s">
        <v>1069</v>
      </c>
      <c r="H491" t="s">
        <v>2254</v>
      </c>
      <c r="I491" t="s">
        <v>1069</v>
      </c>
    </row>
    <row r="492" spans="1:9">
      <c r="A492" t="s">
        <v>2255</v>
      </c>
      <c r="B492" t="s">
        <v>1276</v>
      </c>
      <c r="C492" t="s">
        <v>1069</v>
      </c>
      <c r="D492" t="s">
        <v>1162</v>
      </c>
      <c r="E492" t="s">
        <v>1069</v>
      </c>
      <c r="F492" t="s">
        <v>1328</v>
      </c>
      <c r="G492" t="s">
        <v>1069</v>
      </c>
      <c r="H492" t="s">
        <v>1459</v>
      </c>
      <c r="I492" t="s">
        <v>1069</v>
      </c>
    </row>
    <row r="493" spans="1:9">
      <c r="A493" t="s">
        <v>2256</v>
      </c>
      <c r="B493" t="s">
        <v>1276</v>
      </c>
      <c r="C493" t="s">
        <v>1069</v>
      </c>
      <c r="D493" t="s">
        <v>1162</v>
      </c>
      <c r="E493" t="s">
        <v>1069</v>
      </c>
      <c r="F493" t="s">
        <v>1247</v>
      </c>
      <c r="G493" t="s">
        <v>1069</v>
      </c>
      <c r="H493" t="s">
        <v>2257</v>
      </c>
      <c r="I493" t="s">
        <v>1069</v>
      </c>
    </row>
    <row r="494" spans="1:9">
      <c r="A494" t="s">
        <v>2258</v>
      </c>
      <c r="B494" t="s">
        <v>1090</v>
      </c>
      <c r="C494" t="s">
        <v>1069</v>
      </c>
      <c r="D494" t="s">
        <v>1234</v>
      </c>
      <c r="E494" t="s">
        <v>1069</v>
      </c>
      <c r="F494" t="s">
        <v>1231</v>
      </c>
      <c r="G494" t="s">
        <v>1069</v>
      </c>
      <c r="H494" t="s">
        <v>2259</v>
      </c>
      <c r="I494" t="s">
        <v>1069</v>
      </c>
    </row>
    <row r="495" spans="1:9">
      <c r="A495" t="s">
        <v>2260</v>
      </c>
      <c r="B495" t="s">
        <v>1140</v>
      </c>
      <c r="C495" t="s">
        <v>1069</v>
      </c>
      <c r="D495" t="s">
        <v>1095</v>
      </c>
      <c r="E495" t="s">
        <v>1069</v>
      </c>
      <c r="F495" t="s">
        <v>1175</v>
      </c>
      <c r="G495" t="s">
        <v>1069</v>
      </c>
      <c r="H495" t="s">
        <v>1117</v>
      </c>
      <c r="I495" t="s">
        <v>1069</v>
      </c>
    </row>
    <row r="496" spans="1:9">
      <c r="A496" t="s">
        <v>2261</v>
      </c>
      <c r="B496" t="s">
        <v>1079</v>
      </c>
      <c r="C496" t="s">
        <v>1069</v>
      </c>
      <c r="D496" t="s">
        <v>1122</v>
      </c>
      <c r="E496" t="s">
        <v>1069</v>
      </c>
      <c r="F496" t="s">
        <v>1076</v>
      </c>
      <c r="G496" t="s">
        <v>1069</v>
      </c>
      <c r="H496" t="s">
        <v>2262</v>
      </c>
      <c r="I496" t="s">
        <v>1069</v>
      </c>
    </row>
    <row r="497" spans="1:9">
      <c r="A497" t="s">
        <v>2263</v>
      </c>
      <c r="B497" t="s">
        <v>1102</v>
      </c>
      <c r="C497" t="s">
        <v>1069</v>
      </c>
      <c r="D497" t="s">
        <v>1098</v>
      </c>
      <c r="E497" t="s">
        <v>1069</v>
      </c>
      <c r="F497" t="s">
        <v>1266</v>
      </c>
      <c r="G497" t="s">
        <v>1069</v>
      </c>
      <c r="H497" t="s">
        <v>2264</v>
      </c>
      <c r="I497" t="s">
        <v>1069</v>
      </c>
    </row>
    <row r="498" spans="1:9">
      <c r="A498" t="s">
        <v>2265</v>
      </c>
      <c r="B498" t="s">
        <v>1265</v>
      </c>
      <c r="C498" t="s">
        <v>1069</v>
      </c>
      <c r="D498" t="s">
        <v>1139</v>
      </c>
      <c r="E498" t="s">
        <v>1069</v>
      </c>
      <c r="F498" t="s">
        <v>1090</v>
      </c>
      <c r="G498" t="s">
        <v>1069</v>
      </c>
      <c r="H498" t="s">
        <v>2149</v>
      </c>
      <c r="I498" t="s">
        <v>1069</v>
      </c>
    </row>
    <row r="499" spans="1:9">
      <c r="A499" t="s">
        <v>2266</v>
      </c>
      <c r="B499" t="s">
        <v>1128</v>
      </c>
      <c r="C499" t="s">
        <v>1069</v>
      </c>
      <c r="D499" t="s">
        <v>1103</v>
      </c>
      <c r="E499" t="s">
        <v>1069</v>
      </c>
      <c r="F499" t="s">
        <v>1095</v>
      </c>
      <c r="G499" t="s">
        <v>1069</v>
      </c>
      <c r="H499" t="s">
        <v>2267</v>
      </c>
      <c r="I499" t="s">
        <v>1069</v>
      </c>
    </row>
    <row r="500" spans="1:9">
      <c r="A500" t="s">
        <v>2268</v>
      </c>
      <c r="B500" t="s">
        <v>1107</v>
      </c>
      <c r="C500" t="s">
        <v>1069</v>
      </c>
      <c r="D500" t="s">
        <v>1103</v>
      </c>
      <c r="E500" t="s">
        <v>1069</v>
      </c>
      <c r="F500" t="s">
        <v>1242</v>
      </c>
      <c r="G500" t="s">
        <v>1069</v>
      </c>
      <c r="H500" t="s">
        <v>2269</v>
      </c>
      <c r="I500" t="s">
        <v>1069</v>
      </c>
    </row>
    <row r="501" spans="1:9">
      <c r="A501" t="s">
        <v>2270</v>
      </c>
      <c r="B501" t="s">
        <v>1107</v>
      </c>
      <c r="C501" t="s">
        <v>1069</v>
      </c>
      <c r="D501" t="s">
        <v>1103</v>
      </c>
      <c r="E501" t="s">
        <v>1069</v>
      </c>
      <c r="F501" t="s">
        <v>1095</v>
      </c>
      <c r="G501" t="s">
        <v>1069</v>
      </c>
      <c r="H501" t="s">
        <v>2271</v>
      </c>
      <c r="I501" t="s">
        <v>1069</v>
      </c>
    </row>
    <row r="502" spans="1:9">
      <c r="A502" t="s">
        <v>2272</v>
      </c>
      <c r="B502" t="s">
        <v>1102</v>
      </c>
      <c r="C502" t="s">
        <v>1069</v>
      </c>
      <c r="D502" t="s">
        <v>1103</v>
      </c>
      <c r="E502" t="s">
        <v>1069</v>
      </c>
      <c r="F502" t="s">
        <v>1110</v>
      </c>
      <c r="G502" t="s">
        <v>1069</v>
      </c>
      <c r="H502" t="s">
        <v>2273</v>
      </c>
      <c r="I502" t="s">
        <v>1069</v>
      </c>
    </row>
    <row r="503" spans="1:9">
      <c r="A503" t="s">
        <v>2274</v>
      </c>
      <c r="B503" t="s">
        <v>1102</v>
      </c>
      <c r="C503" t="s">
        <v>1069</v>
      </c>
      <c r="D503" t="s">
        <v>1079</v>
      </c>
      <c r="E503" t="s">
        <v>1069</v>
      </c>
      <c r="F503" t="s">
        <v>1080</v>
      </c>
      <c r="G503" t="s">
        <v>1069</v>
      </c>
      <c r="H503" t="s">
        <v>2275</v>
      </c>
      <c r="I503" t="s">
        <v>1069</v>
      </c>
    </row>
    <row r="504" spans="1:9">
      <c r="A504" t="s">
        <v>2276</v>
      </c>
      <c r="B504" t="s">
        <v>1128</v>
      </c>
      <c r="C504" t="s">
        <v>1069</v>
      </c>
      <c r="D504" t="s">
        <v>1139</v>
      </c>
      <c r="E504" t="s">
        <v>1069</v>
      </c>
      <c r="F504" t="s">
        <v>1140</v>
      </c>
      <c r="G504" t="s">
        <v>1069</v>
      </c>
      <c r="H504" t="s">
        <v>2277</v>
      </c>
      <c r="I504" t="s">
        <v>1069</v>
      </c>
    </row>
    <row r="505" spans="1:9">
      <c r="A505" t="s">
        <v>2278</v>
      </c>
      <c r="B505" t="s">
        <v>1125</v>
      </c>
      <c r="C505" t="s">
        <v>1069</v>
      </c>
      <c r="D505" t="s">
        <v>1116</v>
      </c>
      <c r="E505" t="s">
        <v>1069</v>
      </c>
      <c r="F505" t="s">
        <v>1436</v>
      </c>
      <c r="G505" t="s">
        <v>1069</v>
      </c>
      <c r="H505" t="s">
        <v>2279</v>
      </c>
      <c r="I505" t="s">
        <v>1069</v>
      </c>
    </row>
    <row r="506" spans="1:9">
      <c r="A506" t="s">
        <v>2280</v>
      </c>
      <c r="B506" t="s">
        <v>1265</v>
      </c>
      <c r="C506" t="s">
        <v>1069</v>
      </c>
      <c r="D506" t="s">
        <v>1260</v>
      </c>
      <c r="E506" t="s">
        <v>1069</v>
      </c>
      <c r="F506" t="s">
        <v>1310</v>
      </c>
      <c r="G506" t="s">
        <v>1069</v>
      </c>
      <c r="H506" t="s">
        <v>2281</v>
      </c>
      <c r="I506" t="s">
        <v>1069</v>
      </c>
    </row>
    <row r="507" spans="1:9">
      <c r="A507" t="s">
        <v>2282</v>
      </c>
      <c r="B507" t="s">
        <v>1152</v>
      </c>
      <c r="C507" t="s">
        <v>1069</v>
      </c>
      <c r="D507" t="s">
        <v>1136</v>
      </c>
      <c r="E507" t="s">
        <v>1069</v>
      </c>
      <c r="F507" t="s">
        <v>1116</v>
      </c>
      <c r="G507" t="s">
        <v>1069</v>
      </c>
      <c r="H507" t="s">
        <v>2283</v>
      </c>
      <c r="I507" t="s">
        <v>1069</v>
      </c>
    </row>
    <row r="508" spans="1:9">
      <c r="A508" t="s">
        <v>2284</v>
      </c>
      <c r="B508" t="s">
        <v>1152</v>
      </c>
      <c r="C508" t="s">
        <v>1069</v>
      </c>
      <c r="D508" t="s">
        <v>1128</v>
      </c>
      <c r="E508" t="s">
        <v>1069</v>
      </c>
      <c r="F508" t="s">
        <v>1093</v>
      </c>
      <c r="G508" t="s">
        <v>1069</v>
      </c>
      <c r="H508" t="s">
        <v>2285</v>
      </c>
      <c r="I508" t="s">
        <v>1069</v>
      </c>
    </row>
    <row r="509" spans="1:9">
      <c r="A509" t="s">
        <v>2286</v>
      </c>
      <c r="B509" t="s">
        <v>1270</v>
      </c>
      <c r="C509" t="s">
        <v>1069</v>
      </c>
      <c r="D509" t="s">
        <v>1125</v>
      </c>
      <c r="E509" t="s">
        <v>1069</v>
      </c>
      <c r="F509" t="s">
        <v>1107</v>
      </c>
      <c r="G509" t="s">
        <v>1069</v>
      </c>
      <c r="H509" t="s">
        <v>2287</v>
      </c>
      <c r="I509" t="s">
        <v>1069</v>
      </c>
    </row>
    <row r="510" spans="1:9">
      <c r="A510" t="s">
        <v>2288</v>
      </c>
      <c r="B510" t="s">
        <v>1152</v>
      </c>
      <c r="C510" t="s">
        <v>1069</v>
      </c>
      <c r="D510" t="s">
        <v>1136</v>
      </c>
      <c r="E510" t="s">
        <v>1069</v>
      </c>
      <c r="F510" t="s">
        <v>1093</v>
      </c>
      <c r="G510" t="s">
        <v>1069</v>
      </c>
      <c r="H510" t="s">
        <v>2289</v>
      </c>
      <c r="I510" t="s">
        <v>1069</v>
      </c>
    </row>
    <row r="511" spans="1:9">
      <c r="A511" t="s">
        <v>2290</v>
      </c>
      <c r="B511" t="s">
        <v>1265</v>
      </c>
      <c r="C511" t="s">
        <v>1069</v>
      </c>
      <c r="D511" t="s">
        <v>1260</v>
      </c>
      <c r="E511" t="s">
        <v>1069</v>
      </c>
      <c r="F511" t="s">
        <v>1103</v>
      </c>
      <c r="G511" t="s">
        <v>1069</v>
      </c>
      <c r="H511" t="s">
        <v>1160</v>
      </c>
      <c r="I511" t="s">
        <v>1069</v>
      </c>
    </row>
    <row r="512" spans="1:9">
      <c r="A512" t="s">
        <v>2291</v>
      </c>
      <c r="B512" t="s">
        <v>1121</v>
      </c>
      <c r="C512" t="s">
        <v>1069</v>
      </c>
      <c r="D512" t="s">
        <v>1139</v>
      </c>
      <c r="E512" t="s">
        <v>1069</v>
      </c>
      <c r="F512" t="s">
        <v>1085</v>
      </c>
      <c r="G512" t="s">
        <v>1069</v>
      </c>
      <c r="H512" t="s">
        <v>1412</v>
      </c>
      <c r="I512" t="s">
        <v>1069</v>
      </c>
    </row>
    <row r="513" spans="1:9">
      <c r="A513" t="s">
        <v>2292</v>
      </c>
      <c r="B513" t="s">
        <v>1260</v>
      </c>
      <c r="C513" t="s">
        <v>1069</v>
      </c>
      <c r="D513" t="s">
        <v>1074</v>
      </c>
      <c r="E513" t="s">
        <v>1069</v>
      </c>
      <c r="F513" t="s">
        <v>1162</v>
      </c>
      <c r="G513" t="s">
        <v>1069</v>
      </c>
      <c r="H513" t="s">
        <v>2293</v>
      </c>
      <c r="I513" t="s">
        <v>1069</v>
      </c>
    </row>
    <row r="514" spans="1:9">
      <c r="A514" t="s">
        <v>2294</v>
      </c>
      <c r="B514" t="s">
        <v>1116</v>
      </c>
      <c r="C514" t="s">
        <v>1069</v>
      </c>
      <c r="D514" t="s">
        <v>1103</v>
      </c>
      <c r="E514" t="s">
        <v>1069</v>
      </c>
      <c r="F514" t="s">
        <v>1242</v>
      </c>
      <c r="G514" t="s">
        <v>1069</v>
      </c>
      <c r="H514" t="s">
        <v>2295</v>
      </c>
      <c r="I514" t="s">
        <v>1069</v>
      </c>
    </row>
    <row r="515" spans="1:9">
      <c r="A515" t="s">
        <v>2296</v>
      </c>
      <c r="B515" t="s">
        <v>1116</v>
      </c>
      <c r="C515" t="s">
        <v>1069</v>
      </c>
      <c r="D515" t="s">
        <v>1079</v>
      </c>
      <c r="E515" t="s">
        <v>1069</v>
      </c>
      <c r="F515" t="s">
        <v>1104</v>
      </c>
      <c r="G515" t="s">
        <v>1069</v>
      </c>
      <c r="H515" t="s">
        <v>2297</v>
      </c>
      <c r="I515" t="s">
        <v>1069</v>
      </c>
    </row>
    <row r="516" spans="1:9">
      <c r="A516" t="s">
        <v>2298</v>
      </c>
      <c r="B516" t="s">
        <v>1139</v>
      </c>
      <c r="C516" t="s">
        <v>1069</v>
      </c>
      <c r="D516" t="s">
        <v>1084</v>
      </c>
      <c r="E516" t="s">
        <v>1069</v>
      </c>
      <c r="F516" t="s">
        <v>1266</v>
      </c>
      <c r="G516" t="s">
        <v>1069</v>
      </c>
      <c r="H516" t="s">
        <v>2299</v>
      </c>
      <c r="I516" t="s">
        <v>1069</v>
      </c>
    </row>
    <row r="517" spans="1:9">
      <c r="A517" t="s">
        <v>2300</v>
      </c>
      <c r="B517" t="s">
        <v>1139</v>
      </c>
      <c r="C517" t="s">
        <v>1069</v>
      </c>
      <c r="D517" t="s">
        <v>1436</v>
      </c>
      <c r="E517" t="s">
        <v>1069</v>
      </c>
      <c r="F517" t="s">
        <v>1266</v>
      </c>
      <c r="G517" t="s">
        <v>1069</v>
      </c>
      <c r="H517" t="s">
        <v>2301</v>
      </c>
      <c r="I517" t="s">
        <v>1069</v>
      </c>
    </row>
    <row r="518" spans="1:9">
      <c r="A518" t="s">
        <v>2302</v>
      </c>
      <c r="B518" t="s">
        <v>1139</v>
      </c>
      <c r="C518" t="s">
        <v>1069</v>
      </c>
      <c r="D518" t="s">
        <v>1098</v>
      </c>
      <c r="E518" t="s">
        <v>1069</v>
      </c>
      <c r="F518" t="s">
        <v>1095</v>
      </c>
      <c r="G518" t="s">
        <v>1069</v>
      </c>
      <c r="H518" t="s">
        <v>2303</v>
      </c>
      <c r="I518" t="s">
        <v>1069</v>
      </c>
    </row>
    <row r="519" spans="1:9">
      <c r="A519" t="s">
        <v>2304</v>
      </c>
      <c r="B519" t="s">
        <v>1107</v>
      </c>
      <c r="C519" t="s">
        <v>1069</v>
      </c>
      <c r="D519" t="s">
        <v>1089</v>
      </c>
      <c r="E519" t="s">
        <v>1069</v>
      </c>
      <c r="F519" t="s">
        <v>1122</v>
      </c>
      <c r="G519" t="s">
        <v>1069</v>
      </c>
      <c r="H519" t="s">
        <v>2305</v>
      </c>
      <c r="I519" t="s">
        <v>1069</v>
      </c>
    </row>
    <row r="520" spans="1:9">
      <c r="A520" t="s">
        <v>2306</v>
      </c>
      <c r="B520" t="s">
        <v>1125</v>
      </c>
      <c r="C520" t="s">
        <v>1069</v>
      </c>
      <c r="D520" t="s">
        <v>1102</v>
      </c>
      <c r="E520" t="s">
        <v>1069</v>
      </c>
      <c r="F520" t="s">
        <v>1084</v>
      </c>
      <c r="G520" t="s">
        <v>1069</v>
      </c>
      <c r="H520" t="s">
        <v>2307</v>
      </c>
      <c r="I520" t="s">
        <v>1069</v>
      </c>
    </row>
    <row r="521" spans="1:9">
      <c r="A521" t="s">
        <v>2308</v>
      </c>
      <c r="B521" t="s">
        <v>1284</v>
      </c>
      <c r="C521" t="s">
        <v>1069</v>
      </c>
      <c r="D521" t="s">
        <v>1260</v>
      </c>
      <c r="E521" t="s">
        <v>1069</v>
      </c>
      <c r="F521" t="s">
        <v>1103</v>
      </c>
      <c r="G521" t="s">
        <v>1069</v>
      </c>
      <c r="H521" t="s">
        <v>2309</v>
      </c>
      <c r="I521" t="s">
        <v>1069</v>
      </c>
    </row>
    <row r="522" spans="1:9">
      <c r="A522" t="s">
        <v>2310</v>
      </c>
      <c r="B522" t="s">
        <v>1255</v>
      </c>
      <c r="C522" t="s">
        <v>1069</v>
      </c>
      <c r="D522" t="s">
        <v>1265</v>
      </c>
      <c r="E522" t="s">
        <v>1069</v>
      </c>
      <c r="F522" t="s">
        <v>1102</v>
      </c>
      <c r="G522" t="s">
        <v>1069</v>
      </c>
      <c r="H522" t="s">
        <v>2159</v>
      </c>
      <c r="I522" t="s">
        <v>1069</v>
      </c>
    </row>
    <row r="523" spans="1:9">
      <c r="A523" t="s">
        <v>2311</v>
      </c>
      <c r="B523" t="s">
        <v>1288</v>
      </c>
      <c r="C523" t="s">
        <v>1069</v>
      </c>
      <c r="D523" t="s">
        <v>1255</v>
      </c>
      <c r="E523" t="s">
        <v>1069</v>
      </c>
      <c r="F523" t="s">
        <v>1093</v>
      </c>
      <c r="G523" t="s">
        <v>1069</v>
      </c>
      <c r="H523" t="s">
        <v>2312</v>
      </c>
      <c r="I523" t="s">
        <v>1069</v>
      </c>
    </row>
    <row r="524" spans="1:9">
      <c r="A524" t="s">
        <v>2313</v>
      </c>
      <c r="B524" t="s">
        <v>1476</v>
      </c>
      <c r="C524" t="s">
        <v>1069</v>
      </c>
      <c r="D524" t="s">
        <v>1259</v>
      </c>
      <c r="E524" t="s">
        <v>1069</v>
      </c>
      <c r="F524" t="s">
        <v>1284</v>
      </c>
      <c r="G524" t="s">
        <v>1069</v>
      </c>
      <c r="H524" t="s">
        <v>2314</v>
      </c>
      <c r="I524" t="s">
        <v>1069</v>
      </c>
    </row>
    <row r="525" spans="1:9">
      <c r="A525" t="s">
        <v>2315</v>
      </c>
      <c r="B525" t="s">
        <v>1476</v>
      </c>
      <c r="C525" t="s">
        <v>1069</v>
      </c>
      <c r="D525" t="s">
        <v>1293</v>
      </c>
      <c r="E525" t="s">
        <v>1069</v>
      </c>
      <c r="F525" t="s">
        <v>1284</v>
      </c>
      <c r="G525" t="s">
        <v>1069</v>
      </c>
      <c r="H525" t="s">
        <v>2316</v>
      </c>
      <c r="I525" t="s">
        <v>1069</v>
      </c>
    </row>
    <row r="526" spans="1:9">
      <c r="A526" t="s">
        <v>2317</v>
      </c>
      <c r="B526" t="s">
        <v>1152</v>
      </c>
      <c r="C526" t="s">
        <v>1069</v>
      </c>
      <c r="D526" t="s">
        <v>1128</v>
      </c>
      <c r="E526" t="s">
        <v>1069</v>
      </c>
      <c r="F526" t="s">
        <v>1068</v>
      </c>
      <c r="G526" t="s">
        <v>1069</v>
      </c>
      <c r="H526" t="s">
        <v>2318</v>
      </c>
      <c r="I526" t="s">
        <v>1069</v>
      </c>
    </row>
    <row r="527" spans="1:9">
      <c r="A527" t="s">
        <v>2319</v>
      </c>
      <c r="B527" t="s">
        <v>1107</v>
      </c>
      <c r="C527" t="s">
        <v>1069</v>
      </c>
      <c r="D527" t="s">
        <v>1068</v>
      </c>
      <c r="E527" t="s">
        <v>1069</v>
      </c>
      <c r="F527" t="s">
        <v>1095</v>
      </c>
      <c r="G527" t="s">
        <v>1069</v>
      </c>
      <c r="H527" t="s">
        <v>2320</v>
      </c>
      <c r="I527" t="s">
        <v>1069</v>
      </c>
    </row>
    <row r="528" spans="1:9">
      <c r="A528" t="s">
        <v>2321</v>
      </c>
      <c r="B528" t="s">
        <v>1089</v>
      </c>
      <c r="C528" t="s">
        <v>1069</v>
      </c>
      <c r="D528" t="s">
        <v>1276</v>
      </c>
      <c r="E528" t="s">
        <v>1069</v>
      </c>
      <c r="F528" t="s">
        <v>1086</v>
      </c>
      <c r="G528" t="s">
        <v>1069</v>
      </c>
      <c r="H528" t="s">
        <v>2322</v>
      </c>
      <c r="I528" t="s">
        <v>1069</v>
      </c>
    </row>
    <row r="529" spans="1:9">
      <c r="A529" t="s">
        <v>2323</v>
      </c>
      <c r="B529" t="s">
        <v>1129</v>
      </c>
      <c r="C529" t="s">
        <v>1069</v>
      </c>
      <c r="D529" t="s">
        <v>1094</v>
      </c>
      <c r="E529" t="s">
        <v>1069</v>
      </c>
      <c r="F529" t="s">
        <v>1071</v>
      </c>
      <c r="G529" t="s">
        <v>1069</v>
      </c>
      <c r="H529" t="s">
        <v>2324</v>
      </c>
      <c r="I529" t="s">
        <v>1069</v>
      </c>
    </row>
    <row r="530" spans="1:9">
      <c r="A530" t="s">
        <v>2325</v>
      </c>
      <c r="B530" t="s">
        <v>1074</v>
      </c>
      <c r="C530" t="s">
        <v>1069</v>
      </c>
      <c r="D530" t="s">
        <v>1504</v>
      </c>
      <c r="E530" t="s">
        <v>1069</v>
      </c>
      <c r="F530" t="s">
        <v>1595</v>
      </c>
      <c r="G530" t="s">
        <v>1069</v>
      </c>
      <c r="H530" t="s">
        <v>2326</v>
      </c>
      <c r="I530" t="s">
        <v>1069</v>
      </c>
    </row>
    <row r="531" spans="1:9">
      <c r="A531" t="s">
        <v>2327</v>
      </c>
      <c r="B531" t="s">
        <v>1103</v>
      </c>
      <c r="C531" t="s">
        <v>1069</v>
      </c>
      <c r="D531" t="s">
        <v>1075</v>
      </c>
      <c r="E531" t="s">
        <v>1069</v>
      </c>
      <c r="F531" t="s">
        <v>1534</v>
      </c>
      <c r="G531" t="s">
        <v>1069</v>
      </c>
      <c r="H531" t="s">
        <v>2328</v>
      </c>
      <c r="I531" t="s">
        <v>1069</v>
      </c>
    </row>
    <row r="532" spans="1:9">
      <c r="A532" t="s">
        <v>2329</v>
      </c>
      <c r="B532" t="s">
        <v>1079</v>
      </c>
      <c r="C532" t="s">
        <v>1069</v>
      </c>
      <c r="D532" t="s">
        <v>1504</v>
      </c>
      <c r="E532" t="s">
        <v>1069</v>
      </c>
      <c r="F532" t="s">
        <v>1099</v>
      </c>
      <c r="G532" t="s">
        <v>1069</v>
      </c>
      <c r="H532" t="s">
        <v>2330</v>
      </c>
      <c r="I532" t="s">
        <v>1069</v>
      </c>
    </row>
    <row r="533" spans="1:9">
      <c r="A533" t="s">
        <v>2331</v>
      </c>
      <c r="B533" t="s">
        <v>1103</v>
      </c>
      <c r="C533" t="s">
        <v>1069</v>
      </c>
      <c r="D533" t="s">
        <v>1070</v>
      </c>
      <c r="E533" t="s">
        <v>1069</v>
      </c>
      <c r="F533" t="s">
        <v>1534</v>
      </c>
      <c r="G533" t="s">
        <v>1069</v>
      </c>
      <c r="H533" t="s">
        <v>1854</v>
      </c>
      <c r="I533" t="s">
        <v>1069</v>
      </c>
    </row>
    <row r="534" spans="1:9">
      <c r="A534" t="s">
        <v>2332</v>
      </c>
      <c r="B534" t="s">
        <v>1068</v>
      </c>
      <c r="C534" t="s">
        <v>1069</v>
      </c>
      <c r="D534" t="s">
        <v>1140</v>
      </c>
      <c r="E534" t="s">
        <v>1069</v>
      </c>
      <c r="F534" t="s">
        <v>1095</v>
      </c>
      <c r="G534" t="s">
        <v>1069</v>
      </c>
      <c r="H534" t="s">
        <v>2333</v>
      </c>
      <c r="I534" t="s">
        <v>1069</v>
      </c>
    </row>
    <row r="535" spans="1:9">
      <c r="A535" t="s">
        <v>2334</v>
      </c>
      <c r="B535" t="s">
        <v>1260</v>
      </c>
      <c r="C535" t="s">
        <v>1069</v>
      </c>
      <c r="D535" t="s">
        <v>1089</v>
      </c>
      <c r="E535" t="s">
        <v>1069</v>
      </c>
      <c r="F535" t="s">
        <v>1122</v>
      </c>
      <c r="G535" t="s">
        <v>1069</v>
      </c>
      <c r="H535" t="s">
        <v>2335</v>
      </c>
      <c r="I535" t="s">
        <v>1069</v>
      </c>
    </row>
    <row r="536" spans="1:9">
      <c r="A536" t="s">
        <v>2336</v>
      </c>
      <c r="B536" t="s">
        <v>1143</v>
      </c>
      <c r="C536" t="s">
        <v>1069</v>
      </c>
      <c r="D536" t="s">
        <v>1089</v>
      </c>
      <c r="E536" t="s">
        <v>1069</v>
      </c>
      <c r="F536" t="s">
        <v>1075</v>
      </c>
      <c r="G536" t="s">
        <v>1069</v>
      </c>
      <c r="H536" t="s">
        <v>2277</v>
      </c>
      <c r="I536" t="s">
        <v>1069</v>
      </c>
    </row>
    <row r="537" spans="1:9">
      <c r="A537" t="s">
        <v>2337</v>
      </c>
      <c r="B537" t="s">
        <v>1107</v>
      </c>
      <c r="C537" t="s">
        <v>1069</v>
      </c>
      <c r="D537" t="s">
        <v>1068</v>
      </c>
      <c r="E537" t="s">
        <v>1069</v>
      </c>
      <c r="F537" t="s">
        <v>1504</v>
      </c>
      <c r="G537" t="s">
        <v>1069</v>
      </c>
      <c r="H537" t="s">
        <v>1881</v>
      </c>
      <c r="I537" t="s">
        <v>1069</v>
      </c>
    </row>
    <row r="538" spans="1:9">
      <c r="A538" t="s">
        <v>2338</v>
      </c>
      <c r="B538" t="s">
        <v>1116</v>
      </c>
      <c r="C538" t="s">
        <v>1069</v>
      </c>
      <c r="D538" t="s">
        <v>1436</v>
      </c>
      <c r="E538" t="s">
        <v>1069</v>
      </c>
      <c r="F538" t="s">
        <v>1534</v>
      </c>
      <c r="G538" t="s">
        <v>1069</v>
      </c>
      <c r="H538" t="s">
        <v>2339</v>
      </c>
      <c r="I538" t="s">
        <v>1069</v>
      </c>
    </row>
    <row r="539" spans="1:9">
      <c r="A539" t="s">
        <v>2340</v>
      </c>
      <c r="B539" t="s">
        <v>1089</v>
      </c>
      <c r="C539" t="s">
        <v>1069</v>
      </c>
      <c r="D539" t="s">
        <v>1276</v>
      </c>
      <c r="E539" t="s">
        <v>1069</v>
      </c>
      <c r="F539" t="s">
        <v>1223</v>
      </c>
      <c r="G539" t="s">
        <v>1069</v>
      </c>
      <c r="H539" t="s">
        <v>1830</v>
      </c>
      <c r="I539" t="s">
        <v>1069</v>
      </c>
    </row>
    <row r="540" spans="1:9">
      <c r="A540" t="s">
        <v>2341</v>
      </c>
      <c r="B540" t="s">
        <v>1144</v>
      </c>
      <c r="C540" t="s">
        <v>1069</v>
      </c>
      <c r="D540" t="s">
        <v>1266</v>
      </c>
      <c r="E540" t="s">
        <v>1069</v>
      </c>
      <c r="F540" t="s">
        <v>1285</v>
      </c>
      <c r="G540" t="s">
        <v>1069</v>
      </c>
      <c r="H540" t="s">
        <v>2342</v>
      </c>
      <c r="I540" t="s">
        <v>1069</v>
      </c>
    </row>
    <row r="541" spans="1:9">
      <c r="A541" t="s">
        <v>2343</v>
      </c>
      <c r="B541" t="s">
        <v>1070</v>
      </c>
      <c r="C541" t="s">
        <v>1069</v>
      </c>
      <c r="D541" t="s">
        <v>1234</v>
      </c>
      <c r="E541" t="s">
        <v>1069</v>
      </c>
      <c r="F541" t="s">
        <v>1171</v>
      </c>
      <c r="G541" t="s">
        <v>1069</v>
      </c>
      <c r="H541" t="s">
        <v>2344</v>
      </c>
      <c r="I541" t="s">
        <v>1502</v>
      </c>
    </row>
    <row r="542" spans="1:9">
      <c r="A542" t="s">
        <v>2345</v>
      </c>
      <c r="B542" t="s">
        <v>1080</v>
      </c>
      <c r="C542" t="s">
        <v>1069</v>
      </c>
      <c r="D542" t="s">
        <v>1071</v>
      </c>
      <c r="E542" t="s">
        <v>1069</v>
      </c>
      <c r="F542" t="s">
        <v>1256</v>
      </c>
      <c r="G542" t="s">
        <v>1069</v>
      </c>
      <c r="H542" t="s">
        <v>2314</v>
      </c>
      <c r="I542" t="s">
        <v>1069</v>
      </c>
    </row>
    <row r="543" spans="1:9">
      <c r="A543" t="s">
        <v>2346</v>
      </c>
      <c r="B543" t="s">
        <v>1085</v>
      </c>
      <c r="C543" t="s">
        <v>1069</v>
      </c>
      <c r="D543" t="s">
        <v>1071</v>
      </c>
      <c r="E543" t="s">
        <v>1069</v>
      </c>
      <c r="F543" t="s">
        <v>1261</v>
      </c>
      <c r="G543" t="s">
        <v>1069</v>
      </c>
      <c r="H543" t="s">
        <v>2347</v>
      </c>
      <c r="I543" t="s">
        <v>1069</v>
      </c>
    </row>
    <row r="544" spans="1:9">
      <c r="A544" t="s">
        <v>2348</v>
      </c>
      <c r="B544" t="s">
        <v>1095</v>
      </c>
      <c r="C544" t="s">
        <v>1069</v>
      </c>
      <c r="D544" t="s">
        <v>1175</v>
      </c>
      <c r="E544" t="s">
        <v>1069</v>
      </c>
      <c r="F544" t="s">
        <v>1176</v>
      </c>
      <c r="G544" t="s">
        <v>1069</v>
      </c>
      <c r="H544" t="s">
        <v>2349</v>
      </c>
      <c r="I544" t="s">
        <v>1069</v>
      </c>
    </row>
    <row r="545" spans="1:9">
      <c r="A545" t="s">
        <v>2350</v>
      </c>
      <c r="B545" t="s">
        <v>1071</v>
      </c>
      <c r="C545" t="s">
        <v>1069</v>
      </c>
      <c r="D545" t="s">
        <v>1247</v>
      </c>
      <c r="E545" t="s">
        <v>1069</v>
      </c>
      <c r="F545" t="s">
        <v>1414</v>
      </c>
      <c r="G545" t="s">
        <v>1069</v>
      </c>
      <c r="H545" t="s">
        <v>2351</v>
      </c>
      <c r="I545" t="s">
        <v>1069</v>
      </c>
    </row>
    <row r="546" spans="1:9">
      <c r="A546" t="s">
        <v>2352</v>
      </c>
      <c r="B546" t="s">
        <v>1159</v>
      </c>
      <c r="C546" t="s">
        <v>1069</v>
      </c>
      <c r="D546" t="s">
        <v>1175</v>
      </c>
      <c r="E546" t="s">
        <v>1069</v>
      </c>
      <c r="F546" t="s">
        <v>1573</v>
      </c>
      <c r="G546" t="s">
        <v>1069</v>
      </c>
      <c r="H546" t="s">
        <v>2353</v>
      </c>
      <c r="I546" t="s">
        <v>1069</v>
      </c>
    </row>
    <row r="547" spans="1:9">
      <c r="A547" t="s">
        <v>2354</v>
      </c>
      <c r="B547" t="s">
        <v>1090</v>
      </c>
      <c r="C547" t="s">
        <v>1069</v>
      </c>
      <c r="D547" t="s">
        <v>1095</v>
      </c>
      <c r="E547" t="s">
        <v>1069</v>
      </c>
      <c r="F547" t="s">
        <v>1256</v>
      </c>
      <c r="G547" t="s">
        <v>1069</v>
      </c>
      <c r="H547" t="s">
        <v>2355</v>
      </c>
      <c r="I547" t="s">
        <v>1069</v>
      </c>
    </row>
    <row r="548" spans="1:9">
      <c r="A548" t="s">
        <v>2356</v>
      </c>
      <c r="B548" t="s">
        <v>1090</v>
      </c>
      <c r="C548" t="s">
        <v>1069</v>
      </c>
      <c r="D548" t="s">
        <v>1320</v>
      </c>
      <c r="E548" t="s">
        <v>1069</v>
      </c>
      <c r="F548" t="s">
        <v>1179</v>
      </c>
      <c r="G548" t="s">
        <v>1069</v>
      </c>
      <c r="H548" t="s">
        <v>2357</v>
      </c>
      <c r="I548" t="s">
        <v>1069</v>
      </c>
    </row>
    <row r="549" spans="1:9">
      <c r="A549" t="s">
        <v>2358</v>
      </c>
      <c r="B549" t="s">
        <v>1090</v>
      </c>
      <c r="C549" t="s">
        <v>1069</v>
      </c>
      <c r="D549" t="s">
        <v>1095</v>
      </c>
      <c r="E549" t="s">
        <v>1069</v>
      </c>
      <c r="F549" t="s">
        <v>1207</v>
      </c>
      <c r="G549" t="s">
        <v>1069</v>
      </c>
      <c r="H549" t="s">
        <v>2359</v>
      </c>
      <c r="I549" t="s">
        <v>1069</v>
      </c>
    </row>
    <row r="550" spans="1:9">
      <c r="A550" t="s">
        <v>2360</v>
      </c>
      <c r="B550" t="s">
        <v>1094</v>
      </c>
      <c r="C550" t="s">
        <v>1069</v>
      </c>
      <c r="D550" t="s">
        <v>1104</v>
      </c>
      <c r="E550" t="s">
        <v>1069</v>
      </c>
      <c r="F550" t="s">
        <v>1247</v>
      </c>
      <c r="G550" t="s">
        <v>1069</v>
      </c>
      <c r="H550" t="s">
        <v>2361</v>
      </c>
      <c r="I550" t="s">
        <v>1069</v>
      </c>
    </row>
    <row r="551" spans="1:9">
      <c r="A551" t="s">
        <v>2362</v>
      </c>
      <c r="B551" t="s">
        <v>1094</v>
      </c>
      <c r="C551" t="s">
        <v>1069</v>
      </c>
      <c r="D551" t="s">
        <v>1110</v>
      </c>
      <c r="E551" t="s">
        <v>1069</v>
      </c>
      <c r="F551" t="s">
        <v>1223</v>
      </c>
      <c r="G551" t="s">
        <v>1069</v>
      </c>
      <c r="H551" t="s">
        <v>1774</v>
      </c>
      <c r="I551" t="s">
        <v>1069</v>
      </c>
    </row>
    <row r="552" spans="1:9">
      <c r="A552" t="s">
        <v>2363</v>
      </c>
      <c r="B552" t="s">
        <v>1080</v>
      </c>
      <c r="C552" t="s">
        <v>1069</v>
      </c>
      <c r="D552" t="s">
        <v>1162</v>
      </c>
      <c r="E552" t="s">
        <v>1069</v>
      </c>
      <c r="F552" t="s">
        <v>1328</v>
      </c>
      <c r="G552" t="s">
        <v>1069</v>
      </c>
      <c r="H552" t="s">
        <v>2364</v>
      </c>
      <c r="I552" t="s">
        <v>1069</v>
      </c>
    </row>
    <row r="553" spans="1:9">
      <c r="A553" t="s">
        <v>2365</v>
      </c>
      <c r="B553" t="s">
        <v>1104</v>
      </c>
      <c r="C553" t="s">
        <v>1069</v>
      </c>
      <c r="D553" t="s">
        <v>1534</v>
      </c>
      <c r="E553" t="s">
        <v>1069</v>
      </c>
      <c r="F553" t="s">
        <v>1527</v>
      </c>
      <c r="G553" t="s">
        <v>1069</v>
      </c>
      <c r="H553" t="s">
        <v>2366</v>
      </c>
      <c r="I553" t="s">
        <v>1069</v>
      </c>
    </row>
    <row r="554" spans="1:9">
      <c r="A554" t="s">
        <v>2367</v>
      </c>
      <c r="B554" t="s">
        <v>1159</v>
      </c>
      <c r="C554" t="s">
        <v>1069</v>
      </c>
      <c r="D554" t="s">
        <v>1166</v>
      </c>
      <c r="E554" t="s">
        <v>1069</v>
      </c>
      <c r="F554" t="s">
        <v>2049</v>
      </c>
      <c r="G554" t="s">
        <v>1069</v>
      </c>
      <c r="H554" t="s">
        <v>2368</v>
      </c>
      <c r="I554" t="s">
        <v>1069</v>
      </c>
    </row>
    <row r="555" spans="1:9">
      <c r="A555" t="s">
        <v>2369</v>
      </c>
      <c r="B555" t="s">
        <v>1159</v>
      </c>
      <c r="C555" t="s">
        <v>1069</v>
      </c>
      <c r="D555" t="s">
        <v>1076</v>
      </c>
      <c r="E555" t="s">
        <v>1069</v>
      </c>
      <c r="F555" t="s">
        <v>1212</v>
      </c>
      <c r="G555" t="s">
        <v>1069</v>
      </c>
      <c r="H555" t="s">
        <v>2368</v>
      </c>
      <c r="I555" t="s">
        <v>1069</v>
      </c>
    </row>
    <row r="556" spans="1:9">
      <c r="A556" t="s">
        <v>2370</v>
      </c>
      <c r="B556" t="s">
        <v>1071</v>
      </c>
      <c r="C556" t="s">
        <v>1069</v>
      </c>
      <c r="D556" t="s">
        <v>1231</v>
      </c>
      <c r="E556" t="s">
        <v>1069</v>
      </c>
      <c r="F556" t="s">
        <v>1208</v>
      </c>
      <c r="G556" t="s">
        <v>1069</v>
      </c>
      <c r="H556" t="s">
        <v>2371</v>
      </c>
      <c r="I556" t="s">
        <v>1069</v>
      </c>
    </row>
    <row r="557" spans="1:9">
      <c r="A557" t="s">
        <v>2372</v>
      </c>
      <c r="B557" t="s">
        <v>1163</v>
      </c>
      <c r="C557" t="s">
        <v>1069</v>
      </c>
      <c r="D557" t="s">
        <v>1527</v>
      </c>
      <c r="E557" t="s">
        <v>1069</v>
      </c>
      <c r="F557" t="s">
        <v>1583</v>
      </c>
      <c r="G557" t="s">
        <v>1069</v>
      </c>
      <c r="H557" t="s">
        <v>2373</v>
      </c>
      <c r="I557" t="s">
        <v>1069</v>
      </c>
    </row>
    <row r="558" spans="1:9">
      <c r="A558" t="s">
        <v>2374</v>
      </c>
      <c r="B558" t="s">
        <v>1548</v>
      </c>
      <c r="C558" t="s">
        <v>1069</v>
      </c>
      <c r="D558" t="s">
        <v>2039</v>
      </c>
      <c r="E558" t="s">
        <v>1069</v>
      </c>
      <c r="F558" t="s">
        <v>2375</v>
      </c>
      <c r="G558" t="s">
        <v>1069</v>
      </c>
      <c r="H558" t="s">
        <v>2376</v>
      </c>
      <c r="I558" t="s">
        <v>1069</v>
      </c>
    </row>
    <row r="559" spans="1:9">
      <c r="A559" t="s">
        <v>2377</v>
      </c>
      <c r="B559" t="s">
        <v>2228</v>
      </c>
      <c r="C559" t="s">
        <v>1069</v>
      </c>
      <c r="D559" t="s">
        <v>1391</v>
      </c>
      <c r="E559" t="s">
        <v>1069</v>
      </c>
      <c r="F559" t="s">
        <v>2218</v>
      </c>
      <c r="G559" t="s">
        <v>1069</v>
      </c>
      <c r="H559" t="s">
        <v>2378</v>
      </c>
      <c r="I559" t="s">
        <v>1069</v>
      </c>
    </row>
    <row r="560" spans="1:9">
      <c r="A560" t="s">
        <v>2379</v>
      </c>
      <c r="B560" t="s">
        <v>2213</v>
      </c>
      <c r="C560" t="s">
        <v>1069</v>
      </c>
      <c r="D560" t="s">
        <v>2176</v>
      </c>
      <c r="E560" t="s">
        <v>1069</v>
      </c>
      <c r="F560" t="s">
        <v>2380</v>
      </c>
      <c r="G560" t="s">
        <v>1069</v>
      </c>
      <c r="H560" t="s">
        <v>2381</v>
      </c>
      <c r="I560" t="s">
        <v>1069</v>
      </c>
    </row>
    <row r="561" spans="1:9">
      <c r="A561" t="s">
        <v>2382</v>
      </c>
      <c r="B561" t="s">
        <v>2383</v>
      </c>
      <c r="C561" t="s">
        <v>1069</v>
      </c>
      <c r="D561" t="s">
        <v>2384</v>
      </c>
      <c r="E561" t="s">
        <v>1069</v>
      </c>
      <c r="F561" t="s">
        <v>2385</v>
      </c>
      <c r="G561" t="s">
        <v>1069</v>
      </c>
      <c r="H561" t="s">
        <v>2386</v>
      </c>
      <c r="I561" t="s">
        <v>1069</v>
      </c>
    </row>
    <row r="562" spans="1:9">
      <c r="A562" t="s">
        <v>2387</v>
      </c>
      <c r="B562" t="s">
        <v>1348</v>
      </c>
      <c r="C562" t="s">
        <v>1069</v>
      </c>
      <c r="D562" t="s">
        <v>1343</v>
      </c>
      <c r="E562" t="s">
        <v>1069</v>
      </c>
      <c r="F562" t="s">
        <v>2388</v>
      </c>
      <c r="G562" t="s">
        <v>1069</v>
      </c>
      <c r="H562" t="s">
        <v>2389</v>
      </c>
      <c r="I562" t="s">
        <v>1069</v>
      </c>
    </row>
    <row r="563" spans="1:9">
      <c r="A563" t="s">
        <v>2390</v>
      </c>
      <c r="B563" t="s">
        <v>2218</v>
      </c>
      <c r="C563" t="s">
        <v>1069</v>
      </c>
      <c r="D563" t="s">
        <v>2391</v>
      </c>
      <c r="E563" t="s">
        <v>1069</v>
      </c>
      <c r="F563" t="s">
        <v>2392</v>
      </c>
      <c r="G563" t="s">
        <v>1069</v>
      </c>
      <c r="H563" t="s">
        <v>2393</v>
      </c>
      <c r="I563" t="s">
        <v>1069</v>
      </c>
    </row>
    <row r="564" spans="1:9">
      <c r="A564" t="s">
        <v>2394</v>
      </c>
      <c r="B564" t="s">
        <v>1964</v>
      </c>
      <c r="C564" t="s">
        <v>1069</v>
      </c>
      <c r="D564" t="s">
        <v>1558</v>
      </c>
      <c r="E564" t="s">
        <v>1069</v>
      </c>
      <c r="F564" t="s">
        <v>2395</v>
      </c>
      <c r="G564" t="s">
        <v>1069</v>
      </c>
      <c r="H564" t="s">
        <v>2396</v>
      </c>
      <c r="I564" t="s">
        <v>1069</v>
      </c>
    </row>
    <row r="565" spans="1:9">
      <c r="A565" t="s">
        <v>2397</v>
      </c>
      <c r="B565" t="s">
        <v>2398</v>
      </c>
      <c r="C565" t="s">
        <v>1069</v>
      </c>
      <c r="D565" t="s">
        <v>1524</v>
      </c>
      <c r="E565" t="s">
        <v>1069</v>
      </c>
      <c r="F565" t="s">
        <v>2399</v>
      </c>
      <c r="G565" t="s">
        <v>1069</v>
      </c>
      <c r="H565" t="s">
        <v>2400</v>
      </c>
      <c r="I565" t="s">
        <v>1069</v>
      </c>
    </row>
    <row r="566" spans="1:9">
      <c r="A566" t="s">
        <v>2401</v>
      </c>
      <c r="B566" t="s">
        <v>1387</v>
      </c>
      <c r="C566" t="s">
        <v>1069</v>
      </c>
      <c r="D566" t="s">
        <v>1984</v>
      </c>
      <c r="E566" t="s">
        <v>1069</v>
      </c>
      <c r="F566" t="s">
        <v>1353</v>
      </c>
      <c r="G566" t="s">
        <v>1069</v>
      </c>
      <c r="H566" t="s">
        <v>2402</v>
      </c>
      <c r="I566" t="s">
        <v>1069</v>
      </c>
    </row>
    <row r="567" spans="1:9">
      <c r="A567" t="s">
        <v>2403</v>
      </c>
      <c r="B567" t="s">
        <v>2040</v>
      </c>
      <c r="C567" t="s">
        <v>1069</v>
      </c>
      <c r="D567" t="s">
        <v>1521</v>
      </c>
      <c r="E567" t="s">
        <v>1069</v>
      </c>
      <c r="F567" t="s">
        <v>2183</v>
      </c>
      <c r="G567" t="s">
        <v>1069</v>
      </c>
      <c r="H567" t="s">
        <v>2404</v>
      </c>
      <c r="I567" t="s">
        <v>1069</v>
      </c>
    </row>
    <row r="568" spans="1:9">
      <c r="A568" t="s">
        <v>2405</v>
      </c>
      <c r="B568" t="s">
        <v>1404</v>
      </c>
      <c r="C568" t="s">
        <v>1069</v>
      </c>
      <c r="D568" t="s">
        <v>1356</v>
      </c>
      <c r="E568" t="s">
        <v>1069</v>
      </c>
      <c r="F568" t="s">
        <v>2406</v>
      </c>
      <c r="G568" t="s">
        <v>1069</v>
      </c>
      <c r="H568" t="s">
        <v>2407</v>
      </c>
      <c r="I568" t="s">
        <v>1069</v>
      </c>
    </row>
    <row r="569" spans="1:9">
      <c r="A569" t="s">
        <v>2408</v>
      </c>
      <c r="B569" t="s">
        <v>1414</v>
      </c>
      <c r="C569" t="s">
        <v>1069</v>
      </c>
      <c r="D569" t="s">
        <v>1196</v>
      </c>
      <c r="E569" t="s">
        <v>1069</v>
      </c>
      <c r="F569" t="s">
        <v>1574</v>
      </c>
      <c r="G569" t="s">
        <v>1069</v>
      </c>
      <c r="H569" t="s">
        <v>2409</v>
      </c>
      <c r="I569" t="s">
        <v>1069</v>
      </c>
    </row>
    <row r="570" spans="1:9">
      <c r="A570" t="s">
        <v>2410</v>
      </c>
      <c r="B570" t="s">
        <v>1317</v>
      </c>
      <c r="C570" t="s">
        <v>1069</v>
      </c>
      <c r="D570" t="s">
        <v>1176</v>
      </c>
      <c r="E570" t="s">
        <v>1069</v>
      </c>
      <c r="F570" t="s">
        <v>1192</v>
      </c>
      <c r="G570" t="s">
        <v>1069</v>
      </c>
      <c r="H570" t="s">
        <v>2411</v>
      </c>
      <c r="I570" t="s">
        <v>1069</v>
      </c>
    </row>
    <row r="571" spans="1:9">
      <c r="A571" t="s">
        <v>2412</v>
      </c>
      <c r="B571" t="s">
        <v>1166</v>
      </c>
      <c r="C571" t="s">
        <v>1069</v>
      </c>
      <c r="D571" t="s">
        <v>1247</v>
      </c>
      <c r="E571" t="s">
        <v>1069</v>
      </c>
      <c r="F571" t="s">
        <v>1199</v>
      </c>
      <c r="G571" t="s">
        <v>1069</v>
      </c>
      <c r="H571" t="s">
        <v>2413</v>
      </c>
      <c r="I571" t="s">
        <v>1069</v>
      </c>
    </row>
    <row r="572" spans="1:9">
      <c r="A572" t="s">
        <v>2414</v>
      </c>
      <c r="B572" t="s">
        <v>1140</v>
      </c>
      <c r="C572" t="s">
        <v>1069</v>
      </c>
      <c r="D572" t="s">
        <v>1080</v>
      </c>
      <c r="E572" t="s">
        <v>1069</v>
      </c>
      <c r="F572" t="s">
        <v>1279</v>
      </c>
      <c r="G572" t="s">
        <v>1069</v>
      </c>
      <c r="H572" t="s">
        <v>2415</v>
      </c>
      <c r="I572" t="s">
        <v>1069</v>
      </c>
    </row>
    <row r="573" spans="1:9">
      <c r="A573" t="s">
        <v>2416</v>
      </c>
      <c r="B573" t="s">
        <v>1079</v>
      </c>
      <c r="C573" t="s">
        <v>1069</v>
      </c>
      <c r="D573" t="s">
        <v>1144</v>
      </c>
      <c r="E573" t="s">
        <v>1069</v>
      </c>
      <c r="F573" t="s">
        <v>1104</v>
      </c>
      <c r="G573" t="s">
        <v>1069</v>
      </c>
      <c r="H573" t="s">
        <v>2417</v>
      </c>
      <c r="I573" t="s">
        <v>1069</v>
      </c>
    </row>
    <row r="574" spans="1:9">
      <c r="A574" t="s">
        <v>2418</v>
      </c>
      <c r="B574" t="s">
        <v>1094</v>
      </c>
      <c r="C574" t="s">
        <v>1069</v>
      </c>
      <c r="D574" t="s">
        <v>1075</v>
      </c>
      <c r="E574" t="s">
        <v>1069</v>
      </c>
      <c r="F574" t="s">
        <v>1534</v>
      </c>
      <c r="G574" t="s">
        <v>1069</v>
      </c>
      <c r="H574" t="s">
        <v>2419</v>
      </c>
      <c r="I574" t="s">
        <v>1069</v>
      </c>
    </row>
    <row r="575" spans="1:9">
      <c r="A575" t="s">
        <v>2420</v>
      </c>
      <c r="B575" t="s">
        <v>1089</v>
      </c>
      <c r="C575" t="s">
        <v>1069</v>
      </c>
      <c r="D575" t="s">
        <v>1098</v>
      </c>
      <c r="E575" t="s">
        <v>1069</v>
      </c>
      <c r="F575" t="s">
        <v>1266</v>
      </c>
      <c r="G575" t="s">
        <v>1069</v>
      </c>
      <c r="H575" t="s">
        <v>2421</v>
      </c>
      <c r="I575" t="s">
        <v>1069</v>
      </c>
    </row>
    <row r="576" spans="1:9">
      <c r="A576" t="s">
        <v>2422</v>
      </c>
      <c r="B576" t="s">
        <v>1260</v>
      </c>
      <c r="C576" t="s">
        <v>1069</v>
      </c>
      <c r="D576" t="s">
        <v>1093</v>
      </c>
      <c r="E576" t="s">
        <v>1069</v>
      </c>
      <c r="F576" t="s">
        <v>1094</v>
      </c>
      <c r="G576" t="s">
        <v>1069</v>
      </c>
      <c r="H576" t="s">
        <v>1645</v>
      </c>
      <c r="I576" t="s">
        <v>1069</v>
      </c>
    </row>
    <row r="577" spans="1:9">
      <c r="A577" t="s">
        <v>2423</v>
      </c>
      <c r="B577" t="s">
        <v>1121</v>
      </c>
      <c r="C577" t="s">
        <v>1069</v>
      </c>
      <c r="D577" t="s">
        <v>1260</v>
      </c>
      <c r="E577" t="s">
        <v>1069</v>
      </c>
      <c r="F577" t="s">
        <v>1310</v>
      </c>
      <c r="G577" t="s">
        <v>1069</v>
      </c>
      <c r="H577" t="s">
        <v>2424</v>
      </c>
      <c r="I577" t="s">
        <v>1069</v>
      </c>
    </row>
    <row r="578" spans="1:9">
      <c r="A578" t="s">
        <v>2425</v>
      </c>
      <c r="B578" t="s">
        <v>1125</v>
      </c>
      <c r="C578" t="s">
        <v>1069</v>
      </c>
      <c r="D578" t="s">
        <v>1143</v>
      </c>
      <c r="E578" t="s">
        <v>1069</v>
      </c>
      <c r="F578" t="s">
        <v>1310</v>
      </c>
      <c r="G578" t="s">
        <v>1069</v>
      </c>
      <c r="H578" t="s">
        <v>2426</v>
      </c>
      <c r="I578" t="s">
        <v>1069</v>
      </c>
    </row>
    <row r="579" spans="1:9">
      <c r="A579" t="s">
        <v>2427</v>
      </c>
      <c r="B579" t="s">
        <v>1284</v>
      </c>
      <c r="C579" t="s">
        <v>1069</v>
      </c>
      <c r="D579" t="s">
        <v>1128</v>
      </c>
      <c r="E579" t="s">
        <v>1069</v>
      </c>
      <c r="F579" t="s">
        <v>1089</v>
      </c>
      <c r="G579" t="s">
        <v>1069</v>
      </c>
      <c r="H579" t="s">
        <v>2428</v>
      </c>
      <c r="I579" t="s">
        <v>1069</v>
      </c>
    </row>
    <row r="580" spans="1:9">
      <c r="A580" t="s">
        <v>2429</v>
      </c>
      <c r="B580" t="s">
        <v>1265</v>
      </c>
      <c r="C580" t="s">
        <v>1069</v>
      </c>
      <c r="D580" t="s">
        <v>1143</v>
      </c>
      <c r="E580" t="s">
        <v>1069</v>
      </c>
      <c r="F580" t="s">
        <v>1103</v>
      </c>
      <c r="G580" t="s">
        <v>1069</v>
      </c>
      <c r="H580" t="s">
        <v>2267</v>
      </c>
      <c r="I580" t="s">
        <v>1069</v>
      </c>
    </row>
    <row r="581" spans="1:9">
      <c r="A581" t="s">
        <v>2430</v>
      </c>
      <c r="B581" t="s">
        <v>1125</v>
      </c>
      <c r="C581" t="s">
        <v>1069</v>
      </c>
      <c r="D581" t="s">
        <v>1107</v>
      </c>
      <c r="E581" t="s">
        <v>1069</v>
      </c>
      <c r="F581" t="s">
        <v>1084</v>
      </c>
      <c r="G581" t="s">
        <v>1069</v>
      </c>
      <c r="H581" t="s">
        <v>2431</v>
      </c>
      <c r="I581" t="s">
        <v>1069</v>
      </c>
    </row>
    <row r="582" spans="1:9">
      <c r="A582" t="s">
        <v>2432</v>
      </c>
      <c r="B582" t="s">
        <v>1121</v>
      </c>
      <c r="C582" t="s">
        <v>1069</v>
      </c>
      <c r="D582" t="s">
        <v>1260</v>
      </c>
      <c r="E582" t="s">
        <v>1069</v>
      </c>
      <c r="F582" t="s">
        <v>1089</v>
      </c>
      <c r="G582" t="s">
        <v>1069</v>
      </c>
      <c r="H582" t="s">
        <v>2433</v>
      </c>
      <c r="I582" t="s">
        <v>1069</v>
      </c>
    </row>
    <row r="583" spans="1:9">
      <c r="A583" t="s">
        <v>2434</v>
      </c>
      <c r="B583" t="s">
        <v>1121</v>
      </c>
      <c r="C583" t="s">
        <v>1069</v>
      </c>
      <c r="D583" t="s">
        <v>1107</v>
      </c>
      <c r="E583" t="s">
        <v>1069</v>
      </c>
      <c r="F583" t="s">
        <v>1084</v>
      </c>
      <c r="G583" t="s">
        <v>1069</v>
      </c>
      <c r="H583" t="s">
        <v>2435</v>
      </c>
      <c r="I583" t="s">
        <v>1069</v>
      </c>
    </row>
    <row r="584" spans="1:9">
      <c r="A584" t="s">
        <v>2436</v>
      </c>
      <c r="B584" t="s">
        <v>1136</v>
      </c>
      <c r="C584" t="s">
        <v>1069</v>
      </c>
      <c r="D584" t="s">
        <v>1102</v>
      </c>
      <c r="E584" t="s">
        <v>1069</v>
      </c>
      <c r="F584" t="s">
        <v>1436</v>
      </c>
      <c r="G584" t="s">
        <v>1069</v>
      </c>
      <c r="H584" t="s">
        <v>2437</v>
      </c>
      <c r="I584" t="s">
        <v>1069</v>
      </c>
    </row>
    <row r="585" spans="1:9">
      <c r="A585" t="s">
        <v>2438</v>
      </c>
      <c r="B585" t="s">
        <v>1136</v>
      </c>
      <c r="C585" t="s">
        <v>1069</v>
      </c>
      <c r="D585" t="s">
        <v>1102</v>
      </c>
      <c r="E585" t="s">
        <v>1069</v>
      </c>
      <c r="F585" t="s">
        <v>1436</v>
      </c>
      <c r="G585" t="s">
        <v>1069</v>
      </c>
      <c r="H585" t="s">
        <v>2439</v>
      </c>
      <c r="I585" t="s">
        <v>1069</v>
      </c>
    </row>
    <row r="586" spans="1:9">
      <c r="A586" t="s">
        <v>2440</v>
      </c>
      <c r="B586" t="s">
        <v>1136</v>
      </c>
      <c r="C586" t="s">
        <v>1069</v>
      </c>
      <c r="D586" t="s">
        <v>1102</v>
      </c>
      <c r="E586" t="s">
        <v>1069</v>
      </c>
      <c r="F586" t="s">
        <v>1079</v>
      </c>
      <c r="G586" t="s">
        <v>1069</v>
      </c>
      <c r="H586" t="s">
        <v>2441</v>
      </c>
      <c r="I586" t="s">
        <v>1069</v>
      </c>
    </row>
    <row r="587" spans="1:9">
      <c r="A587" t="s">
        <v>2442</v>
      </c>
      <c r="B587" t="s">
        <v>1107</v>
      </c>
      <c r="C587" t="s">
        <v>1069</v>
      </c>
      <c r="D587" t="s">
        <v>1093</v>
      </c>
      <c r="E587" t="s">
        <v>1069</v>
      </c>
      <c r="F587" t="s">
        <v>1079</v>
      </c>
      <c r="G587" t="s">
        <v>1069</v>
      </c>
      <c r="H587" t="s">
        <v>2443</v>
      </c>
      <c r="I587" t="s">
        <v>1069</v>
      </c>
    </row>
    <row r="588" spans="1:9">
      <c r="A588" t="s">
        <v>2444</v>
      </c>
      <c r="B588" t="s">
        <v>1128</v>
      </c>
      <c r="C588" t="s">
        <v>1069</v>
      </c>
      <c r="D588" t="s">
        <v>1116</v>
      </c>
      <c r="E588" t="s">
        <v>1069</v>
      </c>
      <c r="F588" t="s">
        <v>1310</v>
      </c>
      <c r="G588" t="s">
        <v>1069</v>
      </c>
      <c r="H588" t="s">
        <v>2445</v>
      </c>
      <c r="I588" t="s">
        <v>1069</v>
      </c>
    </row>
    <row r="589" spans="1:9">
      <c r="A589" t="s">
        <v>2446</v>
      </c>
      <c r="B589" t="s">
        <v>1128</v>
      </c>
      <c r="C589" t="s">
        <v>1069</v>
      </c>
      <c r="D589" t="s">
        <v>1102</v>
      </c>
      <c r="E589" t="s">
        <v>1069</v>
      </c>
      <c r="F589" t="s">
        <v>1074</v>
      </c>
      <c r="G589" t="s">
        <v>1069</v>
      </c>
      <c r="H589" t="s">
        <v>2447</v>
      </c>
      <c r="I589" t="s">
        <v>1069</v>
      </c>
    </row>
    <row r="590" spans="1:9">
      <c r="A590" t="s">
        <v>2448</v>
      </c>
      <c r="B590" t="s">
        <v>1143</v>
      </c>
      <c r="C590" t="s">
        <v>1069</v>
      </c>
      <c r="D590" t="s">
        <v>1113</v>
      </c>
      <c r="E590" t="s">
        <v>1069</v>
      </c>
      <c r="F590" t="s">
        <v>1103</v>
      </c>
      <c r="G590" t="s">
        <v>1069</v>
      </c>
      <c r="H590" t="s">
        <v>2449</v>
      </c>
      <c r="I590" t="s">
        <v>1069</v>
      </c>
    </row>
    <row r="591" spans="1:9">
      <c r="A591" t="s">
        <v>2450</v>
      </c>
      <c r="B591" t="s">
        <v>1113</v>
      </c>
      <c r="C591" t="s">
        <v>1069</v>
      </c>
      <c r="D591" t="s">
        <v>1089</v>
      </c>
      <c r="E591" t="s">
        <v>1069</v>
      </c>
      <c r="F591" t="s">
        <v>1144</v>
      </c>
      <c r="G591" t="s">
        <v>1069</v>
      </c>
      <c r="H591" t="s">
        <v>2259</v>
      </c>
      <c r="I591" t="s">
        <v>1069</v>
      </c>
    </row>
    <row r="592" spans="1:9">
      <c r="A592" t="s">
        <v>2451</v>
      </c>
      <c r="B592" t="s">
        <v>1074</v>
      </c>
      <c r="C592" t="s">
        <v>1069</v>
      </c>
      <c r="D592" t="s">
        <v>1098</v>
      </c>
      <c r="E592" t="s">
        <v>1069</v>
      </c>
      <c r="F592" t="s">
        <v>1085</v>
      </c>
      <c r="G592" t="s">
        <v>1069</v>
      </c>
      <c r="H592" t="s">
        <v>2452</v>
      </c>
      <c r="I592" t="s">
        <v>1069</v>
      </c>
    </row>
    <row r="593" spans="1:9">
      <c r="A593" t="s">
        <v>2453</v>
      </c>
      <c r="B593" t="s">
        <v>1436</v>
      </c>
      <c r="C593" t="s">
        <v>1069</v>
      </c>
      <c r="D593" t="s">
        <v>1504</v>
      </c>
      <c r="E593" t="s">
        <v>1069</v>
      </c>
      <c r="F593" t="s">
        <v>1159</v>
      </c>
      <c r="G593" t="s">
        <v>1069</v>
      </c>
      <c r="H593" t="s">
        <v>1848</v>
      </c>
      <c r="I593" t="s">
        <v>1069</v>
      </c>
    </row>
    <row r="594" spans="1:9">
      <c r="A594" t="s">
        <v>2454</v>
      </c>
      <c r="B594" t="s">
        <v>1276</v>
      </c>
      <c r="C594" t="s">
        <v>1069</v>
      </c>
      <c r="D594" t="s">
        <v>1110</v>
      </c>
      <c r="E594" t="s">
        <v>1069</v>
      </c>
      <c r="F594" t="s">
        <v>1162</v>
      </c>
      <c r="G594" t="s">
        <v>1069</v>
      </c>
      <c r="H594" t="s">
        <v>1100</v>
      </c>
      <c r="I594" t="s">
        <v>1069</v>
      </c>
    </row>
    <row r="595" spans="1:9">
      <c r="A595" t="s">
        <v>2455</v>
      </c>
      <c r="B595" t="s">
        <v>1104</v>
      </c>
      <c r="C595" t="s">
        <v>1069</v>
      </c>
      <c r="D595" t="s">
        <v>1162</v>
      </c>
      <c r="E595" t="s">
        <v>1069</v>
      </c>
      <c r="F595" t="s">
        <v>1231</v>
      </c>
      <c r="G595" t="s">
        <v>1069</v>
      </c>
      <c r="H595" t="s">
        <v>2235</v>
      </c>
      <c r="I595" t="s">
        <v>1069</v>
      </c>
    </row>
    <row r="596" spans="1:9">
      <c r="A596" t="s">
        <v>2456</v>
      </c>
      <c r="B596" t="s">
        <v>1104</v>
      </c>
      <c r="C596" t="s">
        <v>1069</v>
      </c>
      <c r="D596" t="s">
        <v>1099</v>
      </c>
      <c r="E596" t="s">
        <v>1069</v>
      </c>
      <c r="F596" t="s">
        <v>1167</v>
      </c>
      <c r="G596" t="s">
        <v>1069</v>
      </c>
      <c r="H596" t="s">
        <v>2457</v>
      </c>
      <c r="I596" t="s">
        <v>1069</v>
      </c>
    </row>
    <row r="597" spans="1:9">
      <c r="A597" t="s">
        <v>2458</v>
      </c>
      <c r="B597" t="s">
        <v>1144</v>
      </c>
      <c r="C597" t="s">
        <v>1069</v>
      </c>
      <c r="D597" t="s">
        <v>1075</v>
      </c>
      <c r="E597" t="s">
        <v>1069</v>
      </c>
      <c r="F597" t="s">
        <v>1242</v>
      </c>
      <c r="G597" t="s">
        <v>1069</v>
      </c>
      <c r="H597" t="s">
        <v>2459</v>
      </c>
      <c r="I597" t="s">
        <v>1069</v>
      </c>
    </row>
    <row r="598" spans="1:9">
      <c r="A598" t="s">
        <v>2460</v>
      </c>
      <c r="B598" t="s">
        <v>1436</v>
      </c>
      <c r="C598" t="s">
        <v>1069</v>
      </c>
      <c r="D598" t="s">
        <v>1504</v>
      </c>
      <c r="E598" t="s">
        <v>1069</v>
      </c>
      <c r="F598" t="s">
        <v>1159</v>
      </c>
      <c r="G598" t="s">
        <v>1069</v>
      </c>
      <c r="H598" t="s">
        <v>1240</v>
      </c>
      <c r="I598" t="s">
        <v>1069</v>
      </c>
    </row>
    <row r="599" spans="1:9">
      <c r="A599" t="s">
        <v>2461</v>
      </c>
      <c r="B599" t="s">
        <v>1436</v>
      </c>
      <c r="C599" t="s">
        <v>1069</v>
      </c>
      <c r="D599" t="s">
        <v>1504</v>
      </c>
      <c r="E599" t="s">
        <v>1069</v>
      </c>
      <c r="F599" t="s">
        <v>1095</v>
      </c>
      <c r="G599" t="s">
        <v>1069</v>
      </c>
      <c r="H599" t="s">
        <v>2347</v>
      </c>
      <c r="I599" t="s">
        <v>1069</v>
      </c>
    </row>
    <row r="600" spans="1:9">
      <c r="A600" t="s">
        <v>2462</v>
      </c>
      <c r="B600" t="s">
        <v>1144</v>
      </c>
      <c r="C600" t="s">
        <v>1069</v>
      </c>
      <c r="D600" t="s">
        <v>1085</v>
      </c>
      <c r="E600" t="s">
        <v>1069</v>
      </c>
      <c r="F600" t="s">
        <v>1071</v>
      </c>
      <c r="G600" t="s">
        <v>1069</v>
      </c>
      <c r="H600" t="s">
        <v>2463</v>
      </c>
      <c r="I600" t="s">
        <v>1069</v>
      </c>
    </row>
    <row r="601" spans="1:9">
      <c r="A601" t="s">
        <v>2464</v>
      </c>
      <c r="B601" t="s">
        <v>1084</v>
      </c>
      <c r="C601" t="s">
        <v>1069</v>
      </c>
      <c r="D601" t="s">
        <v>1090</v>
      </c>
      <c r="E601" t="s">
        <v>1069</v>
      </c>
      <c r="F601" t="s">
        <v>1266</v>
      </c>
      <c r="G601" t="s">
        <v>1069</v>
      </c>
      <c r="H601" t="s">
        <v>2465</v>
      </c>
      <c r="I601" t="s">
        <v>1069</v>
      </c>
    </row>
    <row r="602" spans="1:9">
      <c r="A602" t="s">
        <v>2466</v>
      </c>
      <c r="B602" t="s">
        <v>1103</v>
      </c>
      <c r="C602" t="s">
        <v>1069</v>
      </c>
      <c r="D602" t="s">
        <v>1276</v>
      </c>
      <c r="E602" t="s">
        <v>1069</v>
      </c>
      <c r="F602" t="s">
        <v>1099</v>
      </c>
      <c r="G602" t="s">
        <v>1069</v>
      </c>
      <c r="H602" t="s">
        <v>1848</v>
      </c>
      <c r="I602" t="s">
        <v>1069</v>
      </c>
    </row>
    <row r="603" spans="1:9">
      <c r="A603" t="s">
        <v>2467</v>
      </c>
      <c r="B603" t="s">
        <v>1144</v>
      </c>
      <c r="C603" t="s">
        <v>1069</v>
      </c>
      <c r="D603" t="s">
        <v>1085</v>
      </c>
      <c r="E603" t="s">
        <v>1069</v>
      </c>
      <c r="F603" t="s">
        <v>1081</v>
      </c>
      <c r="G603" t="s">
        <v>1069</v>
      </c>
      <c r="H603" t="s">
        <v>2279</v>
      </c>
      <c r="I603" t="s">
        <v>1069</v>
      </c>
    </row>
    <row r="604" spans="1:9">
      <c r="A604" t="s">
        <v>2468</v>
      </c>
      <c r="B604" t="s">
        <v>1504</v>
      </c>
      <c r="C604" t="s">
        <v>1069</v>
      </c>
      <c r="D604" t="s">
        <v>1266</v>
      </c>
      <c r="E604" t="s">
        <v>1069</v>
      </c>
      <c r="F604" t="s">
        <v>1285</v>
      </c>
      <c r="G604" t="s">
        <v>1069</v>
      </c>
      <c r="H604" t="s">
        <v>2469</v>
      </c>
      <c r="I604" t="s">
        <v>1069</v>
      </c>
    </row>
    <row r="605" spans="1:9">
      <c r="A605" t="s">
        <v>2470</v>
      </c>
      <c r="B605" t="s">
        <v>1110</v>
      </c>
      <c r="C605" t="s">
        <v>1069</v>
      </c>
      <c r="D605" t="s">
        <v>1162</v>
      </c>
      <c r="E605" t="s">
        <v>1069</v>
      </c>
      <c r="F605" t="s">
        <v>1227</v>
      </c>
      <c r="G605" t="s">
        <v>1069</v>
      </c>
      <c r="H605" t="s">
        <v>2471</v>
      </c>
      <c r="I605" t="s">
        <v>1069</v>
      </c>
    </row>
    <row r="606" spans="1:9">
      <c r="A606" t="s">
        <v>2472</v>
      </c>
      <c r="B606" t="s">
        <v>1110</v>
      </c>
      <c r="C606" t="s">
        <v>1069</v>
      </c>
      <c r="D606" t="s">
        <v>1162</v>
      </c>
      <c r="E606" t="s">
        <v>1069</v>
      </c>
      <c r="F606" t="s">
        <v>1076</v>
      </c>
      <c r="G606" t="s">
        <v>1069</v>
      </c>
      <c r="H606" t="s">
        <v>2473</v>
      </c>
      <c r="I606" t="s">
        <v>1069</v>
      </c>
    </row>
    <row r="607" spans="1:9">
      <c r="A607" t="s">
        <v>2474</v>
      </c>
      <c r="B607" t="s">
        <v>1090</v>
      </c>
      <c r="C607" t="s">
        <v>1069</v>
      </c>
      <c r="D607" t="s">
        <v>1110</v>
      </c>
      <c r="E607" t="s">
        <v>1069</v>
      </c>
      <c r="F607" t="s">
        <v>1086</v>
      </c>
      <c r="G607" t="s">
        <v>1069</v>
      </c>
      <c r="H607" t="s">
        <v>2475</v>
      </c>
      <c r="I607" t="s">
        <v>1069</v>
      </c>
    </row>
    <row r="608" spans="1:9">
      <c r="A608" t="s">
        <v>2476</v>
      </c>
      <c r="B608" t="s">
        <v>1276</v>
      </c>
      <c r="C608" t="s">
        <v>1069</v>
      </c>
      <c r="D608" t="s">
        <v>1110</v>
      </c>
      <c r="E608" t="s">
        <v>1069</v>
      </c>
      <c r="F608" t="s">
        <v>1279</v>
      </c>
      <c r="G608" t="s">
        <v>1069</v>
      </c>
      <c r="H608" t="s">
        <v>2477</v>
      </c>
      <c r="I608" t="s">
        <v>1069</v>
      </c>
    </row>
    <row r="609" spans="1:9">
      <c r="A609" t="s">
        <v>2478</v>
      </c>
      <c r="B609" t="s">
        <v>1504</v>
      </c>
      <c r="C609" t="s">
        <v>1069</v>
      </c>
      <c r="D609" t="s">
        <v>1266</v>
      </c>
      <c r="E609" t="s">
        <v>1069</v>
      </c>
      <c r="F609" t="s">
        <v>1534</v>
      </c>
      <c r="G609" t="s">
        <v>1069</v>
      </c>
      <c r="H609" t="s">
        <v>2479</v>
      </c>
      <c r="I609" t="s">
        <v>1069</v>
      </c>
    </row>
    <row r="610" spans="1:9">
      <c r="A610" t="s">
        <v>2480</v>
      </c>
      <c r="B610" t="s">
        <v>1090</v>
      </c>
      <c r="C610" t="s">
        <v>1069</v>
      </c>
      <c r="D610" t="s">
        <v>1122</v>
      </c>
      <c r="E610" t="s">
        <v>1069</v>
      </c>
      <c r="F610" t="s">
        <v>1162</v>
      </c>
      <c r="G610" t="s">
        <v>1069</v>
      </c>
      <c r="H610" t="s">
        <v>2481</v>
      </c>
      <c r="I610" t="s">
        <v>1069</v>
      </c>
    </row>
    <row r="611" spans="1:9">
      <c r="A611" t="s">
        <v>2482</v>
      </c>
      <c r="B611" t="s">
        <v>1140</v>
      </c>
      <c r="C611" t="s">
        <v>1069</v>
      </c>
      <c r="D611" t="s">
        <v>1080</v>
      </c>
      <c r="E611" t="s">
        <v>1069</v>
      </c>
      <c r="F611" t="s">
        <v>1234</v>
      </c>
      <c r="G611" t="s">
        <v>1069</v>
      </c>
      <c r="H611" t="s">
        <v>2483</v>
      </c>
      <c r="I611" t="s">
        <v>1069</v>
      </c>
    </row>
    <row r="612" spans="1:9">
      <c r="A612" t="s">
        <v>2484</v>
      </c>
      <c r="B612" t="s">
        <v>1110</v>
      </c>
      <c r="C612" t="s">
        <v>1069</v>
      </c>
      <c r="D612" t="s">
        <v>1099</v>
      </c>
      <c r="E612" t="s">
        <v>1069</v>
      </c>
      <c r="F612" t="s">
        <v>1579</v>
      </c>
      <c r="G612" t="s">
        <v>1069</v>
      </c>
      <c r="H612" t="s">
        <v>2303</v>
      </c>
      <c r="I612" t="s">
        <v>1069</v>
      </c>
    </row>
    <row r="613" spans="1:9">
      <c r="A613" t="s">
        <v>2485</v>
      </c>
      <c r="B613" t="s">
        <v>1159</v>
      </c>
      <c r="C613" t="s">
        <v>1069</v>
      </c>
      <c r="D613" t="s">
        <v>1595</v>
      </c>
      <c r="E613" t="s">
        <v>1069</v>
      </c>
      <c r="F613" t="s">
        <v>1573</v>
      </c>
      <c r="G613" t="s">
        <v>1069</v>
      </c>
      <c r="H613" t="s">
        <v>2486</v>
      </c>
      <c r="I613" t="s">
        <v>1069</v>
      </c>
    </row>
    <row r="614" spans="1:9">
      <c r="A614" t="s">
        <v>2487</v>
      </c>
      <c r="B614" t="s">
        <v>1075</v>
      </c>
      <c r="C614" t="s">
        <v>1069</v>
      </c>
      <c r="D614" t="s">
        <v>1095</v>
      </c>
      <c r="E614" t="s">
        <v>1069</v>
      </c>
      <c r="F614" t="s">
        <v>1328</v>
      </c>
      <c r="G614" t="s">
        <v>1069</v>
      </c>
      <c r="H614" t="s">
        <v>2488</v>
      </c>
      <c r="I614" t="s">
        <v>1069</v>
      </c>
    </row>
    <row r="615" spans="1:9">
      <c r="A615" t="s">
        <v>2489</v>
      </c>
      <c r="B615" t="s">
        <v>1074</v>
      </c>
      <c r="C615" t="s">
        <v>1069</v>
      </c>
      <c r="D615" t="s">
        <v>1144</v>
      </c>
      <c r="E615" t="s">
        <v>1069</v>
      </c>
      <c r="F615" t="s">
        <v>1071</v>
      </c>
      <c r="G615" t="s">
        <v>1069</v>
      </c>
      <c r="H615" t="s">
        <v>1615</v>
      </c>
      <c r="I615" t="s">
        <v>1069</v>
      </c>
    </row>
    <row r="616" spans="1:9">
      <c r="A616" t="s">
        <v>2490</v>
      </c>
      <c r="B616" t="s">
        <v>1129</v>
      </c>
      <c r="C616" t="s">
        <v>1069</v>
      </c>
      <c r="D616" t="s">
        <v>1084</v>
      </c>
      <c r="E616" t="s">
        <v>1069</v>
      </c>
      <c r="F616" t="s">
        <v>1104</v>
      </c>
      <c r="G616" t="s">
        <v>1069</v>
      </c>
      <c r="H616" t="s">
        <v>2491</v>
      </c>
      <c r="I616" t="s">
        <v>1069</v>
      </c>
    </row>
    <row r="617" spans="1:9">
      <c r="A617" t="s">
        <v>2492</v>
      </c>
      <c r="B617" t="s">
        <v>1116</v>
      </c>
      <c r="C617" t="s">
        <v>1069</v>
      </c>
      <c r="D617" t="s">
        <v>1310</v>
      </c>
      <c r="E617" t="s">
        <v>1069</v>
      </c>
      <c r="F617" t="s">
        <v>1504</v>
      </c>
      <c r="G617" t="s">
        <v>1069</v>
      </c>
      <c r="H617" t="s">
        <v>2493</v>
      </c>
      <c r="I617" t="s">
        <v>1069</v>
      </c>
    </row>
    <row r="618" spans="1:9">
      <c r="A618" t="s">
        <v>2494</v>
      </c>
      <c r="B618" t="s">
        <v>1128</v>
      </c>
      <c r="C618" t="s">
        <v>1069</v>
      </c>
      <c r="D618" t="s">
        <v>1113</v>
      </c>
      <c r="E618" t="s">
        <v>1069</v>
      </c>
      <c r="F618" t="s">
        <v>1080</v>
      </c>
      <c r="G618" t="s">
        <v>1069</v>
      </c>
      <c r="H618" t="s">
        <v>2495</v>
      </c>
      <c r="I618" t="s">
        <v>1069</v>
      </c>
    </row>
    <row r="619" spans="1:9">
      <c r="A619" t="s">
        <v>2496</v>
      </c>
      <c r="B619" t="s">
        <v>1136</v>
      </c>
      <c r="C619" t="s">
        <v>1069</v>
      </c>
      <c r="D619" t="s">
        <v>1102</v>
      </c>
      <c r="E619" t="s">
        <v>1069</v>
      </c>
      <c r="F619" t="s">
        <v>1068</v>
      </c>
      <c r="G619" t="s">
        <v>1069</v>
      </c>
      <c r="H619" t="s">
        <v>2497</v>
      </c>
      <c r="I619" t="s">
        <v>1069</v>
      </c>
    </row>
    <row r="620" spans="1:9">
      <c r="A620" t="s">
        <v>2498</v>
      </c>
      <c r="B620" t="s">
        <v>1128</v>
      </c>
      <c r="C620" t="s">
        <v>1069</v>
      </c>
      <c r="D620" t="s">
        <v>1113</v>
      </c>
      <c r="E620" t="s">
        <v>1069</v>
      </c>
      <c r="F620" t="s">
        <v>1094</v>
      </c>
      <c r="G620" t="s">
        <v>1069</v>
      </c>
      <c r="H620" t="s">
        <v>2463</v>
      </c>
      <c r="I620" t="s">
        <v>1069</v>
      </c>
    </row>
    <row r="621" spans="1:9">
      <c r="A621" t="s">
        <v>2499</v>
      </c>
      <c r="B621" t="s">
        <v>1107</v>
      </c>
      <c r="C621" t="s">
        <v>1069</v>
      </c>
      <c r="D621" t="s">
        <v>1310</v>
      </c>
      <c r="E621" t="s">
        <v>1069</v>
      </c>
      <c r="F621" t="s">
        <v>1080</v>
      </c>
      <c r="G621" t="s">
        <v>1069</v>
      </c>
      <c r="H621" t="s">
        <v>2500</v>
      </c>
      <c r="I621" t="s">
        <v>1069</v>
      </c>
    </row>
    <row r="622" spans="1:9">
      <c r="A622" t="s">
        <v>2501</v>
      </c>
      <c r="B622" t="s">
        <v>1102</v>
      </c>
      <c r="C622" t="s">
        <v>1069</v>
      </c>
      <c r="D622" t="s">
        <v>1089</v>
      </c>
      <c r="E622" t="s">
        <v>1069</v>
      </c>
      <c r="F622" t="s">
        <v>1085</v>
      </c>
      <c r="G622" t="s">
        <v>1069</v>
      </c>
      <c r="H622" t="s">
        <v>2502</v>
      </c>
      <c r="I622" t="s">
        <v>1069</v>
      </c>
    </row>
    <row r="623" spans="1:9">
      <c r="A623" t="s">
        <v>2503</v>
      </c>
      <c r="B623" t="s">
        <v>1143</v>
      </c>
      <c r="C623" t="s">
        <v>1069</v>
      </c>
      <c r="D623" t="s">
        <v>1139</v>
      </c>
      <c r="E623" t="s">
        <v>1069</v>
      </c>
      <c r="F623" t="s">
        <v>1090</v>
      </c>
      <c r="G623" t="s">
        <v>1069</v>
      </c>
      <c r="H623" t="s">
        <v>1100</v>
      </c>
      <c r="I623" t="s">
        <v>1069</v>
      </c>
    </row>
    <row r="624" spans="1:9">
      <c r="A624" t="s">
        <v>2504</v>
      </c>
      <c r="B624" t="s">
        <v>1136</v>
      </c>
      <c r="C624" t="s">
        <v>1069</v>
      </c>
      <c r="D624" t="s">
        <v>1116</v>
      </c>
      <c r="E624" t="s">
        <v>1069</v>
      </c>
      <c r="F624" t="s">
        <v>1094</v>
      </c>
      <c r="G624" t="s">
        <v>1069</v>
      </c>
      <c r="H624" t="s">
        <v>2145</v>
      </c>
      <c r="I624" t="s">
        <v>1069</v>
      </c>
    </row>
    <row r="625" spans="1:9">
      <c r="A625" t="s">
        <v>2505</v>
      </c>
      <c r="B625" t="s">
        <v>1121</v>
      </c>
      <c r="C625" t="s">
        <v>1069</v>
      </c>
      <c r="D625" t="s">
        <v>1102</v>
      </c>
      <c r="E625" t="s">
        <v>1069</v>
      </c>
      <c r="F625" t="s">
        <v>1094</v>
      </c>
      <c r="G625" t="s">
        <v>1069</v>
      </c>
      <c r="H625" t="s">
        <v>2506</v>
      </c>
      <c r="I625" t="s">
        <v>1069</v>
      </c>
    </row>
    <row r="626" spans="1:9">
      <c r="A626" t="s">
        <v>2507</v>
      </c>
      <c r="B626" t="s">
        <v>1136</v>
      </c>
      <c r="C626" t="s">
        <v>1069</v>
      </c>
      <c r="D626" t="s">
        <v>1113</v>
      </c>
      <c r="E626" t="s">
        <v>1069</v>
      </c>
      <c r="F626" t="s">
        <v>1075</v>
      </c>
      <c r="G626" t="s">
        <v>1069</v>
      </c>
      <c r="H626" t="s">
        <v>2508</v>
      </c>
      <c r="I626" t="s">
        <v>1069</v>
      </c>
    </row>
    <row r="627" spans="1:9">
      <c r="A627" t="s">
        <v>2509</v>
      </c>
      <c r="B627" t="s">
        <v>1121</v>
      </c>
      <c r="C627" t="s">
        <v>1069</v>
      </c>
      <c r="D627" t="s">
        <v>1116</v>
      </c>
      <c r="E627" t="s">
        <v>1069</v>
      </c>
      <c r="F627" t="s">
        <v>1266</v>
      </c>
      <c r="G627" t="s">
        <v>1069</v>
      </c>
      <c r="H627" t="s">
        <v>1569</v>
      </c>
      <c r="I627" t="s">
        <v>1069</v>
      </c>
    </row>
    <row r="628" spans="1:9">
      <c r="A628" t="s">
        <v>2510</v>
      </c>
      <c r="B628" t="s">
        <v>1152</v>
      </c>
      <c r="C628" t="s">
        <v>1069</v>
      </c>
      <c r="D628" t="s">
        <v>1128</v>
      </c>
      <c r="E628" t="s">
        <v>1069</v>
      </c>
      <c r="F628" t="s">
        <v>1074</v>
      </c>
      <c r="G628" t="s">
        <v>1069</v>
      </c>
      <c r="H628" t="s">
        <v>1286</v>
      </c>
      <c r="I628" t="s">
        <v>1069</v>
      </c>
    </row>
    <row r="629" spans="1:9">
      <c r="A629" t="s">
        <v>2511</v>
      </c>
      <c r="B629" t="s">
        <v>1488</v>
      </c>
      <c r="C629" t="s">
        <v>1069</v>
      </c>
      <c r="D629" t="s">
        <v>1152</v>
      </c>
      <c r="E629" t="s">
        <v>1069</v>
      </c>
      <c r="F629" t="s">
        <v>1116</v>
      </c>
      <c r="G629" t="s">
        <v>1069</v>
      </c>
      <c r="H629" t="s">
        <v>2512</v>
      </c>
      <c r="I629" t="s">
        <v>1069</v>
      </c>
    </row>
    <row r="630" spans="1:9">
      <c r="A630" t="s">
        <v>2513</v>
      </c>
      <c r="B630" t="s">
        <v>1269</v>
      </c>
      <c r="C630" t="s">
        <v>1069</v>
      </c>
      <c r="D630" t="s">
        <v>1488</v>
      </c>
      <c r="E630" t="s">
        <v>1069</v>
      </c>
      <c r="F630" t="s">
        <v>1143</v>
      </c>
      <c r="G630" t="s">
        <v>1069</v>
      </c>
      <c r="H630" t="s">
        <v>1584</v>
      </c>
      <c r="I630" t="s">
        <v>1069</v>
      </c>
    </row>
    <row r="631" spans="1:9">
      <c r="A631" t="s">
        <v>2514</v>
      </c>
      <c r="B631" t="s">
        <v>1483</v>
      </c>
      <c r="C631" t="s">
        <v>1069</v>
      </c>
      <c r="D631" t="s">
        <v>1476</v>
      </c>
      <c r="E631" t="s">
        <v>1069</v>
      </c>
      <c r="F631" t="s">
        <v>1265</v>
      </c>
      <c r="G631" t="s">
        <v>1069</v>
      </c>
      <c r="H631" t="s">
        <v>1556</v>
      </c>
      <c r="I631" t="s">
        <v>1069</v>
      </c>
    </row>
    <row r="632" spans="1:9">
      <c r="A632" t="s">
        <v>2515</v>
      </c>
      <c r="B632" t="s">
        <v>1475</v>
      </c>
      <c r="C632" t="s">
        <v>1069</v>
      </c>
      <c r="D632" t="s">
        <v>1476</v>
      </c>
      <c r="E632" t="s">
        <v>1069</v>
      </c>
      <c r="F632" t="s">
        <v>1136</v>
      </c>
      <c r="G632" t="s">
        <v>1069</v>
      </c>
      <c r="H632" t="s">
        <v>2516</v>
      </c>
      <c r="I632" t="s">
        <v>1069</v>
      </c>
    </row>
    <row r="633" spans="1:9">
      <c r="A633" t="s">
        <v>2517</v>
      </c>
      <c r="B633" t="s">
        <v>1656</v>
      </c>
      <c r="C633" t="s">
        <v>1069</v>
      </c>
      <c r="D633" t="s">
        <v>1483</v>
      </c>
      <c r="E633" t="s">
        <v>1069</v>
      </c>
      <c r="F633" t="s">
        <v>1270</v>
      </c>
      <c r="G633" t="s">
        <v>1069</v>
      </c>
      <c r="H633" t="s">
        <v>2518</v>
      </c>
      <c r="I633" t="s">
        <v>1069</v>
      </c>
    </row>
    <row r="634" spans="1:9">
      <c r="A634" t="s">
        <v>2519</v>
      </c>
      <c r="B634" t="s">
        <v>1656</v>
      </c>
      <c r="C634" t="s">
        <v>1069</v>
      </c>
      <c r="D634" t="s">
        <v>1483</v>
      </c>
      <c r="E634" t="s">
        <v>1069</v>
      </c>
      <c r="F634" t="s">
        <v>1284</v>
      </c>
      <c r="G634" t="s">
        <v>1069</v>
      </c>
      <c r="H634" t="s">
        <v>2520</v>
      </c>
      <c r="I634" t="s">
        <v>1069</v>
      </c>
    </row>
    <row r="635" spans="1:9">
      <c r="A635" t="s">
        <v>2521</v>
      </c>
      <c r="B635" t="s">
        <v>1649</v>
      </c>
      <c r="C635" t="s">
        <v>1069</v>
      </c>
      <c r="D635" t="s">
        <v>1269</v>
      </c>
      <c r="E635" t="s">
        <v>1069</v>
      </c>
      <c r="F635" t="s">
        <v>1136</v>
      </c>
      <c r="G635" t="s">
        <v>1069</v>
      </c>
      <c r="H635" t="s">
        <v>2522</v>
      </c>
      <c r="I635" t="s">
        <v>1069</v>
      </c>
    </row>
    <row r="636" spans="1:9">
      <c r="A636" t="s">
        <v>2523</v>
      </c>
      <c r="B636" t="s">
        <v>1649</v>
      </c>
      <c r="C636" t="s">
        <v>1069</v>
      </c>
      <c r="D636" t="s">
        <v>1275</v>
      </c>
      <c r="E636" t="s">
        <v>1069</v>
      </c>
      <c r="F636" t="s">
        <v>1270</v>
      </c>
      <c r="G636" t="s">
        <v>1069</v>
      </c>
      <c r="H636" t="s">
        <v>2524</v>
      </c>
      <c r="I636" t="s">
        <v>1069</v>
      </c>
    </row>
    <row r="637" spans="1:9">
      <c r="A637" t="s">
        <v>2525</v>
      </c>
      <c r="B637" t="s">
        <v>1275</v>
      </c>
      <c r="C637" t="s">
        <v>1069</v>
      </c>
      <c r="D637" t="s">
        <v>1476</v>
      </c>
      <c r="E637" t="s">
        <v>1069</v>
      </c>
      <c r="F637" t="s">
        <v>1125</v>
      </c>
      <c r="G637" t="s">
        <v>1069</v>
      </c>
      <c r="H637" t="s">
        <v>2526</v>
      </c>
      <c r="I637" t="s">
        <v>1069</v>
      </c>
    </row>
    <row r="638" spans="1:9">
      <c r="A638" t="s">
        <v>2527</v>
      </c>
      <c r="B638" t="s">
        <v>1649</v>
      </c>
      <c r="C638" t="s">
        <v>1069</v>
      </c>
      <c r="D638" t="s">
        <v>1275</v>
      </c>
      <c r="E638" t="s">
        <v>1069</v>
      </c>
      <c r="F638" t="s">
        <v>1255</v>
      </c>
      <c r="G638" t="s">
        <v>1069</v>
      </c>
      <c r="H638" t="s">
        <v>1253</v>
      </c>
      <c r="I638" t="s">
        <v>1069</v>
      </c>
    </row>
    <row r="639" spans="1:9">
      <c r="A639" t="s">
        <v>2528</v>
      </c>
      <c r="B639" t="s">
        <v>1483</v>
      </c>
      <c r="C639" t="s">
        <v>1069</v>
      </c>
      <c r="D639" t="s">
        <v>1476</v>
      </c>
      <c r="E639" t="s">
        <v>1069</v>
      </c>
      <c r="F639" t="s">
        <v>1107</v>
      </c>
      <c r="G639" t="s">
        <v>1069</v>
      </c>
      <c r="H639" t="s">
        <v>2529</v>
      </c>
      <c r="I639" t="s">
        <v>1069</v>
      </c>
    </row>
    <row r="640" spans="1:9">
      <c r="A640" t="s">
        <v>2530</v>
      </c>
      <c r="B640" t="s">
        <v>1483</v>
      </c>
      <c r="C640" t="s">
        <v>1069</v>
      </c>
      <c r="D640" t="s">
        <v>1476</v>
      </c>
      <c r="E640" t="s">
        <v>1069</v>
      </c>
      <c r="F640" t="s">
        <v>1121</v>
      </c>
      <c r="G640" t="s">
        <v>1069</v>
      </c>
      <c r="H640" t="s">
        <v>2531</v>
      </c>
      <c r="I640" t="s">
        <v>1069</v>
      </c>
    </row>
    <row r="641" spans="1:9">
      <c r="A641" t="s">
        <v>2532</v>
      </c>
      <c r="B641" t="s">
        <v>1275</v>
      </c>
      <c r="C641" t="s">
        <v>1069</v>
      </c>
      <c r="D641" t="s">
        <v>1476</v>
      </c>
      <c r="E641" t="s">
        <v>1069</v>
      </c>
      <c r="F641" t="s">
        <v>1121</v>
      </c>
      <c r="G641" t="s">
        <v>1069</v>
      </c>
      <c r="H641" t="s">
        <v>2533</v>
      </c>
      <c r="I641" t="s">
        <v>1069</v>
      </c>
    </row>
    <row r="642" spans="1:9">
      <c r="A642" t="s">
        <v>2534</v>
      </c>
      <c r="B642" t="s">
        <v>1483</v>
      </c>
      <c r="C642" t="s">
        <v>1069</v>
      </c>
      <c r="D642" t="s">
        <v>1476</v>
      </c>
      <c r="E642" t="s">
        <v>1069</v>
      </c>
      <c r="F642" t="s">
        <v>1121</v>
      </c>
      <c r="G642" t="s">
        <v>1069</v>
      </c>
      <c r="H642" t="s">
        <v>1724</v>
      </c>
      <c r="I642" t="s">
        <v>1069</v>
      </c>
    </row>
    <row r="643" spans="1:9">
      <c r="A643" t="s">
        <v>2535</v>
      </c>
      <c r="B643" t="s">
        <v>1275</v>
      </c>
      <c r="C643" t="s">
        <v>1069</v>
      </c>
      <c r="D643" t="s">
        <v>1288</v>
      </c>
      <c r="E643" t="s">
        <v>1069</v>
      </c>
      <c r="F643" t="s">
        <v>1128</v>
      </c>
      <c r="G643" t="s">
        <v>1069</v>
      </c>
      <c r="H643" t="s">
        <v>2536</v>
      </c>
      <c r="I643" t="s">
        <v>1069</v>
      </c>
    </row>
    <row r="644" spans="1:9">
      <c r="A644" t="s">
        <v>2537</v>
      </c>
      <c r="B644" t="s">
        <v>1269</v>
      </c>
      <c r="C644" t="s">
        <v>1069</v>
      </c>
      <c r="D644" t="s">
        <v>1259</v>
      </c>
      <c r="E644" t="s">
        <v>1069</v>
      </c>
      <c r="F644" t="s">
        <v>1260</v>
      </c>
      <c r="G644" t="s">
        <v>1069</v>
      </c>
      <c r="H644" t="s">
        <v>1630</v>
      </c>
      <c r="I644" t="s">
        <v>1069</v>
      </c>
    </row>
    <row r="645" spans="1:9">
      <c r="A645" t="s">
        <v>2538</v>
      </c>
      <c r="B645" t="s">
        <v>1269</v>
      </c>
      <c r="C645" t="s">
        <v>1069</v>
      </c>
      <c r="D645" t="s">
        <v>1488</v>
      </c>
      <c r="E645" t="s">
        <v>1069</v>
      </c>
      <c r="F645" t="s">
        <v>1102</v>
      </c>
      <c r="G645" t="s">
        <v>1069</v>
      </c>
      <c r="H645" t="s">
        <v>2539</v>
      </c>
      <c r="I645" t="s">
        <v>1069</v>
      </c>
    </row>
    <row r="646" spans="1:9">
      <c r="A646" t="s">
        <v>2540</v>
      </c>
      <c r="B646" t="s">
        <v>1259</v>
      </c>
      <c r="C646" t="s">
        <v>1069</v>
      </c>
      <c r="D646" t="s">
        <v>1152</v>
      </c>
      <c r="E646" t="s">
        <v>1069</v>
      </c>
      <c r="F646" t="s">
        <v>1139</v>
      </c>
      <c r="G646" t="s">
        <v>1069</v>
      </c>
      <c r="H646" t="s">
        <v>2541</v>
      </c>
      <c r="I646" t="s">
        <v>1069</v>
      </c>
    </row>
    <row r="647" spans="1:9">
      <c r="A647" t="s">
        <v>2542</v>
      </c>
      <c r="B647" t="s">
        <v>1284</v>
      </c>
      <c r="C647" t="s">
        <v>1069</v>
      </c>
      <c r="D647" t="s">
        <v>1260</v>
      </c>
      <c r="E647" t="s">
        <v>1069</v>
      </c>
      <c r="F647" t="s">
        <v>1140</v>
      </c>
      <c r="G647" t="s">
        <v>1069</v>
      </c>
      <c r="H647" t="s">
        <v>2351</v>
      </c>
      <c r="I647" t="s">
        <v>1069</v>
      </c>
    </row>
    <row r="648" spans="1:9">
      <c r="A648" t="s">
        <v>2543</v>
      </c>
      <c r="B648" t="s">
        <v>1125</v>
      </c>
      <c r="C648" t="s">
        <v>1069</v>
      </c>
      <c r="D648" t="s">
        <v>1102</v>
      </c>
      <c r="E648" t="s">
        <v>1069</v>
      </c>
      <c r="F648" t="s">
        <v>1276</v>
      </c>
      <c r="G648" t="s">
        <v>1069</v>
      </c>
      <c r="H648" t="s">
        <v>2283</v>
      </c>
      <c r="I648" t="s">
        <v>1069</v>
      </c>
    </row>
    <row r="649" spans="1:9">
      <c r="A649" t="s">
        <v>2544</v>
      </c>
      <c r="B649" t="s">
        <v>1270</v>
      </c>
      <c r="C649" t="s">
        <v>1069</v>
      </c>
      <c r="D649" t="s">
        <v>1121</v>
      </c>
      <c r="E649" t="s">
        <v>1069</v>
      </c>
      <c r="F649" t="s">
        <v>1103</v>
      </c>
      <c r="G649" t="s">
        <v>1069</v>
      </c>
      <c r="H649" t="s">
        <v>2471</v>
      </c>
      <c r="I649" t="s">
        <v>1069</v>
      </c>
    </row>
    <row r="650" spans="1:9">
      <c r="A650" t="s">
        <v>2545</v>
      </c>
      <c r="B650" t="s">
        <v>1125</v>
      </c>
      <c r="C650" t="s">
        <v>1069</v>
      </c>
      <c r="D650" t="s">
        <v>1113</v>
      </c>
      <c r="E650" t="s">
        <v>1069</v>
      </c>
      <c r="F650" t="s">
        <v>1320</v>
      </c>
      <c r="G650" t="s">
        <v>1069</v>
      </c>
      <c r="H650" t="s">
        <v>2546</v>
      </c>
      <c r="I650" t="s">
        <v>1069</v>
      </c>
    </row>
    <row r="651" spans="1:9">
      <c r="A651" t="s">
        <v>2547</v>
      </c>
      <c r="B651" t="s">
        <v>1136</v>
      </c>
      <c r="C651" t="s">
        <v>1069</v>
      </c>
      <c r="D651" t="s">
        <v>1089</v>
      </c>
      <c r="E651" t="s">
        <v>1069</v>
      </c>
      <c r="F651" t="s">
        <v>1231</v>
      </c>
      <c r="G651" t="s">
        <v>1069</v>
      </c>
      <c r="H651" t="s">
        <v>2548</v>
      </c>
      <c r="I651" t="s">
        <v>1069</v>
      </c>
    </row>
    <row r="652" spans="1:9">
      <c r="A652" t="s">
        <v>2549</v>
      </c>
      <c r="B652" t="s">
        <v>1128</v>
      </c>
      <c r="C652" t="s">
        <v>1069</v>
      </c>
      <c r="D652" t="s">
        <v>1079</v>
      </c>
      <c r="E652" t="s">
        <v>1069</v>
      </c>
      <c r="F652" t="s">
        <v>1256</v>
      </c>
      <c r="G652" t="s">
        <v>1069</v>
      </c>
      <c r="H652" t="s">
        <v>2550</v>
      </c>
      <c r="I652" t="s">
        <v>1069</v>
      </c>
    </row>
    <row r="653" spans="1:9">
      <c r="A653" t="s">
        <v>2551</v>
      </c>
      <c r="B653" t="s">
        <v>1121</v>
      </c>
      <c r="C653" t="s">
        <v>1069</v>
      </c>
      <c r="D653" t="s">
        <v>1103</v>
      </c>
      <c r="E653" t="s">
        <v>1069</v>
      </c>
      <c r="F653" t="s">
        <v>1911</v>
      </c>
      <c r="G653" t="s">
        <v>1069</v>
      </c>
      <c r="H653" t="s">
        <v>2552</v>
      </c>
      <c r="I653" t="s">
        <v>1069</v>
      </c>
    </row>
    <row r="654" spans="1:9">
      <c r="A654" t="s">
        <v>2553</v>
      </c>
      <c r="B654" t="s">
        <v>1284</v>
      </c>
      <c r="C654" t="s">
        <v>1069</v>
      </c>
      <c r="D654" t="s">
        <v>1079</v>
      </c>
      <c r="E654" t="s">
        <v>1069</v>
      </c>
      <c r="F654" t="s">
        <v>1184</v>
      </c>
      <c r="G654" t="s">
        <v>1069</v>
      </c>
      <c r="H654" t="s">
        <v>1638</v>
      </c>
      <c r="I654" t="s">
        <v>1069</v>
      </c>
    </row>
    <row r="655" spans="1:9">
      <c r="A655" t="s">
        <v>2554</v>
      </c>
      <c r="B655" t="s">
        <v>1260</v>
      </c>
      <c r="C655" t="s">
        <v>1069</v>
      </c>
      <c r="D655" t="s">
        <v>1144</v>
      </c>
      <c r="E655" t="s">
        <v>1069</v>
      </c>
      <c r="F655" t="s">
        <v>1317</v>
      </c>
      <c r="G655" t="s">
        <v>1069</v>
      </c>
      <c r="H655" t="s">
        <v>1615</v>
      </c>
      <c r="I655" t="s">
        <v>1069</v>
      </c>
    </row>
    <row r="656" spans="1:9">
      <c r="A656" t="s">
        <v>2555</v>
      </c>
      <c r="B656" t="s">
        <v>1103</v>
      </c>
      <c r="C656" t="s">
        <v>1069</v>
      </c>
      <c r="D656" t="s">
        <v>1095</v>
      </c>
      <c r="E656" t="s">
        <v>1069</v>
      </c>
      <c r="F656" t="s">
        <v>1208</v>
      </c>
      <c r="G656" t="s">
        <v>1069</v>
      </c>
      <c r="H656" t="s">
        <v>2556</v>
      </c>
      <c r="I656" t="s">
        <v>1069</v>
      </c>
    </row>
    <row r="657" spans="1:9">
      <c r="A657" t="s">
        <v>2557</v>
      </c>
      <c r="B657" t="s">
        <v>1231</v>
      </c>
      <c r="C657" t="s">
        <v>1069</v>
      </c>
      <c r="D657" t="s">
        <v>1207</v>
      </c>
      <c r="E657" t="s">
        <v>1069</v>
      </c>
      <c r="F657" t="s">
        <v>2558</v>
      </c>
      <c r="G657" t="s">
        <v>1069</v>
      </c>
      <c r="H657" t="s">
        <v>2559</v>
      </c>
      <c r="I657" t="s">
        <v>1069</v>
      </c>
    </row>
    <row r="658" spans="1:9">
      <c r="A658" t="s">
        <v>2560</v>
      </c>
      <c r="B658" t="s">
        <v>2561</v>
      </c>
      <c r="C658" t="s">
        <v>1069</v>
      </c>
      <c r="D658" t="s">
        <v>2562</v>
      </c>
      <c r="E658" t="s">
        <v>1069</v>
      </c>
      <c r="F658" t="s">
        <v>2563</v>
      </c>
      <c r="G658" t="s">
        <v>1069</v>
      </c>
      <c r="H658" t="s">
        <v>2564</v>
      </c>
      <c r="I658" t="s">
        <v>1069</v>
      </c>
    </row>
    <row r="659" spans="1:9">
      <c r="A659" t="s">
        <v>2565</v>
      </c>
      <c r="B659" t="s">
        <v>2018</v>
      </c>
      <c r="C659" t="s">
        <v>1069</v>
      </c>
      <c r="D659" t="s">
        <v>2566</v>
      </c>
      <c r="E659" t="s">
        <v>1069</v>
      </c>
      <c r="F659" t="s">
        <v>2567</v>
      </c>
      <c r="G659" t="s">
        <v>1069</v>
      </c>
      <c r="H659" t="s">
        <v>2568</v>
      </c>
      <c r="I659" t="s">
        <v>1069</v>
      </c>
    </row>
    <row r="660" spans="1:9">
      <c r="A660" t="s">
        <v>2569</v>
      </c>
      <c r="B660" t="s">
        <v>2570</v>
      </c>
      <c r="C660" t="s">
        <v>1069</v>
      </c>
      <c r="D660" t="s">
        <v>1985</v>
      </c>
      <c r="E660" t="s">
        <v>1069</v>
      </c>
      <c r="F660" t="s">
        <v>1347</v>
      </c>
      <c r="G660" t="s">
        <v>1069</v>
      </c>
      <c r="H660" t="s">
        <v>2571</v>
      </c>
      <c r="I660" t="s">
        <v>1069</v>
      </c>
    </row>
    <row r="661" spans="1:9">
      <c r="A661" t="s">
        <v>2572</v>
      </c>
      <c r="B661" t="s">
        <v>1383</v>
      </c>
      <c r="C661" t="s">
        <v>1069</v>
      </c>
      <c r="D661" t="s">
        <v>2021</v>
      </c>
      <c r="E661" t="s">
        <v>1069</v>
      </c>
      <c r="F661" t="s">
        <v>2383</v>
      </c>
      <c r="G661" t="s">
        <v>1069</v>
      </c>
      <c r="H661" t="s">
        <v>2573</v>
      </c>
      <c r="I661" t="s">
        <v>1069</v>
      </c>
    </row>
    <row r="662" spans="1:9">
      <c r="A662" t="s">
        <v>2574</v>
      </c>
      <c r="B662" t="s">
        <v>2395</v>
      </c>
      <c r="C662" t="s">
        <v>1069</v>
      </c>
      <c r="D662" t="s">
        <v>1988</v>
      </c>
      <c r="E662" t="s">
        <v>1069</v>
      </c>
      <c r="F662" t="s">
        <v>1960</v>
      </c>
      <c r="G662" t="s">
        <v>1069</v>
      </c>
      <c r="H662" t="s">
        <v>2575</v>
      </c>
      <c r="I662" t="s">
        <v>1069</v>
      </c>
    </row>
    <row r="663" spans="1:9">
      <c r="A663" t="s">
        <v>2576</v>
      </c>
      <c r="B663" t="s">
        <v>2577</v>
      </c>
      <c r="C663" t="s">
        <v>1069</v>
      </c>
      <c r="D663" t="s">
        <v>2578</v>
      </c>
      <c r="E663" t="s">
        <v>1069</v>
      </c>
      <c r="F663" t="s">
        <v>2187</v>
      </c>
      <c r="G663" t="s">
        <v>1069</v>
      </c>
      <c r="H663" t="s">
        <v>2579</v>
      </c>
      <c r="I663" t="s">
        <v>1069</v>
      </c>
    </row>
    <row r="664" spans="1:9">
      <c r="A664" t="s">
        <v>2580</v>
      </c>
      <c r="B664" t="s">
        <v>1367</v>
      </c>
      <c r="C664" t="s">
        <v>1069</v>
      </c>
      <c r="D664" t="s">
        <v>2581</v>
      </c>
      <c r="E664" t="s">
        <v>1069</v>
      </c>
      <c r="F664" t="s">
        <v>2582</v>
      </c>
      <c r="G664" t="s">
        <v>1069</v>
      </c>
      <c r="H664" t="s">
        <v>2583</v>
      </c>
      <c r="I664" t="s">
        <v>1069</v>
      </c>
    </row>
    <row r="665" spans="1:9">
      <c r="A665" t="s">
        <v>2584</v>
      </c>
      <c r="B665" t="s">
        <v>2585</v>
      </c>
      <c r="C665" t="s">
        <v>1069</v>
      </c>
      <c r="D665" t="s">
        <v>2586</v>
      </c>
      <c r="E665" t="s">
        <v>1069</v>
      </c>
      <c r="F665" t="s">
        <v>2587</v>
      </c>
      <c r="G665" t="s">
        <v>1069</v>
      </c>
      <c r="H665" t="s">
        <v>2588</v>
      </c>
      <c r="I665" t="s">
        <v>1069</v>
      </c>
    </row>
    <row r="666" spans="1:9">
      <c r="A666" t="s">
        <v>2589</v>
      </c>
      <c r="B666" t="s">
        <v>2578</v>
      </c>
      <c r="C666" t="s">
        <v>1069</v>
      </c>
      <c r="D666" t="s">
        <v>2590</v>
      </c>
      <c r="E666" t="s">
        <v>1069</v>
      </c>
      <c r="F666" t="s">
        <v>2591</v>
      </c>
      <c r="G666" t="s">
        <v>1069</v>
      </c>
      <c r="H666" t="s">
        <v>2592</v>
      </c>
      <c r="I666" t="s">
        <v>1069</v>
      </c>
    </row>
    <row r="667" spans="1:9">
      <c r="A667" t="s">
        <v>2593</v>
      </c>
      <c r="B667" t="s">
        <v>2384</v>
      </c>
      <c r="C667" t="s">
        <v>1069</v>
      </c>
      <c r="D667" t="s">
        <v>2594</v>
      </c>
      <c r="E667" t="s">
        <v>1069</v>
      </c>
      <c r="F667" t="s">
        <v>2595</v>
      </c>
      <c r="G667" t="s">
        <v>1069</v>
      </c>
      <c r="H667" t="s">
        <v>2596</v>
      </c>
      <c r="I667" t="s">
        <v>1069</v>
      </c>
    </row>
    <row r="668" spans="1:9">
      <c r="A668" t="s">
        <v>2597</v>
      </c>
      <c r="B668" t="s">
        <v>2598</v>
      </c>
      <c r="C668" t="s">
        <v>1069</v>
      </c>
      <c r="D668" t="s">
        <v>2599</v>
      </c>
      <c r="E668" t="s">
        <v>1069</v>
      </c>
      <c r="F668" t="s">
        <v>2595</v>
      </c>
      <c r="G668" t="s">
        <v>1069</v>
      </c>
      <c r="H668" t="s">
        <v>2600</v>
      </c>
      <c r="I668" t="s">
        <v>1069</v>
      </c>
    </row>
    <row r="669" spans="1:9">
      <c r="A669" t="s">
        <v>2601</v>
      </c>
      <c r="B669" t="s">
        <v>1342</v>
      </c>
      <c r="C669" t="s">
        <v>1069</v>
      </c>
      <c r="D669" t="s">
        <v>2602</v>
      </c>
      <c r="E669" t="s">
        <v>1069</v>
      </c>
      <c r="F669" t="s">
        <v>2603</v>
      </c>
      <c r="G669" t="s">
        <v>1069</v>
      </c>
      <c r="H669" t="s">
        <v>2604</v>
      </c>
      <c r="I669" t="s">
        <v>1069</v>
      </c>
    </row>
    <row r="670" spans="1:9">
      <c r="A670" t="s">
        <v>2605</v>
      </c>
      <c r="B670" t="s">
        <v>2581</v>
      </c>
      <c r="C670" t="s">
        <v>1069</v>
      </c>
      <c r="D670" t="s">
        <v>2606</v>
      </c>
      <c r="E670" t="s">
        <v>1069</v>
      </c>
      <c r="F670" t="s">
        <v>2607</v>
      </c>
      <c r="G670" t="s">
        <v>1069</v>
      </c>
      <c r="H670" t="s">
        <v>2608</v>
      </c>
      <c r="I670" t="s">
        <v>1069</v>
      </c>
    </row>
    <row r="671" spans="1:9">
      <c r="A671" t="s">
        <v>2609</v>
      </c>
      <c r="B671" t="s">
        <v>1960</v>
      </c>
      <c r="C671" t="s">
        <v>1069</v>
      </c>
      <c r="D671" t="s">
        <v>2590</v>
      </c>
      <c r="E671" t="s">
        <v>1069</v>
      </c>
      <c r="F671" t="s">
        <v>2610</v>
      </c>
      <c r="G671" t="s">
        <v>1069</v>
      </c>
      <c r="H671" t="s">
        <v>2611</v>
      </c>
      <c r="I671" t="s">
        <v>1069</v>
      </c>
    </row>
    <row r="672" spans="1:9">
      <c r="A672" t="s">
        <v>2612</v>
      </c>
      <c r="B672" t="s">
        <v>1965</v>
      </c>
      <c r="C672" t="s">
        <v>1069</v>
      </c>
      <c r="D672" t="s">
        <v>2613</v>
      </c>
      <c r="E672" t="s">
        <v>1069</v>
      </c>
      <c r="F672" t="s">
        <v>2594</v>
      </c>
      <c r="G672" t="s">
        <v>1069</v>
      </c>
      <c r="H672" t="s">
        <v>2614</v>
      </c>
      <c r="I672" t="s">
        <v>1069</v>
      </c>
    </row>
    <row r="673" spans="1:9">
      <c r="A673" t="s">
        <v>2615</v>
      </c>
      <c r="B673" t="s">
        <v>2616</v>
      </c>
      <c r="C673" t="s">
        <v>1069</v>
      </c>
      <c r="D673" t="s">
        <v>2617</v>
      </c>
      <c r="E673" t="s">
        <v>1069</v>
      </c>
      <c r="F673" t="s">
        <v>2618</v>
      </c>
      <c r="G673" t="s">
        <v>1069</v>
      </c>
      <c r="H673" t="s">
        <v>2619</v>
      </c>
      <c r="I673" t="s">
        <v>1069</v>
      </c>
    </row>
    <row r="674" spans="1:9">
      <c r="A674" t="s">
        <v>2620</v>
      </c>
      <c r="B674" t="s">
        <v>2621</v>
      </c>
      <c r="C674" t="s">
        <v>1069</v>
      </c>
      <c r="D674" t="s">
        <v>2622</v>
      </c>
      <c r="E674" t="s">
        <v>1069</v>
      </c>
      <c r="F674" t="s">
        <v>2623</v>
      </c>
      <c r="G674" t="s">
        <v>1069</v>
      </c>
      <c r="H674" t="s">
        <v>2624</v>
      </c>
      <c r="I674" t="s">
        <v>1069</v>
      </c>
    </row>
    <row r="675" spans="1:9">
      <c r="A675" t="s">
        <v>2625</v>
      </c>
      <c r="B675" t="s">
        <v>2626</v>
      </c>
      <c r="C675" t="s">
        <v>1069</v>
      </c>
      <c r="D675" t="s">
        <v>2598</v>
      </c>
      <c r="E675" t="s">
        <v>1069</v>
      </c>
      <c r="F675" t="s">
        <v>2385</v>
      </c>
      <c r="G675" t="s">
        <v>1069</v>
      </c>
      <c r="H675" t="s">
        <v>2627</v>
      </c>
      <c r="I675" t="s">
        <v>1069</v>
      </c>
    </row>
    <row r="676" spans="1:9">
      <c r="A676" t="s">
        <v>2628</v>
      </c>
      <c r="B676" t="s">
        <v>2629</v>
      </c>
      <c r="C676" t="s">
        <v>1069</v>
      </c>
      <c r="D676" t="s">
        <v>2630</v>
      </c>
      <c r="E676" t="s">
        <v>1069</v>
      </c>
      <c r="F676" t="s">
        <v>2631</v>
      </c>
      <c r="G676" t="s">
        <v>1069</v>
      </c>
      <c r="H676" t="s">
        <v>2632</v>
      </c>
      <c r="I676" t="s">
        <v>1069</v>
      </c>
    </row>
    <row r="677" spans="1:9">
      <c r="A677" t="s">
        <v>2633</v>
      </c>
      <c r="B677" t="s">
        <v>2634</v>
      </c>
      <c r="C677" t="s">
        <v>1069</v>
      </c>
      <c r="D677" t="s">
        <v>2607</v>
      </c>
      <c r="E677" t="s">
        <v>1069</v>
      </c>
      <c r="F677" t="s">
        <v>2616</v>
      </c>
      <c r="G677" t="s">
        <v>1069</v>
      </c>
      <c r="H677" t="s">
        <v>2635</v>
      </c>
      <c r="I677" t="s">
        <v>1069</v>
      </c>
    </row>
    <row r="678" spans="1:9">
      <c r="A678" t="s">
        <v>2636</v>
      </c>
      <c r="B678" t="s">
        <v>1558</v>
      </c>
      <c r="C678" t="s">
        <v>1069</v>
      </c>
      <c r="D678" t="s">
        <v>2561</v>
      </c>
      <c r="E678" t="s">
        <v>1069</v>
      </c>
      <c r="F678" t="s">
        <v>1991</v>
      </c>
      <c r="G678" t="s">
        <v>1069</v>
      </c>
      <c r="H678" t="s">
        <v>2637</v>
      </c>
      <c r="I678" t="s">
        <v>1069</v>
      </c>
    </row>
    <row r="679" spans="1:9">
      <c r="A679" t="s">
        <v>2638</v>
      </c>
      <c r="B679" t="s">
        <v>1220</v>
      </c>
      <c r="C679" t="s">
        <v>1069</v>
      </c>
      <c r="D679" t="s">
        <v>2239</v>
      </c>
      <c r="E679" t="s">
        <v>1069</v>
      </c>
      <c r="F679" t="s">
        <v>1552</v>
      </c>
      <c r="G679" t="s">
        <v>1069</v>
      </c>
      <c r="H679" t="s">
        <v>2639</v>
      </c>
      <c r="I679" t="s">
        <v>1069</v>
      </c>
    </row>
    <row r="680" spans="1:9">
      <c r="A680" t="s">
        <v>2640</v>
      </c>
      <c r="B680" t="s">
        <v>1224</v>
      </c>
      <c r="C680" t="s">
        <v>1069</v>
      </c>
      <c r="D680" t="s">
        <v>1188</v>
      </c>
      <c r="E680" t="s">
        <v>1069</v>
      </c>
      <c r="F680" t="s">
        <v>2040</v>
      </c>
      <c r="G680" t="s">
        <v>1069</v>
      </c>
      <c r="H680" t="s">
        <v>2641</v>
      </c>
      <c r="I680" t="s">
        <v>1069</v>
      </c>
    </row>
    <row r="681" spans="1:9">
      <c r="A681" t="s">
        <v>2642</v>
      </c>
      <c r="B681" t="s">
        <v>2049</v>
      </c>
      <c r="C681" t="s">
        <v>1069</v>
      </c>
      <c r="D681" t="s">
        <v>1220</v>
      </c>
      <c r="E681" t="s">
        <v>1069</v>
      </c>
      <c r="F681" t="s">
        <v>2162</v>
      </c>
      <c r="G681" t="s">
        <v>1069</v>
      </c>
      <c r="H681" t="s">
        <v>2643</v>
      </c>
      <c r="I681" t="s">
        <v>1069</v>
      </c>
    </row>
    <row r="682" spans="1:9">
      <c r="A682" t="s">
        <v>2644</v>
      </c>
      <c r="B682" t="s">
        <v>1527</v>
      </c>
      <c r="C682" t="s">
        <v>1069</v>
      </c>
      <c r="D682" t="s">
        <v>1200</v>
      </c>
      <c r="E682" t="s">
        <v>1069</v>
      </c>
      <c r="F682" t="s">
        <v>2558</v>
      </c>
      <c r="G682" t="s">
        <v>1069</v>
      </c>
      <c r="H682" t="s">
        <v>2645</v>
      </c>
      <c r="I682" t="s">
        <v>1069</v>
      </c>
    </row>
    <row r="683" spans="1:9">
      <c r="A683" t="s">
        <v>2646</v>
      </c>
      <c r="B683" t="s">
        <v>1518</v>
      </c>
      <c r="C683" t="s">
        <v>1069</v>
      </c>
      <c r="D683" t="s">
        <v>1323</v>
      </c>
      <c r="E683" t="s">
        <v>1069</v>
      </c>
      <c r="F683" t="s">
        <v>1217</v>
      </c>
      <c r="G683" t="s">
        <v>1069</v>
      </c>
      <c r="H683" t="s">
        <v>2647</v>
      </c>
      <c r="I683" t="s">
        <v>1069</v>
      </c>
    </row>
    <row r="684" spans="1:9">
      <c r="A684" t="s">
        <v>2648</v>
      </c>
      <c r="B684" t="s">
        <v>1317</v>
      </c>
      <c r="C684" t="s">
        <v>1069</v>
      </c>
      <c r="D684" t="s">
        <v>2649</v>
      </c>
      <c r="E684" t="s">
        <v>1069</v>
      </c>
      <c r="F684" t="s">
        <v>1976</v>
      </c>
      <c r="G684" t="s">
        <v>1069</v>
      </c>
      <c r="H684" t="s">
        <v>2650</v>
      </c>
      <c r="I684" t="s">
        <v>1069</v>
      </c>
    </row>
    <row r="685" spans="1:9">
      <c r="A685" t="s">
        <v>2651</v>
      </c>
      <c r="B685" t="s">
        <v>1086</v>
      </c>
      <c r="C685" t="s">
        <v>1069</v>
      </c>
      <c r="D685" t="s">
        <v>1163</v>
      </c>
      <c r="E685" t="s">
        <v>1069</v>
      </c>
      <c r="F685" t="s">
        <v>1224</v>
      </c>
      <c r="G685" t="s">
        <v>1069</v>
      </c>
      <c r="H685" t="s">
        <v>2652</v>
      </c>
      <c r="I685" t="s">
        <v>1069</v>
      </c>
    </row>
    <row r="686" spans="1:9">
      <c r="A686" t="s">
        <v>2653</v>
      </c>
      <c r="B686" t="s">
        <v>1285</v>
      </c>
      <c r="C686" t="s">
        <v>1069</v>
      </c>
      <c r="D686" t="s">
        <v>1195</v>
      </c>
      <c r="E686" t="s">
        <v>1069</v>
      </c>
      <c r="F686" t="s">
        <v>1551</v>
      </c>
      <c r="G686" t="s">
        <v>1069</v>
      </c>
      <c r="H686" t="s">
        <v>2654</v>
      </c>
      <c r="I686" t="s">
        <v>1069</v>
      </c>
    </row>
    <row r="687" spans="1:9">
      <c r="A687" t="s">
        <v>2655</v>
      </c>
      <c r="B687" t="s">
        <v>1166</v>
      </c>
      <c r="C687" t="s">
        <v>1069</v>
      </c>
      <c r="D687" t="s">
        <v>1191</v>
      </c>
      <c r="E687" t="s">
        <v>1069</v>
      </c>
      <c r="F687" t="s">
        <v>1196</v>
      </c>
      <c r="G687" t="s">
        <v>1069</v>
      </c>
      <c r="H687" t="s">
        <v>1368</v>
      </c>
      <c r="I687" t="s">
        <v>1069</v>
      </c>
    </row>
    <row r="688" spans="1:9">
      <c r="A688" t="s">
        <v>2656</v>
      </c>
      <c r="B688" t="s">
        <v>1279</v>
      </c>
      <c r="C688" t="s">
        <v>1069</v>
      </c>
      <c r="D688" t="s">
        <v>1579</v>
      </c>
      <c r="E688" t="s">
        <v>1069</v>
      </c>
      <c r="F688" t="s">
        <v>1196</v>
      </c>
      <c r="G688" t="s">
        <v>1069</v>
      </c>
      <c r="H688" t="s">
        <v>2657</v>
      </c>
      <c r="I688" t="s">
        <v>1069</v>
      </c>
    </row>
    <row r="689" spans="1:9">
      <c r="A689" t="s">
        <v>2658</v>
      </c>
      <c r="B689" t="s">
        <v>1159</v>
      </c>
      <c r="C689" t="s">
        <v>1069</v>
      </c>
      <c r="D689" t="s">
        <v>1167</v>
      </c>
      <c r="E689" t="s">
        <v>1069</v>
      </c>
      <c r="F689" t="s">
        <v>1196</v>
      </c>
      <c r="G689" t="s">
        <v>1069</v>
      </c>
      <c r="H689" t="s">
        <v>2659</v>
      </c>
      <c r="I689" t="s">
        <v>1069</v>
      </c>
    </row>
    <row r="690" spans="1:9">
      <c r="A690" t="s">
        <v>2660</v>
      </c>
      <c r="B690" t="s">
        <v>1095</v>
      </c>
      <c r="C690" t="s">
        <v>1069</v>
      </c>
      <c r="D690" t="s">
        <v>1171</v>
      </c>
      <c r="E690" t="s">
        <v>1069</v>
      </c>
      <c r="F690" t="s">
        <v>1235</v>
      </c>
      <c r="G690" t="s">
        <v>1069</v>
      </c>
      <c r="H690" t="s">
        <v>2661</v>
      </c>
      <c r="I690" t="s">
        <v>1069</v>
      </c>
    </row>
    <row r="691" spans="1:9">
      <c r="A691" t="s">
        <v>2662</v>
      </c>
      <c r="B691" t="s">
        <v>1279</v>
      </c>
      <c r="C691" t="s">
        <v>1069</v>
      </c>
      <c r="D691" t="s">
        <v>1256</v>
      </c>
      <c r="E691" t="s">
        <v>1069</v>
      </c>
      <c r="F691" t="s">
        <v>1586</v>
      </c>
      <c r="G691" t="s">
        <v>1069</v>
      </c>
      <c r="H691" t="s">
        <v>2663</v>
      </c>
      <c r="I691" t="s">
        <v>1069</v>
      </c>
    </row>
    <row r="692" spans="1:9">
      <c r="A692" t="s">
        <v>2664</v>
      </c>
      <c r="B692" t="s">
        <v>1238</v>
      </c>
      <c r="C692" t="s">
        <v>1069</v>
      </c>
      <c r="D692" t="s">
        <v>1579</v>
      </c>
      <c r="E692" t="s">
        <v>1069</v>
      </c>
      <c r="F692" t="s">
        <v>1196</v>
      </c>
      <c r="G692" t="s">
        <v>1069</v>
      </c>
      <c r="H692" t="s">
        <v>2665</v>
      </c>
      <c r="I692" t="s">
        <v>1069</v>
      </c>
    </row>
    <row r="693" spans="1:9">
      <c r="A693" t="s">
        <v>2666</v>
      </c>
      <c r="B693" t="s">
        <v>1080</v>
      </c>
      <c r="C693" t="s">
        <v>1069</v>
      </c>
      <c r="D693" t="s">
        <v>1166</v>
      </c>
      <c r="E693" t="s">
        <v>1069</v>
      </c>
      <c r="F693" t="s">
        <v>1235</v>
      </c>
      <c r="G693" t="s">
        <v>1069</v>
      </c>
      <c r="H693" t="s">
        <v>2667</v>
      </c>
      <c r="I693" t="s">
        <v>1069</v>
      </c>
    </row>
    <row r="694" spans="1:9">
      <c r="A694" t="s">
        <v>2668</v>
      </c>
      <c r="B694" t="s">
        <v>1068</v>
      </c>
      <c r="C694" t="s">
        <v>1069</v>
      </c>
      <c r="D694" t="s">
        <v>1095</v>
      </c>
      <c r="E694" t="s">
        <v>1069</v>
      </c>
      <c r="F694" t="s">
        <v>1573</v>
      </c>
      <c r="G694" t="s">
        <v>1069</v>
      </c>
      <c r="H694" t="s">
        <v>2669</v>
      </c>
      <c r="I694" t="s">
        <v>1069</v>
      </c>
    </row>
    <row r="695" spans="1:9">
      <c r="A695" t="s">
        <v>2670</v>
      </c>
      <c r="B695" t="s">
        <v>1113</v>
      </c>
      <c r="C695" t="s">
        <v>1069</v>
      </c>
      <c r="D695" t="s">
        <v>1104</v>
      </c>
      <c r="E695" t="s">
        <v>1069</v>
      </c>
      <c r="F695" t="s">
        <v>1212</v>
      </c>
      <c r="G695" t="s">
        <v>1069</v>
      </c>
      <c r="H695" t="s">
        <v>2671</v>
      </c>
      <c r="I695" t="s">
        <v>1069</v>
      </c>
    </row>
    <row r="696" spans="1:9">
      <c r="A696" t="s">
        <v>2672</v>
      </c>
      <c r="B696" t="s">
        <v>1260</v>
      </c>
      <c r="C696" t="s">
        <v>1069</v>
      </c>
      <c r="D696" t="s">
        <v>1075</v>
      </c>
      <c r="E696" t="s">
        <v>1069</v>
      </c>
      <c r="F696" t="s">
        <v>1573</v>
      </c>
      <c r="G696" t="s">
        <v>1069</v>
      </c>
      <c r="H696" t="s">
        <v>1700</v>
      </c>
      <c r="I696" t="s">
        <v>1069</v>
      </c>
    </row>
    <row r="697" spans="1:9">
      <c r="A697" t="s">
        <v>2673</v>
      </c>
      <c r="B697" t="s">
        <v>1143</v>
      </c>
      <c r="C697" t="s">
        <v>1069</v>
      </c>
      <c r="D697" t="s">
        <v>1504</v>
      </c>
      <c r="E697" t="s">
        <v>1069</v>
      </c>
      <c r="F697" t="s">
        <v>1195</v>
      </c>
      <c r="G697" t="s">
        <v>1069</v>
      </c>
      <c r="H697" t="s">
        <v>2674</v>
      </c>
      <c r="I697" t="s">
        <v>1069</v>
      </c>
    </row>
    <row r="698" spans="1:9">
      <c r="A698" t="s">
        <v>2675</v>
      </c>
      <c r="B698" t="s">
        <v>1079</v>
      </c>
      <c r="C698" t="s">
        <v>1069</v>
      </c>
      <c r="D698" t="s">
        <v>1095</v>
      </c>
      <c r="E698" t="s">
        <v>1069</v>
      </c>
      <c r="F698" t="s">
        <v>1176</v>
      </c>
      <c r="G698" t="s">
        <v>1069</v>
      </c>
      <c r="H698" t="s">
        <v>2676</v>
      </c>
      <c r="I698" t="s">
        <v>1069</v>
      </c>
    </row>
    <row r="699" spans="1:9">
      <c r="A699" t="s">
        <v>2677</v>
      </c>
      <c r="B699" t="s">
        <v>1084</v>
      </c>
      <c r="C699" t="s">
        <v>1069</v>
      </c>
      <c r="D699" t="s">
        <v>1162</v>
      </c>
      <c r="E699" t="s">
        <v>1069</v>
      </c>
      <c r="F699" t="s">
        <v>1911</v>
      </c>
      <c r="G699" t="s">
        <v>1069</v>
      </c>
      <c r="H699" t="s">
        <v>2678</v>
      </c>
      <c r="I699" t="s">
        <v>1069</v>
      </c>
    </row>
    <row r="700" spans="1:9">
      <c r="A700" t="s">
        <v>2679</v>
      </c>
      <c r="B700" t="s">
        <v>1079</v>
      </c>
      <c r="C700" t="s">
        <v>1069</v>
      </c>
      <c r="D700" t="s">
        <v>1234</v>
      </c>
      <c r="E700" t="s">
        <v>1069</v>
      </c>
      <c r="F700" t="s">
        <v>1168</v>
      </c>
      <c r="G700" t="s">
        <v>1069</v>
      </c>
      <c r="H700" t="s">
        <v>2233</v>
      </c>
      <c r="I700" t="s">
        <v>1069</v>
      </c>
    </row>
    <row r="701" spans="1:9">
      <c r="A701" t="s">
        <v>2680</v>
      </c>
      <c r="B701" t="s">
        <v>1098</v>
      </c>
      <c r="C701" t="s">
        <v>1069</v>
      </c>
      <c r="D701" t="s">
        <v>1279</v>
      </c>
      <c r="E701" t="s">
        <v>1069</v>
      </c>
      <c r="F701" t="s">
        <v>1208</v>
      </c>
      <c r="G701" t="s">
        <v>1069</v>
      </c>
      <c r="H701" t="s">
        <v>2681</v>
      </c>
      <c r="I701" t="s">
        <v>1069</v>
      </c>
    </row>
    <row r="702" spans="1:9">
      <c r="A702" t="s">
        <v>2682</v>
      </c>
      <c r="B702" t="s">
        <v>1094</v>
      </c>
      <c r="C702" t="s">
        <v>1069</v>
      </c>
      <c r="D702" t="s">
        <v>1279</v>
      </c>
      <c r="E702" t="s">
        <v>1069</v>
      </c>
      <c r="F702" t="s">
        <v>1224</v>
      </c>
      <c r="G702" t="s">
        <v>1069</v>
      </c>
      <c r="H702" t="s">
        <v>2683</v>
      </c>
      <c r="I702" t="s">
        <v>1069</v>
      </c>
    </row>
    <row r="703" spans="1:9">
      <c r="A703" t="s">
        <v>2684</v>
      </c>
      <c r="B703" t="s">
        <v>1094</v>
      </c>
      <c r="C703" t="s">
        <v>1069</v>
      </c>
      <c r="D703" t="s">
        <v>1279</v>
      </c>
      <c r="E703" t="s">
        <v>1069</v>
      </c>
      <c r="F703" t="s">
        <v>1235</v>
      </c>
      <c r="G703" t="s">
        <v>1069</v>
      </c>
      <c r="H703" t="s">
        <v>2685</v>
      </c>
      <c r="I703" t="s">
        <v>1069</v>
      </c>
    </row>
    <row r="704" spans="1:9">
      <c r="A704" t="s">
        <v>2686</v>
      </c>
      <c r="B704" t="s">
        <v>1094</v>
      </c>
      <c r="C704" t="s">
        <v>1069</v>
      </c>
      <c r="D704" t="s">
        <v>1279</v>
      </c>
      <c r="E704" t="s">
        <v>1069</v>
      </c>
      <c r="F704" t="s">
        <v>1235</v>
      </c>
      <c r="G704" t="s">
        <v>1069</v>
      </c>
      <c r="H704" t="s">
        <v>2687</v>
      </c>
      <c r="I704" t="s">
        <v>1069</v>
      </c>
    </row>
    <row r="705" spans="1:9">
      <c r="A705" t="s">
        <v>2688</v>
      </c>
      <c r="B705" t="s">
        <v>1079</v>
      </c>
      <c r="C705" t="s">
        <v>1069</v>
      </c>
      <c r="D705" t="s">
        <v>1159</v>
      </c>
      <c r="E705" t="s">
        <v>1069</v>
      </c>
      <c r="F705" t="s">
        <v>1176</v>
      </c>
      <c r="G705" t="s">
        <v>1069</v>
      </c>
      <c r="H705" t="s">
        <v>2689</v>
      </c>
      <c r="I705" t="s">
        <v>1069</v>
      </c>
    </row>
    <row r="706" spans="1:9">
      <c r="A706" t="s">
        <v>2690</v>
      </c>
      <c r="B706" t="s">
        <v>1310</v>
      </c>
      <c r="C706" t="s">
        <v>1069</v>
      </c>
      <c r="D706" t="s">
        <v>1320</v>
      </c>
      <c r="E706" t="s">
        <v>1069</v>
      </c>
      <c r="F706" t="s">
        <v>1414</v>
      </c>
      <c r="G706" t="s">
        <v>1069</v>
      </c>
      <c r="H706" t="s">
        <v>2691</v>
      </c>
      <c r="I706" t="s">
        <v>1069</v>
      </c>
    </row>
    <row r="707" spans="1:9">
      <c r="A707" t="s">
        <v>2692</v>
      </c>
      <c r="B707" t="s">
        <v>1113</v>
      </c>
      <c r="C707" t="s">
        <v>1069</v>
      </c>
      <c r="D707" t="s">
        <v>1122</v>
      </c>
      <c r="E707" t="s">
        <v>1069</v>
      </c>
      <c r="F707" t="s">
        <v>1168</v>
      </c>
      <c r="G707" t="s">
        <v>1069</v>
      </c>
      <c r="H707" t="s">
        <v>2693</v>
      </c>
      <c r="I707" t="s">
        <v>1069</v>
      </c>
    </row>
    <row r="708" spans="1:9">
      <c r="A708" t="s">
        <v>2694</v>
      </c>
      <c r="B708" t="s">
        <v>1102</v>
      </c>
      <c r="C708" t="s">
        <v>1069</v>
      </c>
      <c r="D708" t="s">
        <v>1080</v>
      </c>
      <c r="E708" t="s">
        <v>1069</v>
      </c>
      <c r="F708" t="s">
        <v>1527</v>
      </c>
      <c r="G708" t="s">
        <v>1069</v>
      </c>
      <c r="H708" t="s">
        <v>2695</v>
      </c>
      <c r="I708" t="s">
        <v>1069</v>
      </c>
    </row>
    <row r="709" spans="1:9">
      <c r="A709" t="s">
        <v>2696</v>
      </c>
      <c r="B709" t="s">
        <v>1129</v>
      </c>
      <c r="C709" t="s">
        <v>1069</v>
      </c>
      <c r="D709" t="s">
        <v>1095</v>
      </c>
      <c r="E709" t="s">
        <v>1069</v>
      </c>
      <c r="F709" t="s">
        <v>1196</v>
      </c>
      <c r="G709" t="s">
        <v>1069</v>
      </c>
      <c r="H709" t="s">
        <v>2697</v>
      </c>
      <c r="I709" t="s">
        <v>1069</v>
      </c>
    </row>
    <row r="710" spans="1:9">
      <c r="A710" t="s">
        <v>2698</v>
      </c>
      <c r="B710" t="s">
        <v>1139</v>
      </c>
      <c r="C710" t="s">
        <v>1069</v>
      </c>
      <c r="D710" t="s">
        <v>1320</v>
      </c>
      <c r="E710" t="s">
        <v>1069</v>
      </c>
      <c r="F710" t="s">
        <v>1208</v>
      </c>
      <c r="G710" t="s">
        <v>1069</v>
      </c>
      <c r="H710" t="s">
        <v>2699</v>
      </c>
      <c r="I710" t="s">
        <v>1069</v>
      </c>
    </row>
    <row r="711" spans="1:9">
      <c r="A711" t="s">
        <v>2700</v>
      </c>
      <c r="B711" t="s">
        <v>1129</v>
      </c>
      <c r="C711" t="s">
        <v>1069</v>
      </c>
      <c r="D711" t="s">
        <v>1234</v>
      </c>
      <c r="E711" t="s">
        <v>1069</v>
      </c>
      <c r="F711" t="s">
        <v>1209</v>
      </c>
      <c r="G711" t="s">
        <v>1069</v>
      </c>
      <c r="H711" t="s">
        <v>2701</v>
      </c>
      <c r="I711" t="s">
        <v>1069</v>
      </c>
    </row>
    <row r="712" spans="1:9">
      <c r="A712" t="s">
        <v>2702</v>
      </c>
      <c r="B712" t="s">
        <v>1260</v>
      </c>
      <c r="C712" t="s">
        <v>1069</v>
      </c>
      <c r="D712" t="s">
        <v>1122</v>
      </c>
      <c r="E712" t="s">
        <v>1069</v>
      </c>
      <c r="F712" t="s">
        <v>2703</v>
      </c>
      <c r="G712" t="s">
        <v>1069</v>
      </c>
      <c r="H712" t="s">
        <v>2704</v>
      </c>
      <c r="I712" t="s">
        <v>1069</v>
      </c>
    </row>
    <row r="713" spans="1:9">
      <c r="A713" t="s">
        <v>2705</v>
      </c>
      <c r="B713" t="s">
        <v>1125</v>
      </c>
      <c r="C713" t="s">
        <v>1069</v>
      </c>
      <c r="D713" t="s">
        <v>1140</v>
      </c>
      <c r="E713" t="s">
        <v>1069</v>
      </c>
      <c r="F713" t="s">
        <v>1216</v>
      </c>
      <c r="G713" t="s">
        <v>1069</v>
      </c>
      <c r="H713" t="s">
        <v>2706</v>
      </c>
      <c r="I713" t="s">
        <v>1069</v>
      </c>
    </row>
    <row r="714" spans="1:9">
      <c r="A714" t="s">
        <v>2707</v>
      </c>
      <c r="B714" t="s">
        <v>1284</v>
      </c>
      <c r="C714" t="s">
        <v>1069</v>
      </c>
      <c r="D714" t="s">
        <v>1098</v>
      </c>
      <c r="E714" t="s">
        <v>1069</v>
      </c>
      <c r="F714" t="s">
        <v>1261</v>
      </c>
      <c r="G714" t="s">
        <v>1069</v>
      </c>
      <c r="H714" t="s">
        <v>2132</v>
      </c>
      <c r="I714" t="s">
        <v>1069</v>
      </c>
    </row>
    <row r="715" spans="1:9">
      <c r="A715" t="s">
        <v>2708</v>
      </c>
      <c r="B715" t="s">
        <v>1125</v>
      </c>
      <c r="C715" t="s">
        <v>1069</v>
      </c>
      <c r="D715" t="s">
        <v>1098</v>
      </c>
      <c r="E715" t="s">
        <v>1069</v>
      </c>
      <c r="F715" t="s">
        <v>1247</v>
      </c>
      <c r="G715" t="s">
        <v>1069</v>
      </c>
      <c r="H715" t="s">
        <v>2709</v>
      </c>
      <c r="I715" t="s">
        <v>1069</v>
      </c>
    </row>
    <row r="716" spans="1:9">
      <c r="A716" t="s">
        <v>2710</v>
      </c>
      <c r="B716" t="s">
        <v>1107</v>
      </c>
      <c r="C716" t="s">
        <v>1069</v>
      </c>
      <c r="D716" t="s">
        <v>1276</v>
      </c>
      <c r="E716" t="s">
        <v>1069</v>
      </c>
      <c r="F716" t="s">
        <v>1261</v>
      </c>
      <c r="G716" t="s">
        <v>1069</v>
      </c>
      <c r="H716" t="s">
        <v>1906</v>
      </c>
      <c r="I716" t="s">
        <v>1069</v>
      </c>
    </row>
    <row r="717" spans="1:9">
      <c r="A717" t="s">
        <v>2711</v>
      </c>
      <c r="B717" t="s">
        <v>1093</v>
      </c>
      <c r="C717" t="s">
        <v>1069</v>
      </c>
      <c r="D717" t="s">
        <v>1085</v>
      </c>
      <c r="E717" t="s">
        <v>1069</v>
      </c>
      <c r="F717" t="s">
        <v>1216</v>
      </c>
      <c r="G717" t="s">
        <v>1069</v>
      </c>
      <c r="H717" t="s">
        <v>1748</v>
      </c>
      <c r="I717" t="s">
        <v>1069</v>
      </c>
    </row>
    <row r="718" spans="1:9">
      <c r="A718" t="s">
        <v>2712</v>
      </c>
      <c r="B718" t="s">
        <v>1116</v>
      </c>
      <c r="C718" t="s">
        <v>1069</v>
      </c>
      <c r="D718" t="s">
        <v>1122</v>
      </c>
      <c r="E718" t="s">
        <v>1069</v>
      </c>
      <c r="F718" t="s">
        <v>1187</v>
      </c>
      <c r="G718" t="s">
        <v>1069</v>
      </c>
      <c r="H718" t="s">
        <v>2713</v>
      </c>
      <c r="I718" t="s">
        <v>1069</v>
      </c>
    </row>
    <row r="719" spans="1:9">
      <c r="A719" t="s">
        <v>2714</v>
      </c>
      <c r="B719" t="s">
        <v>1102</v>
      </c>
      <c r="C719" t="s">
        <v>1069</v>
      </c>
      <c r="D719" t="s">
        <v>1110</v>
      </c>
      <c r="E719" t="s">
        <v>1069</v>
      </c>
      <c r="F719" t="s">
        <v>1403</v>
      </c>
      <c r="G719" t="s">
        <v>1069</v>
      </c>
      <c r="H719" t="s">
        <v>2715</v>
      </c>
      <c r="I719" t="s">
        <v>1069</v>
      </c>
    </row>
    <row r="720" spans="1:9">
      <c r="A720" t="s">
        <v>2716</v>
      </c>
      <c r="B720" t="s">
        <v>1116</v>
      </c>
      <c r="C720" t="s">
        <v>1069</v>
      </c>
      <c r="D720" t="s">
        <v>1104</v>
      </c>
      <c r="E720" t="s">
        <v>1069</v>
      </c>
      <c r="F720" t="s">
        <v>2049</v>
      </c>
      <c r="G720" t="s">
        <v>1069</v>
      </c>
      <c r="H720" t="s">
        <v>2717</v>
      </c>
      <c r="I720" t="s">
        <v>1069</v>
      </c>
    </row>
    <row r="721" spans="1:9">
      <c r="A721" t="s">
        <v>2718</v>
      </c>
      <c r="B721" t="s">
        <v>1129</v>
      </c>
      <c r="C721" t="s">
        <v>1069</v>
      </c>
      <c r="D721" t="s">
        <v>1242</v>
      </c>
      <c r="E721" t="s">
        <v>1069</v>
      </c>
      <c r="F721" t="s">
        <v>1239</v>
      </c>
      <c r="G721" t="s">
        <v>1069</v>
      </c>
      <c r="H721" t="s">
        <v>2719</v>
      </c>
      <c r="I721" t="s">
        <v>1069</v>
      </c>
    </row>
    <row r="722" spans="1:9">
      <c r="A722" t="s">
        <v>2720</v>
      </c>
      <c r="B722" t="s">
        <v>1129</v>
      </c>
      <c r="C722" t="s">
        <v>1069</v>
      </c>
      <c r="D722" t="s">
        <v>1242</v>
      </c>
      <c r="E722" t="s">
        <v>1069</v>
      </c>
      <c r="F722" t="s">
        <v>2649</v>
      </c>
      <c r="G722" t="s">
        <v>1069</v>
      </c>
      <c r="H722" t="s">
        <v>2721</v>
      </c>
      <c r="I722" t="s">
        <v>1069</v>
      </c>
    </row>
    <row r="723" spans="1:9">
      <c r="A723" t="s">
        <v>2722</v>
      </c>
      <c r="B723" t="s">
        <v>1129</v>
      </c>
      <c r="C723" t="s">
        <v>1069</v>
      </c>
      <c r="D723" t="s">
        <v>1242</v>
      </c>
      <c r="E723" t="s">
        <v>1069</v>
      </c>
      <c r="F723" t="s">
        <v>1168</v>
      </c>
      <c r="G723" t="s">
        <v>1069</v>
      </c>
      <c r="H723" t="s">
        <v>2723</v>
      </c>
      <c r="I723" t="s">
        <v>1069</v>
      </c>
    </row>
    <row r="724" spans="1:9">
      <c r="A724" t="s">
        <v>2724</v>
      </c>
      <c r="B724" t="s">
        <v>1139</v>
      </c>
      <c r="C724" t="s">
        <v>1069</v>
      </c>
      <c r="D724" t="s">
        <v>1320</v>
      </c>
      <c r="E724" t="s">
        <v>1069</v>
      </c>
      <c r="F724" t="s">
        <v>1212</v>
      </c>
      <c r="G724" t="s">
        <v>1069</v>
      </c>
      <c r="H724" t="s">
        <v>2725</v>
      </c>
      <c r="I724" t="s">
        <v>1069</v>
      </c>
    </row>
    <row r="725" spans="1:9">
      <c r="A725" t="s">
        <v>2726</v>
      </c>
      <c r="B725" t="s">
        <v>1129</v>
      </c>
      <c r="C725" t="s">
        <v>1069</v>
      </c>
      <c r="D725" t="s">
        <v>1095</v>
      </c>
      <c r="E725" t="s">
        <v>1069</v>
      </c>
      <c r="F725" t="s">
        <v>1527</v>
      </c>
      <c r="G725" t="s">
        <v>1069</v>
      </c>
      <c r="H725" t="s">
        <v>2727</v>
      </c>
      <c r="I725" t="s">
        <v>1069</v>
      </c>
    </row>
    <row r="726" spans="1:9">
      <c r="A726" t="s">
        <v>2728</v>
      </c>
      <c r="B726" t="s">
        <v>1129</v>
      </c>
      <c r="C726" t="s">
        <v>1069</v>
      </c>
      <c r="D726" t="s">
        <v>1159</v>
      </c>
      <c r="E726" t="s">
        <v>1069</v>
      </c>
      <c r="F726" t="s">
        <v>1199</v>
      </c>
      <c r="G726" t="s">
        <v>1069</v>
      </c>
      <c r="H726" t="s">
        <v>2729</v>
      </c>
      <c r="I726" t="s">
        <v>1069</v>
      </c>
    </row>
    <row r="727" spans="1:9">
      <c r="A727" t="s">
        <v>2730</v>
      </c>
      <c r="B727" t="s">
        <v>1093</v>
      </c>
      <c r="C727" t="s">
        <v>1069</v>
      </c>
      <c r="D727" t="s">
        <v>1266</v>
      </c>
      <c r="E727" t="s">
        <v>1069</v>
      </c>
      <c r="F727" t="s">
        <v>1181</v>
      </c>
      <c r="G727" t="s">
        <v>1069</v>
      </c>
      <c r="H727" t="s">
        <v>1726</v>
      </c>
      <c r="I727" t="s">
        <v>1069</v>
      </c>
    </row>
    <row r="728" spans="1:9">
      <c r="A728" t="s">
        <v>2731</v>
      </c>
      <c r="B728" t="s">
        <v>1093</v>
      </c>
      <c r="C728" t="s">
        <v>1069</v>
      </c>
      <c r="D728" t="s">
        <v>1242</v>
      </c>
      <c r="E728" t="s">
        <v>1069</v>
      </c>
      <c r="F728" t="s">
        <v>1199</v>
      </c>
      <c r="G728" t="s">
        <v>1069</v>
      </c>
      <c r="H728" t="s">
        <v>2732</v>
      </c>
      <c r="I728" t="s">
        <v>1069</v>
      </c>
    </row>
    <row r="729" spans="1:9">
      <c r="A729" t="s">
        <v>2733</v>
      </c>
      <c r="B729" t="s">
        <v>1139</v>
      </c>
      <c r="C729" t="s">
        <v>1069</v>
      </c>
      <c r="D729" t="s">
        <v>1159</v>
      </c>
      <c r="E729" t="s">
        <v>1069</v>
      </c>
      <c r="F729" t="s">
        <v>1212</v>
      </c>
      <c r="G729" t="s">
        <v>1069</v>
      </c>
      <c r="H729" t="s">
        <v>1277</v>
      </c>
      <c r="I729" t="s">
        <v>1069</v>
      </c>
    </row>
    <row r="730" spans="1:9">
      <c r="A730" t="s">
        <v>2734</v>
      </c>
      <c r="B730" t="s">
        <v>1139</v>
      </c>
      <c r="C730" t="s">
        <v>1069</v>
      </c>
      <c r="D730" t="s">
        <v>1162</v>
      </c>
      <c r="E730" t="s">
        <v>1069</v>
      </c>
      <c r="F730" t="s">
        <v>1551</v>
      </c>
      <c r="G730" t="s">
        <v>1069</v>
      </c>
      <c r="H730" t="s">
        <v>2735</v>
      </c>
      <c r="I730" t="s">
        <v>1069</v>
      </c>
    </row>
    <row r="731" spans="1:9">
      <c r="A731" t="s">
        <v>2736</v>
      </c>
      <c r="B731" t="s">
        <v>1139</v>
      </c>
      <c r="C731" t="s">
        <v>1069</v>
      </c>
      <c r="D731" t="s">
        <v>1427</v>
      </c>
      <c r="E731" t="s">
        <v>1069</v>
      </c>
      <c r="F731" t="s">
        <v>1192</v>
      </c>
      <c r="G731" t="s">
        <v>1069</v>
      </c>
      <c r="H731" t="s">
        <v>2737</v>
      </c>
      <c r="I731" t="s">
        <v>1069</v>
      </c>
    </row>
    <row r="732" spans="1:9">
      <c r="A732" t="s">
        <v>2738</v>
      </c>
      <c r="B732" t="s">
        <v>1113</v>
      </c>
      <c r="C732" t="s">
        <v>1069</v>
      </c>
      <c r="D732" t="s">
        <v>1159</v>
      </c>
      <c r="E732" t="s">
        <v>1069</v>
      </c>
      <c r="F732" t="s">
        <v>2049</v>
      </c>
      <c r="G732" t="s">
        <v>1069</v>
      </c>
      <c r="H732" t="s">
        <v>2739</v>
      </c>
      <c r="I732" t="s">
        <v>1069</v>
      </c>
    </row>
    <row r="733" spans="1:9">
      <c r="A733" t="s">
        <v>2740</v>
      </c>
      <c r="B733" t="s">
        <v>1093</v>
      </c>
      <c r="C733" t="s">
        <v>1069</v>
      </c>
      <c r="D733" t="s">
        <v>1242</v>
      </c>
      <c r="E733" t="s">
        <v>1069</v>
      </c>
      <c r="F733" t="s">
        <v>1518</v>
      </c>
      <c r="G733" t="s">
        <v>1069</v>
      </c>
      <c r="H733" t="s">
        <v>2741</v>
      </c>
      <c r="I733" t="s">
        <v>1069</v>
      </c>
    </row>
    <row r="734" spans="1:9">
      <c r="A734" t="s">
        <v>2742</v>
      </c>
      <c r="B734" t="s">
        <v>1129</v>
      </c>
      <c r="C734" t="s">
        <v>1069</v>
      </c>
      <c r="D734" t="s">
        <v>1159</v>
      </c>
      <c r="E734" t="s">
        <v>1069</v>
      </c>
      <c r="F734" t="s">
        <v>1579</v>
      </c>
      <c r="G734" t="s">
        <v>1069</v>
      </c>
      <c r="H734" t="s">
        <v>2743</v>
      </c>
      <c r="I734" t="s">
        <v>1069</v>
      </c>
    </row>
    <row r="735" spans="1:9">
      <c r="A735" t="s">
        <v>2744</v>
      </c>
      <c r="B735" t="s">
        <v>1129</v>
      </c>
      <c r="C735" t="s">
        <v>1069</v>
      </c>
      <c r="D735" t="s">
        <v>1095</v>
      </c>
      <c r="E735" t="s">
        <v>1069</v>
      </c>
      <c r="F735" t="s">
        <v>1184</v>
      </c>
      <c r="G735" t="s">
        <v>1069</v>
      </c>
      <c r="H735" t="s">
        <v>1543</v>
      </c>
      <c r="I735" t="s">
        <v>1069</v>
      </c>
    </row>
    <row r="736" spans="1:9">
      <c r="A736" t="s">
        <v>2745</v>
      </c>
      <c r="B736" t="s">
        <v>1113</v>
      </c>
      <c r="C736" t="s">
        <v>1069</v>
      </c>
      <c r="D736" t="s">
        <v>1104</v>
      </c>
      <c r="E736" t="s">
        <v>1069</v>
      </c>
      <c r="F736" t="s">
        <v>1171</v>
      </c>
      <c r="G736" t="s">
        <v>1069</v>
      </c>
      <c r="H736" t="s">
        <v>2746</v>
      </c>
      <c r="I736" t="s">
        <v>1069</v>
      </c>
    </row>
    <row r="737" spans="1:9">
      <c r="A737" t="s">
        <v>2747</v>
      </c>
      <c r="B737" t="s">
        <v>1102</v>
      </c>
      <c r="C737" t="s">
        <v>1069</v>
      </c>
      <c r="D737" t="s">
        <v>1075</v>
      </c>
      <c r="E737" t="s">
        <v>1069</v>
      </c>
      <c r="F737" t="s">
        <v>1081</v>
      </c>
      <c r="G737" t="s">
        <v>1069</v>
      </c>
      <c r="H737" t="s">
        <v>1525</v>
      </c>
      <c r="I737" t="s">
        <v>1069</v>
      </c>
    </row>
    <row r="738" spans="1:9">
      <c r="A738" t="s">
        <v>2748</v>
      </c>
      <c r="B738" t="s">
        <v>1107</v>
      </c>
      <c r="C738" t="s">
        <v>1069</v>
      </c>
      <c r="D738" t="s">
        <v>1144</v>
      </c>
      <c r="E738" t="s">
        <v>1069</v>
      </c>
      <c r="F738" t="s">
        <v>1099</v>
      </c>
      <c r="G738" t="s">
        <v>1069</v>
      </c>
      <c r="H738" t="s">
        <v>1914</v>
      </c>
      <c r="I738" t="s">
        <v>1502</v>
      </c>
    </row>
    <row r="739" spans="1:9">
      <c r="A739" t="s">
        <v>2749</v>
      </c>
      <c r="B739" t="s">
        <v>1107</v>
      </c>
      <c r="C739" t="s">
        <v>1069</v>
      </c>
      <c r="D739" t="s">
        <v>1144</v>
      </c>
      <c r="E739" t="s">
        <v>1069</v>
      </c>
      <c r="F739" t="s">
        <v>1534</v>
      </c>
      <c r="G739" t="s">
        <v>1069</v>
      </c>
      <c r="H739" t="s">
        <v>2750</v>
      </c>
      <c r="I739" t="s">
        <v>1069</v>
      </c>
    </row>
    <row r="740" spans="1:9">
      <c r="A740" t="s">
        <v>2751</v>
      </c>
      <c r="B740" t="s">
        <v>1260</v>
      </c>
      <c r="C740" t="s">
        <v>1069</v>
      </c>
      <c r="D740" t="s">
        <v>1084</v>
      </c>
      <c r="E740" t="s">
        <v>1069</v>
      </c>
      <c r="F740" t="s">
        <v>1085</v>
      </c>
      <c r="G740" t="s">
        <v>1069</v>
      </c>
      <c r="H740" t="s">
        <v>1734</v>
      </c>
      <c r="I740" t="s">
        <v>1069</v>
      </c>
    </row>
    <row r="741" spans="1:9">
      <c r="A741" t="s">
        <v>2752</v>
      </c>
      <c r="B741" t="s">
        <v>1265</v>
      </c>
      <c r="C741" t="s">
        <v>1069</v>
      </c>
      <c r="D741" t="s">
        <v>1113</v>
      </c>
      <c r="E741" t="s">
        <v>1069</v>
      </c>
      <c r="F741" t="s">
        <v>1079</v>
      </c>
      <c r="G741" t="s">
        <v>1069</v>
      </c>
      <c r="H741" t="s">
        <v>2753</v>
      </c>
      <c r="I741" t="s">
        <v>1069</v>
      </c>
    </row>
    <row r="742" spans="1:9">
      <c r="A742" t="s">
        <v>2754</v>
      </c>
      <c r="B742" t="s">
        <v>1293</v>
      </c>
      <c r="C742" t="s">
        <v>1069</v>
      </c>
      <c r="D742" t="s">
        <v>1121</v>
      </c>
      <c r="E742" t="s">
        <v>1069</v>
      </c>
      <c r="F742" t="s">
        <v>1129</v>
      </c>
      <c r="G742" t="s">
        <v>1069</v>
      </c>
      <c r="H742" t="s">
        <v>1925</v>
      </c>
      <c r="I742" t="s">
        <v>1069</v>
      </c>
    </row>
    <row r="743" spans="1:9">
      <c r="A743" t="s">
        <v>2755</v>
      </c>
      <c r="B743" t="s">
        <v>1152</v>
      </c>
      <c r="C743" t="s">
        <v>1069</v>
      </c>
      <c r="D743" t="s">
        <v>1260</v>
      </c>
      <c r="E743" t="s">
        <v>1069</v>
      </c>
      <c r="F743" t="s">
        <v>1089</v>
      </c>
      <c r="G743" t="s">
        <v>1069</v>
      </c>
      <c r="H743" t="s">
        <v>2756</v>
      </c>
      <c r="I743" t="s">
        <v>1069</v>
      </c>
    </row>
    <row r="744" spans="1:9">
      <c r="A744" t="s">
        <v>2757</v>
      </c>
      <c r="B744" t="s">
        <v>1143</v>
      </c>
      <c r="C744" t="s">
        <v>1069</v>
      </c>
      <c r="D744" t="s">
        <v>1310</v>
      </c>
      <c r="E744" t="s">
        <v>1069</v>
      </c>
      <c r="F744" t="s">
        <v>1080</v>
      </c>
      <c r="G744" t="s">
        <v>1069</v>
      </c>
      <c r="H744" t="s">
        <v>2758</v>
      </c>
      <c r="I744" t="s">
        <v>1069</v>
      </c>
    </row>
    <row r="745" spans="1:9">
      <c r="A745" t="s">
        <v>2759</v>
      </c>
      <c r="B745" t="s">
        <v>1125</v>
      </c>
      <c r="C745" t="s">
        <v>1069</v>
      </c>
      <c r="D745" t="s">
        <v>1139</v>
      </c>
      <c r="E745" t="s">
        <v>1069</v>
      </c>
      <c r="F745" t="s">
        <v>1085</v>
      </c>
      <c r="G745" t="s">
        <v>1069</v>
      </c>
      <c r="H745" t="s">
        <v>2760</v>
      </c>
      <c r="I745" t="s">
        <v>1069</v>
      </c>
    </row>
    <row r="746" spans="1:9">
      <c r="A746" t="s">
        <v>2761</v>
      </c>
      <c r="B746" t="s">
        <v>1152</v>
      </c>
      <c r="C746" t="s">
        <v>1069</v>
      </c>
      <c r="D746" t="s">
        <v>1116</v>
      </c>
      <c r="E746" t="s">
        <v>1069</v>
      </c>
      <c r="F746" t="s">
        <v>1090</v>
      </c>
      <c r="G746" t="s">
        <v>1069</v>
      </c>
      <c r="H746" t="s">
        <v>1903</v>
      </c>
      <c r="I746" t="s">
        <v>1069</v>
      </c>
    </row>
    <row r="747" spans="1:9">
      <c r="A747" t="s">
        <v>2762</v>
      </c>
      <c r="B747" t="s">
        <v>1152</v>
      </c>
      <c r="C747" t="s">
        <v>1069</v>
      </c>
      <c r="D747" t="s">
        <v>1116</v>
      </c>
      <c r="E747" t="s">
        <v>1069</v>
      </c>
      <c r="F747" t="s">
        <v>1436</v>
      </c>
      <c r="G747" t="s">
        <v>1069</v>
      </c>
      <c r="H747" t="s">
        <v>2763</v>
      </c>
      <c r="I747" t="s">
        <v>1069</v>
      </c>
    </row>
    <row r="748" spans="1:9">
      <c r="A748" t="s">
        <v>2764</v>
      </c>
      <c r="B748" t="s">
        <v>1149</v>
      </c>
      <c r="C748" t="s">
        <v>1069</v>
      </c>
      <c r="D748" t="s">
        <v>1260</v>
      </c>
      <c r="E748" t="s">
        <v>1069</v>
      </c>
      <c r="F748" t="s">
        <v>1074</v>
      </c>
      <c r="G748" t="s">
        <v>1069</v>
      </c>
      <c r="H748" t="s">
        <v>2520</v>
      </c>
      <c r="I748" t="s">
        <v>1069</v>
      </c>
    </row>
    <row r="749" spans="1:9">
      <c r="A749" t="s">
        <v>2765</v>
      </c>
      <c r="B749" t="s">
        <v>1293</v>
      </c>
      <c r="C749" t="s">
        <v>1069</v>
      </c>
      <c r="D749" t="s">
        <v>1121</v>
      </c>
      <c r="E749" t="s">
        <v>1069</v>
      </c>
      <c r="F749" t="s">
        <v>1113</v>
      </c>
      <c r="G749" t="s">
        <v>1069</v>
      </c>
      <c r="H749" t="s">
        <v>2766</v>
      </c>
      <c r="I749" t="s">
        <v>1069</v>
      </c>
    </row>
    <row r="750" spans="1:9">
      <c r="A750" t="s">
        <v>2767</v>
      </c>
      <c r="B750" t="s">
        <v>1488</v>
      </c>
      <c r="C750" t="s">
        <v>1069</v>
      </c>
      <c r="D750" t="s">
        <v>1152</v>
      </c>
      <c r="E750" t="s">
        <v>1069</v>
      </c>
      <c r="F750" t="s">
        <v>1121</v>
      </c>
      <c r="G750" t="s">
        <v>1069</v>
      </c>
      <c r="H750" t="s">
        <v>1499</v>
      </c>
      <c r="I750" t="s">
        <v>1069</v>
      </c>
    </row>
    <row r="751" spans="1:9">
      <c r="A751" t="s">
        <v>2768</v>
      </c>
      <c r="B751" t="s">
        <v>1488</v>
      </c>
      <c r="C751" t="s">
        <v>1069</v>
      </c>
      <c r="D751" t="s">
        <v>1265</v>
      </c>
      <c r="E751" t="s">
        <v>1069</v>
      </c>
      <c r="F751" t="s">
        <v>1143</v>
      </c>
      <c r="G751" t="s">
        <v>1069</v>
      </c>
      <c r="H751" t="s">
        <v>2769</v>
      </c>
      <c r="I751" t="s">
        <v>1069</v>
      </c>
    </row>
    <row r="752" spans="1:9">
      <c r="A752" t="s">
        <v>2770</v>
      </c>
      <c r="B752" t="s">
        <v>1293</v>
      </c>
      <c r="C752" t="s">
        <v>1069</v>
      </c>
      <c r="D752" t="s">
        <v>1260</v>
      </c>
      <c r="E752" t="s">
        <v>1069</v>
      </c>
      <c r="F752" t="s">
        <v>1068</v>
      </c>
      <c r="G752" t="s">
        <v>1069</v>
      </c>
      <c r="H752" t="s">
        <v>2771</v>
      </c>
      <c r="I752" t="s">
        <v>1069</v>
      </c>
    </row>
    <row r="753" spans="1:9">
      <c r="A753" t="s">
        <v>2772</v>
      </c>
      <c r="B753" t="s">
        <v>1136</v>
      </c>
      <c r="C753" t="s">
        <v>1069</v>
      </c>
      <c r="D753" t="s">
        <v>1144</v>
      </c>
      <c r="E753" t="s">
        <v>1069</v>
      </c>
      <c r="F753" t="s">
        <v>1159</v>
      </c>
      <c r="G753" t="s">
        <v>1069</v>
      </c>
      <c r="H753" t="s">
        <v>2773</v>
      </c>
      <c r="I753" t="s">
        <v>1069</v>
      </c>
    </row>
    <row r="754" spans="1:9">
      <c r="A754" t="s">
        <v>2774</v>
      </c>
      <c r="B754" t="s">
        <v>1107</v>
      </c>
      <c r="C754" t="s">
        <v>1069</v>
      </c>
      <c r="D754" t="s">
        <v>1085</v>
      </c>
      <c r="E754" t="s">
        <v>1069</v>
      </c>
      <c r="F754" t="s">
        <v>1076</v>
      </c>
      <c r="G754" t="s">
        <v>1069</v>
      </c>
      <c r="H754" t="s">
        <v>2775</v>
      </c>
      <c r="I754" t="s">
        <v>1069</v>
      </c>
    </row>
    <row r="755" spans="1:9">
      <c r="A755" t="s">
        <v>2776</v>
      </c>
      <c r="B755" t="s">
        <v>1079</v>
      </c>
      <c r="C755" t="s">
        <v>1069</v>
      </c>
      <c r="D755" t="s">
        <v>1171</v>
      </c>
      <c r="E755" t="s">
        <v>1069</v>
      </c>
      <c r="F755" t="s">
        <v>1192</v>
      </c>
      <c r="G755" t="s">
        <v>1069</v>
      </c>
      <c r="H755" t="s">
        <v>2777</v>
      </c>
      <c r="I755" t="s">
        <v>1069</v>
      </c>
    </row>
    <row r="756" spans="1:9">
      <c r="A756" t="s">
        <v>2778</v>
      </c>
      <c r="B756" t="s">
        <v>1436</v>
      </c>
      <c r="C756" t="s">
        <v>1069</v>
      </c>
      <c r="D756" t="s">
        <v>1261</v>
      </c>
      <c r="E756" t="s">
        <v>1069</v>
      </c>
      <c r="F756" t="s">
        <v>1888</v>
      </c>
      <c r="G756" t="s">
        <v>1069</v>
      </c>
      <c r="H756" t="s">
        <v>2779</v>
      </c>
      <c r="I756" t="s">
        <v>1069</v>
      </c>
    </row>
    <row r="757" spans="1:9">
      <c r="A757" t="s">
        <v>2780</v>
      </c>
      <c r="B757" t="s">
        <v>1079</v>
      </c>
      <c r="C757" t="s">
        <v>1069</v>
      </c>
      <c r="D757" t="s">
        <v>1086</v>
      </c>
      <c r="E757" t="s">
        <v>1069</v>
      </c>
      <c r="F757" t="s">
        <v>1235</v>
      </c>
      <c r="G757" t="s">
        <v>1069</v>
      </c>
      <c r="H757" t="s">
        <v>2781</v>
      </c>
      <c r="I757" t="s">
        <v>1069</v>
      </c>
    </row>
    <row r="758" spans="1:9">
      <c r="A758" t="s">
        <v>2782</v>
      </c>
      <c r="B758" t="s">
        <v>1079</v>
      </c>
      <c r="C758" t="s">
        <v>1069</v>
      </c>
      <c r="D758" t="s">
        <v>1086</v>
      </c>
      <c r="E758" t="s">
        <v>1069</v>
      </c>
      <c r="F758" t="s">
        <v>1403</v>
      </c>
      <c r="G758" t="s">
        <v>1069</v>
      </c>
      <c r="H758" t="s">
        <v>2783</v>
      </c>
      <c r="I758" t="s">
        <v>1069</v>
      </c>
    </row>
    <row r="759" spans="1:9">
      <c r="A759" t="s">
        <v>2784</v>
      </c>
      <c r="B759" t="s">
        <v>1084</v>
      </c>
      <c r="C759" t="s">
        <v>1069</v>
      </c>
      <c r="D759" t="s">
        <v>1179</v>
      </c>
      <c r="E759" t="s">
        <v>1069</v>
      </c>
      <c r="F759" t="s">
        <v>1888</v>
      </c>
      <c r="G759" t="s">
        <v>1069</v>
      </c>
      <c r="H759" t="s">
        <v>2785</v>
      </c>
      <c r="I759" t="s">
        <v>1069</v>
      </c>
    </row>
    <row r="760" spans="1:9">
      <c r="A760" t="s">
        <v>2786</v>
      </c>
      <c r="B760" t="s">
        <v>1098</v>
      </c>
      <c r="C760" t="s">
        <v>1069</v>
      </c>
      <c r="D760" t="s">
        <v>1261</v>
      </c>
      <c r="E760" t="s">
        <v>1069</v>
      </c>
      <c r="F760" t="s">
        <v>1883</v>
      </c>
      <c r="G760" t="s">
        <v>1069</v>
      </c>
      <c r="H760" t="s">
        <v>2787</v>
      </c>
      <c r="I760" t="s">
        <v>1069</v>
      </c>
    </row>
    <row r="761" spans="1:9">
      <c r="A761" t="s">
        <v>2788</v>
      </c>
      <c r="B761" t="s">
        <v>1094</v>
      </c>
      <c r="C761" t="s">
        <v>1069</v>
      </c>
      <c r="D761" t="s">
        <v>1180</v>
      </c>
      <c r="E761" t="s">
        <v>1069</v>
      </c>
      <c r="F761" t="s">
        <v>1188</v>
      </c>
      <c r="G761" t="s">
        <v>1069</v>
      </c>
      <c r="H761" t="s">
        <v>2789</v>
      </c>
      <c r="I761" t="s">
        <v>1069</v>
      </c>
    </row>
    <row r="762" spans="1:9">
      <c r="A762" t="s">
        <v>2790</v>
      </c>
      <c r="B762" t="s">
        <v>1094</v>
      </c>
      <c r="C762" t="s">
        <v>1069</v>
      </c>
      <c r="D762" t="s">
        <v>1579</v>
      </c>
      <c r="E762" t="s">
        <v>1069</v>
      </c>
      <c r="F762" t="s">
        <v>1213</v>
      </c>
      <c r="G762" t="s">
        <v>1069</v>
      </c>
      <c r="H762" t="s">
        <v>2791</v>
      </c>
      <c r="I762" t="s">
        <v>1069</v>
      </c>
    </row>
    <row r="763" spans="1:9">
      <c r="A763" t="s">
        <v>2792</v>
      </c>
      <c r="B763" t="s">
        <v>1144</v>
      </c>
      <c r="C763" t="s">
        <v>1069</v>
      </c>
      <c r="D763" t="s">
        <v>1317</v>
      </c>
      <c r="E763" t="s">
        <v>1069</v>
      </c>
      <c r="F763" t="s">
        <v>1209</v>
      </c>
      <c r="G763" t="s">
        <v>1069</v>
      </c>
      <c r="H763" t="s">
        <v>2793</v>
      </c>
      <c r="I763" t="s">
        <v>1069</v>
      </c>
    </row>
    <row r="764" spans="1:9">
      <c r="A764" t="s">
        <v>2794</v>
      </c>
      <c r="B764" t="s">
        <v>1504</v>
      </c>
      <c r="C764" t="s">
        <v>1069</v>
      </c>
      <c r="D764" t="s">
        <v>1187</v>
      </c>
      <c r="E764" t="s">
        <v>1069</v>
      </c>
      <c r="F764" t="s">
        <v>1387</v>
      </c>
      <c r="G764" t="s">
        <v>1069</v>
      </c>
      <c r="H764" t="s">
        <v>2795</v>
      </c>
      <c r="I764" t="s">
        <v>1069</v>
      </c>
    </row>
    <row r="765" spans="1:9">
      <c r="A765" t="s">
        <v>2796</v>
      </c>
      <c r="B765" t="s">
        <v>1122</v>
      </c>
      <c r="C765" t="s">
        <v>1069</v>
      </c>
      <c r="D765" t="s">
        <v>1203</v>
      </c>
      <c r="E765" t="s">
        <v>1069</v>
      </c>
      <c r="F765" t="s">
        <v>1983</v>
      </c>
      <c r="G765" t="s">
        <v>1069</v>
      </c>
      <c r="H765" t="s">
        <v>2797</v>
      </c>
      <c r="I765" t="s">
        <v>1069</v>
      </c>
    </row>
    <row r="766" spans="1:9">
      <c r="A766" t="s">
        <v>2798</v>
      </c>
      <c r="B766" t="s">
        <v>1110</v>
      </c>
      <c r="C766" t="s">
        <v>1069</v>
      </c>
      <c r="D766" t="s">
        <v>1235</v>
      </c>
      <c r="E766" t="s">
        <v>1069</v>
      </c>
      <c r="F766" t="s">
        <v>1361</v>
      </c>
      <c r="G766" t="s">
        <v>1069</v>
      </c>
      <c r="H766" t="s">
        <v>2799</v>
      </c>
      <c r="I766" t="s">
        <v>1069</v>
      </c>
    </row>
    <row r="767" spans="1:9">
      <c r="A767" t="s">
        <v>2800</v>
      </c>
      <c r="B767" t="s">
        <v>1266</v>
      </c>
      <c r="C767" t="s">
        <v>1069</v>
      </c>
      <c r="D767" t="s">
        <v>1323</v>
      </c>
      <c r="E767" t="s">
        <v>1069</v>
      </c>
      <c r="F767" t="s">
        <v>1524</v>
      </c>
      <c r="G767" t="s">
        <v>1069</v>
      </c>
      <c r="H767" t="s">
        <v>2801</v>
      </c>
      <c r="I767" t="s">
        <v>1069</v>
      </c>
    </row>
    <row r="768" spans="1:9">
      <c r="A768" t="s">
        <v>2802</v>
      </c>
      <c r="B768" t="s">
        <v>1110</v>
      </c>
      <c r="C768" t="s">
        <v>1069</v>
      </c>
      <c r="D768" t="s">
        <v>1235</v>
      </c>
      <c r="E768" t="s">
        <v>1069</v>
      </c>
      <c r="F768" t="s">
        <v>1388</v>
      </c>
      <c r="G768" t="s">
        <v>1069</v>
      </c>
      <c r="H768" t="s">
        <v>2803</v>
      </c>
      <c r="I768" t="s">
        <v>1069</v>
      </c>
    </row>
    <row r="769" spans="1:9">
      <c r="A769" t="s">
        <v>2804</v>
      </c>
      <c r="B769" t="s">
        <v>1080</v>
      </c>
      <c r="C769" t="s">
        <v>1069</v>
      </c>
      <c r="D769" t="s">
        <v>1414</v>
      </c>
      <c r="E769" t="s">
        <v>1069</v>
      </c>
      <c r="F769" t="s">
        <v>1552</v>
      </c>
      <c r="G769" t="s">
        <v>1069</v>
      </c>
      <c r="H769" t="s">
        <v>2805</v>
      </c>
      <c r="I769" t="s">
        <v>1069</v>
      </c>
    </row>
    <row r="770" spans="1:9">
      <c r="A770" t="s">
        <v>2806</v>
      </c>
      <c r="B770" t="s">
        <v>1089</v>
      </c>
      <c r="C770" t="s">
        <v>1069</v>
      </c>
      <c r="D770" t="s">
        <v>1223</v>
      </c>
      <c r="E770" t="s">
        <v>1069</v>
      </c>
      <c r="F770" t="s">
        <v>2649</v>
      </c>
      <c r="G770" t="s">
        <v>1069</v>
      </c>
      <c r="H770" t="s">
        <v>2775</v>
      </c>
      <c r="I770" t="s">
        <v>1069</v>
      </c>
    </row>
    <row r="771" spans="1:9">
      <c r="A771" t="s">
        <v>2807</v>
      </c>
      <c r="B771" t="s">
        <v>1080</v>
      </c>
      <c r="C771" t="s">
        <v>1069</v>
      </c>
      <c r="D771" t="s">
        <v>1212</v>
      </c>
      <c r="E771" t="s">
        <v>1069</v>
      </c>
      <c r="F771" t="s">
        <v>1514</v>
      </c>
      <c r="G771" t="s">
        <v>1069</v>
      </c>
      <c r="H771" t="s">
        <v>2808</v>
      </c>
      <c r="I771" t="s">
        <v>1069</v>
      </c>
    </row>
    <row r="772" spans="1:9">
      <c r="A772" t="s">
        <v>2809</v>
      </c>
      <c r="B772" t="s">
        <v>1095</v>
      </c>
      <c r="C772" t="s">
        <v>1069</v>
      </c>
      <c r="D772" t="s">
        <v>1411</v>
      </c>
      <c r="E772" t="s">
        <v>1069</v>
      </c>
      <c r="F772" t="s">
        <v>1373</v>
      </c>
      <c r="G772" t="s">
        <v>1069</v>
      </c>
      <c r="H772" t="s">
        <v>2810</v>
      </c>
      <c r="I772" t="s">
        <v>1069</v>
      </c>
    </row>
    <row r="773" spans="1:9">
      <c r="A773" t="s">
        <v>2811</v>
      </c>
      <c r="B773" t="s">
        <v>1159</v>
      </c>
      <c r="C773" t="s">
        <v>1069</v>
      </c>
      <c r="D773" t="s">
        <v>1883</v>
      </c>
      <c r="E773" t="s">
        <v>1069</v>
      </c>
      <c r="F773" t="s">
        <v>1333</v>
      </c>
      <c r="G773" t="s">
        <v>1069</v>
      </c>
      <c r="H773" t="s">
        <v>2812</v>
      </c>
      <c r="I773" t="s">
        <v>1069</v>
      </c>
    </row>
    <row r="774" spans="1:9">
      <c r="A774" t="s">
        <v>2813</v>
      </c>
      <c r="B774" t="s">
        <v>1080</v>
      </c>
      <c r="C774" t="s">
        <v>1069</v>
      </c>
      <c r="D774" t="s">
        <v>1551</v>
      </c>
      <c r="E774" t="s">
        <v>1069</v>
      </c>
      <c r="F774" t="s">
        <v>1384</v>
      </c>
      <c r="G774" t="s">
        <v>1069</v>
      </c>
      <c r="H774" t="s">
        <v>2814</v>
      </c>
      <c r="I774" t="s">
        <v>1069</v>
      </c>
    </row>
    <row r="775" spans="1:9">
      <c r="A775" t="s">
        <v>2815</v>
      </c>
      <c r="B775" t="s">
        <v>1144</v>
      </c>
      <c r="C775" t="s">
        <v>1069</v>
      </c>
      <c r="D775" t="s">
        <v>1212</v>
      </c>
      <c r="E775" t="s">
        <v>1069</v>
      </c>
      <c r="F775" t="s">
        <v>1362</v>
      </c>
      <c r="G775" t="s">
        <v>1069</v>
      </c>
      <c r="H775" t="s">
        <v>2816</v>
      </c>
      <c r="I775" t="s">
        <v>1069</v>
      </c>
    </row>
    <row r="776" spans="1:9">
      <c r="A776" t="s">
        <v>2817</v>
      </c>
      <c r="B776" t="s">
        <v>1144</v>
      </c>
      <c r="C776" t="s">
        <v>1069</v>
      </c>
      <c r="D776" t="s">
        <v>1203</v>
      </c>
      <c r="E776" t="s">
        <v>1069</v>
      </c>
      <c r="F776" t="s">
        <v>1997</v>
      </c>
      <c r="G776" t="s">
        <v>1069</v>
      </c>
      <c r="H776" t="s">
        <v>2812</v>
      </c>
      <c r="I776" t="s">
        <v>1069</v>
      </c>
    </row>
    <row r="777" spans="1:9">
      <c r="A777" t="s">
        <v>2818</v>
      </c>
      <c r="B777" t="s">
        <v>1090</v>
      </c>
      <c r="C777" t="s">
        <v>1069</v>
      </c>
      <c r="D777" t="s">
        <v>1235</v>
      </c>
      <c r="E777" t="s">
        <v>1069</v>
      </c>
      <c r="F777" t="s">
        <v>2017</v>
      </c>
      <c r="G777" t="s">
        <v>1069</v>
      </c>
      <c r="H777" t="s">
        <v>2819</v>
      </c>
      <c r="I777" t="s">
        <v>1069</v>
      </c>
    </row>
    <row r="778" spans="1:9">
      <c r="A778" t="s">
        <v>2820</v>
      </c>
      <c r="B778" t="s">
        <v>1090</v>
      </c>
      <c r="C778" t="s">
        <v>1069</v>
      </c>
      <c r="D778" t="s">
        <v>1323</v>
      </c>
      <c r="E778" t="s">
        <v>1069</v>
      </c>
      <c r="F778" t="s">
        <v>1988</v>
      </c>
      <c r="G778" t="s">
        <v>1069</v>
      </c>
      <c r="H778" t="s">
        <v>2821</v>
      </c>
      <c r="I778" t="s">
        <v>1069</v>
      </c>
    </row>
    <row r="779" spans="1:9">
      <c r="A779" t="s">
        <v>2822</v>
      </c>
      <c r="B779" t="s">
        <v>1504</v>
      </c>
      <c r="C779" t="s">
        <v>1069</v>
      </c>
      <c r="D779" t="s">
        <v>1548</v>
      </c>
      <c r="E779" t="s">
        <v>1069</v>
      </c>
      <c r="F779" t="s">
        <v>2190</v>
      </c>
      <c r="G779" t="s">
        <v>1069</v>
      </c>
      <c r="H779" t="s">
        <v>2823</v>
      </c>
      <c r="I779" t="s">
        <v>1069</v>
      </c>
    </row>
    <row r="780" spans="1:9">
      <c r="A780" t="s">
        <v>2824</v>
      </c>
      <c r="B780" t="s">
        <v>1084</v>
      </c>
      <c r="C780" t="s">
        <v>1069</v>
      </c>
      <c r="D780" t="s">
        <v>1207</v>
      </c>
      <c r="E780" t="s">
        <v>1069</v>
      </c>
      <c r="F780" t="s">
        <v>2009</v>
      </c>
      <c r="G780" t="s">
        <v>1069</v>
      </c>
      <c r="H780" t="s">
        <v>1912</v>
      </c>
      <c r="I780" t="s">
        <v>1069</v>
      </c>
    </row>
    <row r="781" spans="1:9">
      <c r="A781" t="s">
        <v>2825</v>
      </c>
      <c r="B781" t="s">
        <v>1260</v>
      </c>
      <c r="C781" t="s">
        <v>1069</v>
      </c>
      <c r="D781" t="s">
        <v>1595</v>
      </c>
      <c r="E781" t="s">
        <v>1069</v>
      </c>
      <c r="F781" t="s">
        <v>1905</v>
      </c>
      <c r="G781" t="s">
        <v>1069</v>
      </c>
      <c r="H781" t="s">
        <v>2739</v>
      </c>
      <c r="I781" t="s">
        <v>1069</v>
      </c>
    </row>
    <row r="782" spans="1:9">
      <c r="A782" t="s">
        <v>2826</v>
      </c>
      <c r="B782" t="s">
        <v>1136</v>
      </c>
      <c r="C782" t="s">
        <v>1069</v>
      </c>
      <c r="D782" t="s">
        <v>1175</v>
      </c>
      <c r="E782" t="s">
        <v>1069</v>
      </c>
      <c r="F782" t="s">
        <v>1977</v>
      </c>
      <c r="G782" t="s">
        <v>1069</v>
      </c>
      <c r="H782" t="s">
        <v>1593</v>
      </c>
      <c r="I782" t="s">
        <v>1069</v>
      </c>
    </row>
    <row r="783" spans="1:9">
      <c r="A783" t="s">
        <v>2827</v>
      </c>
      <c r="B783" t="s">
        <v>1284</v>
      </c>
      <c r="C783" t="s">
        <v>1069</v>
      </c>
      <c r="D783" t="s">
        <v>1238</v>
      </c>
      <c r="E783" t="s">
        <v>1069</v>
      </c>
      <c r="F783" t="s">
        <v>2026</v>
      </c>
      <c r="G783" t="s">
        <v>1069</v>
      </c>
      <c r="H783" t="s">
        <v>2828</v>
      </c>
      <c r="I783" t="s">
        <v>1069</v>
      </c>
    </row>
    <row r="784" spans="1:9">
      <c r="A784" t="s">
        <v>2829</v>
      </c>
      <c r="B784" t="s">
        <v>1475</v>
      </c>
      <c r="C784" t="s">
        <v>1069</v>
      </c>
      <c r="D784" t="s">
        <v>1121</v>
      </c>
      <c r="E784" t="s">
        <v>1069</v>
      </c>
      <c r="F784" t="s">
        <v>1238</v>
      </c>
      <c r="G784" t="s">
        <v>1069</v>
      </c>
      <c r="H784" t="s">
        <v>1906</v>
      </c>
      <c r="I784" t="s">
        <v>1069</v>
      </c>
    </row>
    <row r="785" spans="1:9">
      <c r="A785" t="s">
        <v>2830</v>
      </c>
      <c r="B785" t="s">
        <v>1655</v>
      </c>
      <c r="C785" t="s">
        <v>1069</v>
      </c>
      <c r="D785" t="s">
        <v>1476</v>
      </c>
      <c r="E785" t="s">
        <v>1069</v>
      </c>
      <c r="F785" t="s">
        <v>1436</v>
      </c>
      <c r="G785" t="s">
        <v>1069</v>
      </c>
      <c r="H785" t="s">
        <v>2136</v>
      </c>
      <c r="I785" t="s">
        <v>1069</v>
      </c>
    </row>
    <row r="786" spans="1:9">
      <c r="A786" t="s">
        <v>2831</v>
      </c>
      <c r="B786" t="s">
        <v>1652</v>
      </c>
      <c r="C786" t="s">
        <v>1069</v>
      </c>
      <c r="D786" t="s">
        <v>1269</v>
      </c>
      <c r="E786" t="s">
        <v>1069</v>
      </c>
      <c r="F786" t="s">
        <v>1074</v>
      </c>
      <c r="G786" t="s">
        <v>1069</v>
      </c>
      <c r="H786" t="s">
        <v>1245</v>
      </c>
      <c r="I786" t="s">
        <v>1069</v>
      </c>
    </row>
    <row r="787" spans="1:9">
      <c r="A787" t="s">
        <v>2832</v>
      </c>
      <c r="B787" t="s">
        <v>1661</v>
      </c>
      <c r="C787" t="s">
        <v>1069</v>
      </c>
      <c r="D787" t="s">
        <v>1649</v>
      </c>
      <c r="E787" t="s">
        <v>1069</v>
      </c>
      <c r="F787" t="s">
        <v>1149</v>
      </c>
      <c r="G787" t="s">
        <v>1069</v>
      </c>
      <c r="H787" t="s">
        <v>1153</v>
      </c>
      <c r="I787" t="s">
        <v>1069</v>
      </c>
    </row>
    <row r="788" spans="1:9">
      <c r="A788" t="s">
        <v>2833</v>
      </c>
      <c r="B788" t="s">
        <v>1661</v>
      </c>
      <c r="C788" t="s">
        <v>1069</v>
      </c>
      <c r="D788" t="s">
        <v>1656</v>
      </c>
      <c r="E788" t="s">
        <v>1069</v>
      </c>
      <c r="F788" t="s">
        <v>1265</v>
      </c>
      <c r="G788" t="s">
        <v>1069</v>
      </c>
      <c r="H788" t="s">
        <v>2834</v>
      </c>
      <c r="I788" t="s">
        <v>1069</v>
      </c>
    </row>
    <row r="789" spans="1:9">
      <c r="A789" t="s">
        <v>2835</v>
      </c>
      <c r="B789" t="s">
        <v>1655</v>
      </c>
      <c r="C789" t="s">
        <v>1069</v>
      </c>
      <c r="D789" t="s">
        <v>1475</v>
      </c>
      <c r="E789" t="s">
        <v>1069</v>
      </c>
      <c r="F789" t="s">
        <v>1260</v>
      </c>
      <c r="G789" t="s">
        <v>1069</v>
      </c>
      <c r="H789" t="s">
        <v>2836</v>
      </c>
      <c r="I789" t="s">
        <v>1069</v>
      </c>
    </row>
    <row r="790" spans="1:9">
      <c r="A790" t="s">
        <v>2837</v>
      </c>
      <c r="B790" t="s">
        <v>1655</v>
      </c>
      <c r="C790" t="s">
        <v>1069</v>
      </c>
      <c r="D790" t="s">
        <v>1649</v>
      </c>
      <c r="E790" t="s">
        <v>1069</v>
      </c>
      <c r="F790" t="s">
        <v>1136</v>
      </c>
      <c r="G790" t="s">
        <v>1069</v>
      </c>
      <c r="H790" t="s">
        <v>2838</v>
      </c>
      <c r="I790" t="s">
        <v>1069</v>
      </c>
    </row>
    <row r="791" spans="1:9">
      <c r="A791" t="s">
        <v>2839</v>
      </c>
      <c r="B791" t="s">
        <v>1259</v>
      </c>
      <c r="C791" t="s">
        <v>1069</v>
      </c>
      <c r="D791" t="s">
        <v>1152</v>
      </c>
      <c r="E791" t="s">
        <v>1069</v>
      </c>
      <c r="F791" t="s">
        <v>1116</v>
      </c>
      <c r="G791" t="s">
        <v>1069</v>
      </c>
      <c r="H791" t="s">
        <v>2415</v>
      </c>
      <c r="I791" t="s">
        <v>1069</v>
      </c>
    </row>
    <row r="792" spans="1:9">
      <c r="A792" t="s">
        <v>2840</v>
      </c>
      <c r="B792" t="s">
        <v>1264</v>
      </c>
      <c r="C792" t="s">
        <v>1069</v>
      </c>
      <c r="D792" t="s">
        <v>1255</v>
      </c>
      <c r="E792" t="s">
        <v>1069</v>
      </c>
      <c r="F792" t="s">
        <v>1093</v>
      </c>
      <c r="G792" t="s">
        <v>1069</v>
      </c>
      <c r="H792" t="s">
        <v>2841</v>
      </c>
      <c r="I792" t="s">
        <v>1069</v>
      </c>
    </row>
    <row r="793" spans="1:9">
      <c r="A793" t="s">
        <v>2842</v>
      </c>
      <c r="B793" t="s">
        <v>1681</v>
      </c>
      <c r="C793" t="s">
        <v>1069</v>
      </c>
      <c r="D793" t="s">
        <v>1269</v>
      </c>
      <c r="E793" t="s">
        <v>1069</v>
      </c>
      <c r="F793" t="s">
        <v>1125</v>
      </c>
      <c r="G793" t="s">
        <v>1069</v>
      </c>
      <c r="H793" t="s">
        <v>2843</v>
      </c>
      <c r="I793" t="s">
        <v>1069</v>
      </c>
    </row>
    <row r="794" spans="1:9">
      <c r="A794" t="s">
        <v>2844</v>
      </c>
      <c r="B794" t="s">
        <v>1649</v>
      </c>
      <c r="C794" t="s">
        <v>1069</v>
      </c>
      <c r="D794" t="s">
        <v>1476</v>
      </c>
      <c r="E794" t="s">
        <v>1069</v>
      </c>
      <c r="F794" t="s">
        <v>1129</v>
      </c>
      <c r="G794" t="s">
        <v>1069</v>
      </c>
      <c r="H794" t="s">
        <v>2845</v>
      </c>
      <c r="I794" t="s">
        <v>1069</v>
      </c>
    </row>
    <row r="795" spans="1:9">
      <c r="A795" t="s">
        <v>2846</v>
      </c>
      <c r="B795" t="s">
        <v>1269</v>
      </c>
      <c r="C795" t="s">
        <v>1069</v>
      </c>
      <c r="D795" t="s">
        <v>1293</v>
      </c>
      <c r="E795" t="s">
        <v>1069</v>
      </c>
      <c r="F795" t="s">
        <v>1068</v>
      </c>
      <c r="G795" t="s">
        <v>1069</v>
      </c>
      <c r="H795" t="s">
        <v>2847</v>
      </c>
      <c r="I795" t="s">
        <v>1069</v>
      </c>
    </row>
    <row r="796" spans="1:9">
      <c r="A796" t="s">
        <v>2848</v>
      </c>
      <c r="B796" t="s">
        <v>1293</v>
      </c>
      <c r="C796" t="s">
        <v>1069</v>
      </c>
      <c r="D796" t="s">
        <v>1152</v>
      </c>
      <c r="E796" t="s">
        <v>1069</v>
      </c>
      <c r="F796" t="s">
        <v>1310</v>
      </c>
      <c r="G796" t="s">
        <v>1069</v>
      </c>
      <c r="H796" t="s">
        <v>2849</v>
      </c>
      <c r="I796" t="s">
        <v>1069</v>
      </c>
    </row>
    <row r="797" spans="1:9">
      <c r="A797" t="s">
        <v>2850</v>
      </c>
      <c r="B797" t="s">
        <v>1270</v>
      </c>
      <c r="C797" t="s">
        <v>1069</v>
      </c>
      <c r="D797" t="s">
        <v>1125</v>
      </c>
      <c r="E797" t="s">
        <v>1069</v>
      </c>
      <c r="F797" t="s">
        <v>1074</v>
      </c>
      <c r="G797" t="s">
        <v>1069</v>
      </c>
      <c r="H797" t="s">
        <v>2851</v>
      </c>
      <c r="I797" t="s">
        <v>1069</v>
      </c>
    </row>
    <row r="798" spans="1:9">
      <c r="A798" t="s">
        <v>2852</v>
      </c>
      <c r="B798" t="s">
        <v>1152</v>
      </c>
      <c r="C798" t="s">
        <v>1069</v>
      </c>
      <c r="D798" t="s">
        <v>1121</v>
      </c>
      <c r="E798" t="s">
        <v>1069</v>
      </c>
      <c r="F798" t="s">
        <v>1068</v>
      </c>
      <c r="G798" t="s">
        <v>1069</v>
      </c>
      <c r="H798" t="s">
        <v>2853</v>
      </c>
      <c r="I798" t="s">
        <v>1069</v>
      </c>
    </row>
    <row r="799" spans="1:9">
      <c r="A799" t="s">
        <v>2854</v>
      </c>
      <c r="B799" t="s">
        <v>1265</v>
      </c>
      <c r="C799" t="s">
        <v>1069</v>
      </c>
      <c r="D799" t="s">
        <v>1260</v>
      </c>
      <c r="E799" t="s">
        <v>1069</v>
      </c>
      <c r="F799" t="s">
        <v>1085</v>
      </c>
      <c r="G799" t="s">
        <v>1069</v>
      </c>
      <c r="H799" t="s">
        <v>2855</v>
      </c>
      <c r="I799" t="s">
        <v>1069</v>
      </c>
    </row>
    <row r="800" spans="1:9">
      <c r="A800" t="s">
        <v>2856</v>
      </c>
      <c r="B800" t="s">
        <v>1143</v>
      </c>
      <c r="C800" t="s">
        <v>1069</v>
      </c>
      <c r="D800" t="s">
        <v>1139</v>
      </c>
      <c r="E800" t="s">
        <v>1069</v>
      </c>
      <c r="F800" t="s">
        <v>1242</v>
      </c>
      <c r="G800" t="s">
        <v>1069</v>
      </c>
      <c r="H800" t="s">
        <v>2857</v>
      </c>
      <c r="I800" t="s">
        <v>1069</v>
      </c>
    </row>
    <row r="801" spans="1:9">
      <c r="A801" t="s">
        <v>2858</v>
      </c>
      <c r="B801" t="s">
        <v>1107</v>
      </c>
      <c r="C801" t="s">
        <v>1069</v>
      </c>
      <c r="D801" t="s">
        <v>1068</v>
      </c>
      <c r="E801" t="s">
        <v>1069</v>
      </c>
      <c r="F801" t="s">
        <v>1595</v>
      </c>
      <c r="G801" t="s">
        <v>1069</v>
      </c>
      <c r="H801" t="s">
        <v>2859</v>
      </c>
      <c r="I801" t="s">
        <v>1069</v>
      </c>
    </row>
    <row r="802" spans="1:9">
      <c r="A802" t="s">
        <v>2860</v>
      </c>
      <c r="B802" t="s">
        <v>1093</v>
      </c>
      <c r="C802" t="s">
        <v>1069</v>
      </c>
      <c r="D802" t="s">
        <v>1084</v>
      </c>
      <c r="E802" t="s">
        <v>1069</v>
      </c>
      <c r="F802" t="s">
        <v>1167</v>
      </c>
      <c r="G802" t="s">
        <v>1069</v>
      </c>
      <c r="H802" t="s">
        <v>2861</v>
      </c>
      <c r="I802" t="s">
        <v>1069</v>
      </c>
    </row>
    <row r="803" spans="1:9">
      <c r="A803" t="s">
        <v>2862</v>
      </c>
      <c r="B803" t="s">
        <v>1068</v>
      </c>
      <c r="C803" t="s">
        <v>1069</v>
      </c>
      <c r="D803" t="s">
        <v>1090</v>
      </c>
      <c r="E803" t="s">
        <v>1069</v>
      </c>
      <c r="F803" t="s">
        <v>1579</v>
      </c>
      <c r="G803" t="s">
        <v>1069</v>
      </c>
      <c r="H803" t="s">
        <v>2863</v>
      </c>
      <c r="I803" t="s">
        <v>1069</v>
      </c>
    </row>
    <row r="804" spans="1:9">
      <c r="A804" t="s">
        <v>2864</v>
      </c>
      <c r="B804" t="s">
        <v>1139</v>
      </c>
      <c r="C804" t="s">
        <v>1069</v>
      </c>
      <c r="D804" t="s">
        <v>1276</v>
      </c>
      <c r="E804" t="s">
        <v>1069</v>
      </c>
      <c r="F804" t="s">
        <v>1551</v>
      </c>
      <c r="G804" t="s">
        <v>1069</v>
      </c>
      <c r="H804" t="s">
        <v>2865</v>
      </c>
      <c r="I804" t="s">
        <v>1069</v>
      </c>
    </row>
    <row r="805" spans="1:9">
      <c r="A805" t="s">
        <v>2866</v>
      </c>
      <c r="B805" t="s">
        <v>1149</v>
      </c>
      <c r="C805" t="s">
        <v>1069</v>
      </c>
      <c r="D805" t="s">
        <v>1113</v>
      </c>
      <c r="E805" t="s">
        <v>1069</v>
      </c>
      <c r="F805" t="s">
        <v>1317</v>
      </c>
      <c r="G805" t="s">
        <v>1069</v>
      </c>
      <c r="H805" t="s">
        <v>2867</v>
      </c>
      <c r="I805" t="s">
        <v>1069</v>
      </c>
    </row>
    <row r="806" spans="1:9">
      <c r="A806" t="s">
        <v>2868</v>
      </c>
      <c r="B806" t="s">
        <v>1488</v>
      </c>
      <c r="C806" t="s">
        <v>1069</v>
      </c>
      <c r="D806" t="s">
        <v>1260</v>
      </c>
      <c r="E806" t="s">
        <v>1069</v>
      </c>
      <c r="F806" t="s">
        <v>1247</v>
      </c>
      <c r="G806" t="s">
        <v>1069</v>
      </c>
      <c r="H806" t="s">
        <v>2235</v>
      </c>
      <c r="I806" t="s">
        <v>1069</v>
      </c>
    </row>
    <row r="807" spans="1:9">
      <c r="A807" t="s">
        <v>2869</v>
      </c>
      <c r="B807" t="s">
        <v>1476</v>
      </c>
      <c r="C807" t="s">
        <v>1069</v>
      </c>
      <c r="D807" t="s">
        <v>1107</v>
      </c>
      <c r="E807" t="s">
        <v>1069</v>
      </c>
      <c r="F807" t="s">
        <v>1203</v>
      </c>
      <c r="G807" t="s">
        <v>1069</v>
      </c>
      <c r="H807" t="s">
        <v>2870</v>
      </c>
      <c r="I807" t="s">
        <v>1069</v>
      </c>
    </row>
    <row r="808" spans="1:9">
      <c r="A808" t="s">
        <v>2871</v>
      </c>
      <c r="B808" t="s">
        <v>1259</v>
      </c>
      <c r="C808" t="s">
        <v>1069</v>
      </c>
      <c r="D808" t="s">
        <v>1116</v>
      </c>
      <c r="E808" t="s">
        <v>1069</v>
      </c>
      <c r="F808" t="s">
        <v>1317</v>
      </c>
      <c r="G808" t="s">
        <v>1069</v>
      </c>
      <c r="H808" t="s">
        <v>2872</v>
      </c>
      <c r="I808" t="s">
        <v>1069</v>
      </c>
    </row>
    <row r="809" spans="1:9">
      <c r="A809" t="s">
        <v>2873</v>
      </c>
      <c r="B809" t="s">
        <v>1255</v>
      </c>
      <c r="C809" t="s">
        <v>1069</v>
      </c>
      <c r="D809" t="s">
        <v>1093</v>
      </c>
      <c r="E809" t="s">
        <v>1069</v>
      </c>
      <c r="F809" t="s">
        <v>1167</v>
      </c>
      <c r="G809" t="s">
        <v>1069</v>
      </c>
      <c r="H809" t="s">
        <v>2874</v>
      </c>
      <c r="I809" t="s">
        <v>1069</v>
      </c>
    </row>
    <row r="810" spans="1:9">
      <c r="A810" t="s">
        <v>2875</v>
      </c>
      <c r="B810" t="s">
        <v>1255</v>
      </c>
      <c r="C810" t="s">
        <v>1069</v>
      </c>
      <c r="D810" t="s">
        <v>1139</v>
      </c>
      <c r="E810" t="s">
        <v>1069</v>
      </c>
      <c r="F810" t="s">
        <v>1579</v>
      </c>
      <c r="G810" t="s">
        <v>1069</v>
      </c>
      <c r="H810" t="s">
        <v>2876</v>
      </c>
      <c r="I810" t="s">
        <v>1069</v>
      </c>
    </row>
    <row r="811" spans="1:9">
      <c r="A811" t="s">
        <v>2877</v>
      </c>
      <c r="B811" t="s">
        <v>1265</v>
      </c>
      <c r="C811" t="s">
        <v>1069</v>
      </c>
      <c r="D811" t="s">
        <v>1103</v>
      </c>
      <c r="E811" t="s">
        <v>1069</v>
      </c>
      <c r="F811" t="s">
        <v>1163</v>
      </c>
      <c r="G811" t="s">
        <v>1069</v>
      </c>
      <c r="H811" t="s">
        <v>2878</v>
      </c>
      <c r="I811" t="s">
        <v>1069</v>
      </c>
    </row>
    <row r="812" spans="1:9">
      <c r="A812" t="s">
        <v>2879</v>
      </c>
      <c r="B812" t="s">
        <v>1143</v>
      </c>
      <c r="C812" t="s">
        <v>1069</v>
      </c>
      <c r="D812" t="s">
        <v>1070</v>
      </c>
      <c r="E812" t="s">
        <v>1069</v>
      </c>
      <c r="F812" t="s">
        <v>1548</v>
      </c>
      <c r="G812" t="s">
        <v>1069</v>
      </c>
      <c r="H812" t="s">
        <v>2880</v>
      </c>
      <c r="I812" t="s">
        <v>1069</v>
      </c>
    </row>
    <row r="813" spans="1:9">
      <c r="A813" t="s">
        <v>2881</v>
      </c>
      <c r="B813" t="s">
        <v>1093</v>
      </c>
      <c r="C813" t="s">
        <v>1069</v>
      </c>
      <c r="D813" t="s">
        <v>1095</v>
      </c>
      <c r="E813" t="s">
        <v>1069</v>
      </c>
      <c r="F813" t="s">
        <v>1356</v>
      </c>
      <c r="G813" t="s">
        <v>1069</v>
      </c>
      <c r="H813" t="s">
        <v>2882</v>
      </c>
      <c r="I813" t="s">
        <v>1069</v>
      </c>
    </row>
    <row r="814" spans="1:9">
      <c r="A814" t="s">
        <v>2883</v>
      </c>
      <c r="B814" t="s">
        <v>1139</v>
      </c>
      <c r="C814" t="s">
        <v>1069</v>
      </c>
      <c r="D814" t="s">
        <v>1234</v>
      </c>
      <c r="E814" t="s">
        <v>1069</v>
      </c>
      <c r="F814" t="s">
        <v>1395</v>
      </c>
      <c r="G814" t="s">
        <v>1069</v>
      </c>
      <c r="H814" t="s">
        <v>2884</v>
      </c>
      <c r="I814" t="s">
        <v>1069</v>
      </c>
    </row>
    <row r="815" spans="1:9">
      <c r="A815" t="s">
        <v>2885</v>
      </c>
      <c r="B815" t="s">
        <v>1107</v>
      </c>
      <c r="C815" t="s">
        <v>1069</v>
      </c>
      <c r="D815" t="s">
        <v>1095</v>
      </c>
      <c r="E815" t="s">
        <v>1069</v>
      </c>
      <c r="F815" t="s">
        <v>1535</v>
      </c>
      <c r="G815" t="s">
        <v>1069</v>
      </c>
      <c r="H815" t="s">
        <v>2886</v>
      </c>
      <c r="I815" t="s">
        <v>1069</v>
      </c>
    </row>
    <row r="816" spans="1:9">
      <c r="A816" t="s">
        <v>2887</v>
      </c>
      <c r="B816" t="s">
        <v>1152</v>
      </c>
      <c r="C816" t="s">
        <v>1069</v>
      </c>
      <c r="D816" t="s">
        <v>1075</v>
      </c>
      <c r="E816" t="s">
        <v>1069</v>
      </c>
      <c r="F816" t="s">
        <v>1220</v>
      </c>
      <c r="G816" t="s">
        <v>1069</v>
      </c>
      <c r="H816" t="s">
        <v>2888</v>
      </c>
      <c r="I816" t="s">
        <v>1069</v>
      </c>
    </row>
    <row r="817" spans="1:9">
      <c r="A817" t="s">
        <v>2889</v>
      </c>
      <c r="B817" t="s">
        <v>1293</v>
      </c>
      <c r="C817" t="s">
        <v>1069</v>
      </c>
      <c r="D817" t="s">
        <v>1098</v>
      </c>
      <c r="E817" t="s">
        <v>1069</v>
      </c>
      <c r="F817" t="s">
        <v>1208</v>
      </c>
      <c r="G817" t="s">
        <v>1069</v>
      </c>
      <c r="H817" t="s">
        <v>2890</v>
      </c>
      <c r="I817" t="s">
        <v>1069</v>
      </c>
    </row>
    <row r="818" spans="1:9">
      <c r="A818" t="s">
        <v>2891</v>
      </c>
      <c r="B818" t="s">
        <v>1259</v>
      </c>
      <c r="C818" t="s">
        <v>1069</v>
      </c>
      <c r="D818" t="s">
        <v>1084</v>
      </c>
      <c r="E818" t="s">
        <v>1069</v>
      </c>
      <c r="F818" t="s">
        <v>1403</v>
      </c>
      <c r="G818" t="s">
        <v>1069</v>
      </c>
      <c r="H818" t="s">
        <v>2750</v>
      </c>
      <c r="I818" t="s">
        <v>1069</v>
      </c>
    </row>
    <row r="819" spans="1:9">
      <c r="A819" t="s">
        <v>2892</v>
      </c>
      <c r="B819" t="s">
        <v>1293</v>
      </c>
      <c r="C819" t="s">
        <v>1069</v>
      </c>
      <c r="D819" t="s">
        <v>1079</v>
      </c>
      <c r="E819" t="s">
        <v>1069</v>
      </c>
      <c r="F819" t="s">
        <v>1527</v>
      </c>
      <c r="G819" t="s">
        <v>1069</v>
      </c>
      <c r="H819" t="s">
        <v>2893</v>
      </c>
      <c r="I819" t="s">
        <v>1069</v>
      </c>
    </row>
    <row r="820" spans="1:9">
      <c r="A820" t="s">
        <v>2894</v>
      </c>
      <c r="B820" t="s">
        <v>1255</v>
      </c>
      <c r="C820" t="s">
        <v>1069</v>
      </c>
      <c r="D820" t="s">
        <v>1084</v>
      </c>
      <c r="E820" t="s">
        <v>1069</v>
      </c>
      <c r="F820" t="s">
        <v>1196</v>
      </c>
      <c r="G820" t="s">
        <v>1069</v>
      </c>
      <c r="H820" t="s">
        <v>2895</v>
      </c>
      <c r="I820" t="s">
        <v>1069</v>
      </c>
    </row>
    <row r="821" spans="1:9">
      <c r="A821" t="s">
        <v>2896</v>
      </c>
      <c r="B821" t="s">
        <v>1259</v>
      </c>
      <c r="C821" t="s">
        <v>1069</v>
      </c>
      <c r="D821" t="s">
        <v>1074</v>
      </c>
      <c r="E821" t="s">
        <v>1069</v>
      </c>
      <c r="F821" t="s">
        <v>1911</v>
      </c>
      <c r="G821" t="s">
        <v>1069</v>
      </c>
      <c r="H821" t="s">
        <v>1737</v>
      </c>
      <c r="I821" t="s">
        <v>1069</v>
      </c>
    </row>
    <row r="822" spans="1:9">
      <c r="A822" t="s">
        <v>2897</v>
      </c>
      <c r="B822" t="s">
        <v>1488</v>
      </c>
      <c r="C822" t="s">
        <v>1069</v>
      </c>
      <c r="D822" t="s">
        <v>1074</v>
      </c>
      <c r="E822" t="s">
        <v>1069</v>
      </c>
      <c r="F822" t="s">
        <v>1199</v>
      </c>
      <c r="G822" t="s">
        <v>1069</v>
      </c>
      <c r="H822" t="s">
        <v>2898</v>
      </c>
      <c r="I822" t="s">
        <v>1069</v>
      </c>
    </row>
    <row r="823" spans="1:9">
      <c r="A823" t="s">
        <v>2899</v>
      </c>
      <c r="B823" t="s">
        <v>1288</v>
      </c>
      <c r="C823" t="s">
        <v>1069</v>
      </c>
      <c r="D823" t="s">
        <v>1079</v>
      </c>
      <c r="E823" t="s">
        <v>1069</v>
      </c>
      <c r="F823" t="s">
        <v>1403</v>
      </c>
      <c r="G823" t="s">
        <v>1069</v>
      </c>
      <c r="H823" t="s">
        <v>1262</v>
      </c>
      <c r="I823" t="s">
        <v>1069</v>
      </c>
    </row>
    <row r="824" spans="1:9">
      <c r="A824" t="s">
        <v>2900</v>
      </c>
      <c r="B824" t="s">
        <v>1259</v>
      </c>
      <c r="C824" t="s">
        <v>1069</v>
      </c>
      <c r="D824" t="s">
        <v>1084</v>
      </c>
      <c r="E824" t="s">
        <v>1069</v>
      </c>
      <c r="F824" t="s">
        <v>2049</v>
      </c>
      <c r="G824" t="s">
        <v>1069</v>
      </c>
      <c r="H824" t="s">
        <v>1584</v>
      </c>
      <c r="I824" t="s">
        <v>1069</v>
      </c>
    </row>
    <row r="825" spans="1:9">
      <c r="A825" t="s">
        <v>2901</v>
      </c>
      <c r="B825" t="s">
        <v>1288</v>
      </c>
      <c r="C825" t="s">
        <v>1069</v>
      </c>
      <c r="D825" t="s">
        <v>1074</v>
      </c>
      <c r="E825" t="s">
        <v>1069</v>
      </c>
      <c r="F825" t="s">
        <v>1207</v>
      </c>
      <c r="G825" t="s">
        <v>1069</v>
      </c>
      <c r="H825" t="s">
        <v>2735</v>
      </c>
      <c r="I825" t="s">
        <v>1069</v>
      </c>
    </row>
    <row r="826" spans="1:9">
      <c r="A826" t="s">
        <v>2902</v>
      </c>
      <c r="B826" t="s">
        <v>1476</v>
      </c>
      <c r="C826" t="s">
        <v>1069</v>
      </c>
      <c r="D826" t="s">
        <v>1310</v>
      </c>
      <c r="E826" t="s">
        <v>1069</v>
      </c>
      <c r="F826" t="s">
        <v>1256</v>
      </c>
      <c r="G826" t="s">
        <v>1069</v>
      </c>
      <c r="H826" t="s">
        <v>2903</v>
      </c>
      <c r="I826" t="s">
        <v>1069</v>
      </c>
    </row>
    <row r="827" spans="1:9">
      <c r="A827" t="s">
        <v>2904</v>
      </c>
      <c r="B827" t="s">
        <v>1476</v>
      </c>
      <c r="C827" t="s">
        <v>1069</v>
      </c>
      <c r="D827" t="s">
        <v>1129</v>
      </c>
      <c r="E827" t="s">
        <v>1069</v>
      </c>
      <c r="F827" t="s">
        <v>1579</v>
      </c>
      <c r="G827" t="s">
        <v>1069</v>
      </c>
      <c r="H827" t="s">
        <v>2905</v>
      </c>
      <c r="I827" t="s">
        <v>1069</v>
      </c>
    </row>
    <row r="828" spans="1:9">
      <c r="A828" t="s">
        <v>2906</v>
      </c>
      <c r="B828" t="s">
        <v>1264</v>
      </c>
      <c r="C828" t="s">
        <v>1069</v>
      </c>
      <c r="D828" t="s">
        <v>1139</v>
      </c>
      <c r="E828" t="s">
        <v>1069</v>
      </c>
      <c r="F828" t="s">
        <v>1184</v>
      </c>
      <c r="G828" t="s">
        <v>1069</v>
      </c>
      <c r="H828" t="s">
        <v>1556</v>
      </c>
      <c r="I828" t="s">
        <v>1069</v>
      </c>
    </row>
    <row r="829" spans="1:9">
      <c r="A829" t="s">
        <v>2907</v>
      </c>
      <c r="B829" t="s">
        <v>1476</v>
      </c>
      <c r="C829" t="s">
        <v>1069</v>
      </c>
      <c r="D829" t="s">
        <v>1139</v>
      </c>
      <c r="E829" t="s">
        <v>1069</v>
      </c>
      <c r="F829" t="s">
        <v>1180</v>
      </c>
      <c r="G829" t="s">
        <v>1069</v>
      </c>
      <c r="H829" t="s">
        <v>2908</v>
      </c>
      <c r="I829" t="s">
        <v>1069</v>
      </c>
    </row>
    <row r="830" spans="1:9">
      <c r="A830" t="s">
        <v>2909</v>
      </c>
      <c r="B830" t="s">
        <v>1476</v>
      </c>
      <c r="C830" t="s">
        <v>1069</v>
      </c>
      <c r="D830" t="s">
        <v>1310</v>
      </c>
      <c r="E830" t="s">
        <v>1069</v>
      </c>
      <c r="F830" t="s">
        <v>1579</v>
      </c>
      <c r="G830" t="s">
        <v>1069</v>
      </c>
      <c r="H830" t="s">
        <v>2910</v>
      </c>
      <c r="I830" t="s">
        <v>1069</v>
      </c>
    </row>
    <row r="831" spans="1:9">
      <c r="A831" t="s">
        <v>2911</v>
      </c>
      <c r="B831" t="s">
        <v>1293</v>
      </c>
      <c r="C831" t="s">
        <v>1069</v>
      </c>
      <c r="D831" t="s">
        <v>1276</v>
      </c>
      <c r="E831" t="s">
        <v>1069</v>
      </c>
      <c r="F831" t="s">
        <v>1204</v>
      </c>
      <c r="G831" t="s">
        <v>1069</v>
      </c>
      <c r="H831" t="s">
        <v>2912</v>
      </c>
      <c r="I831" t="s">
        <v>1069</v>
      </c>
    </row>
    <row r="832" spans="1:9">
      <c r="A832" t="s">
        <v>2913</v>
      </c>
      <c r="B832" t="s">
        <v>1265</v>
      </c>
      <c r="C832" t="s">
        <v>1069</v>
      </c>
      <c r="D832" t="s">
        <v>1266</v>
      </c>
      <c r="E832" t="s">
        <v>1069</v>
      </c>
      <c r="F832" t="s">
        <v>2138</v>
      </c>
      <c r="G832" t="s">
        <v>1069</v>
      </c>
      <c r="H832" t="s">
        <v>1748</v>
      </c>
      <c r="I832" t="s">
        <v>1069</v>
      </c>
    </row>
    <row r="833" spans="1:9">
      <c r="A833" t="s">
        <v>2914</v>
      </c>
      <c r="B833" t="s">
        <v>1136</v>
      </c>
      <c r="C833" t="s">
        <v>1069</v>
      </c>
      <c r="D833" t="s">
        <v>1099</v>
      </c>
      <c r="E833" t="s">
        <v>1069</v>
      </c>
      <c r="F833" t="s">
        <v>1204</v>
      </c>
      <c r="G833" t="s">
        <v>1069</v>
      </c>
      <c r="H833" t="s">
        <v>2915</v>
      </c>
      <c r="I833" t="s">
        <v>1069</v>
      </c>
    </row>
    <row r="834" spans="1:9">
      <c r="A834" t="s">
        <v>2916</v>
      </c>
      <c r="B834" t="s">
        <v>1143</v>
      </c>
      <c r="C834" t="s">
        <v>1069</v>
      </c>
      <c r="D834" t="s">
        <v>1534</v>
      </c>
      <c r="E834" t="s">
        <v>1069</v>
      </c>
      <c r="F834" t="s">
        <v>2040</v>
      </c>
      <c r="G834" t="s">
        <v>1069</v>
      </c>
      <c r="H834" t="s">
        <v>1744</v>
      </c>
      <c r="I834" t="s">
        <v>1069</v>
      </c>
    </row>
    <row r="835" spans="1:9">
      <c r="A835" t="s">
        <v>2917</v>
      </c>
      <c r="B835" t="s">
        <v>1128</v>
      </c>
      <c r="C835" t="s">
        <v>1069</v>
      </c>
      <c r="D835" t="s">
        <v>1279</v>
      </c>
      <c r="E835" t="s">
        <v>1069</v>
      </c>
      <c r="F835" t="s">
        <v>1329</v>
      </c>
      <c r="G835" t="s">
        <v>1069</v>
      </c>
      <c r="H835" t="s">
        <v>2918</v>
      </c>
      <c r="I835" t="s">
        <v>1069</v>
      </c>
    </row>
    <row r="836" spans="1:9">
      <c r="A836" t="s">
        <v>2919</v>
      </c>
      <c r="B836" t="s">
        <v>1128</v>
      </c>
      <c r="C836" t="s">
        <v>1069</v>
      </c>
      <c r="D836" t="s">
        <v>1099</v>
      </c>
      <c r="E836" t="s">
        <v>1069</v>
      </c>
      <c r="F836" t="s">
        <v>1963</v>
      </c>
      <c r="G836" t="s">
        <v>1069</v>
      </c>
      <c r="H836" t="s">
        <v>1549</v>
      </c>
      <c r="I836" t="s">
        <v>1069</v>
      </c>
    </row>
    <row r="837" spans="1:9">
      <c r="A837" t="s">
        <v>2920</v>
      </c>
      <c r="B837" t="s">
        <v>1128</v>
      </c>
      <c r="C837" t="s">
        <v>1069</v>
      </c>
      <c r="D837" t="s">
        <v>1234</v>
      </c>
      <c r="E837" t="s">
        <v>1069</v>
      </c>
      <c r="F837" t="s">
        <v>1411</v>
      </c>
      <c r="G837" t="s">
        <v>1069</v>
      </c>
      <c r="H837" t="s">
        <v>1676</v>
      </c>
      <c r="I837" t="s">
        <v>1069</v>
      </c>
    </row>
    <row r="838" spans="1:9">
      <c r="A838" t="s">
        <v>2921</v>
      </c>
      <c r="B838" t="s">
        <v>1143</v>
      </c>
      <c r="C838" t="s">
        <v>1069</v>
      </c>
      <c r="D838" t="s">
        <v>1427</v>
      </c>
      <c r="E838" t="s">
        <v>1069</v>
      </c>
      <c r="F838" t="s">
        <v>1188</v>
      </c>
      <c r="G838" t="s">
        <v>1069</v>
      </c>
      <c r="H838" t="s">
        <v>2922</v>
      </c>
      <c r="I838" t="s">
        <v>1069</v>
      </c>
    </row>
    <row r="839" spans="1:9">
      <c r="A839" t="s">
        <v>2923</v>
      </c>
      <c r="B839" t="s">
        <v>1128</v>
      </c>
      <c r="C839" t="s">
        <v>1069</v>
      </c>
      <c r="D839" t="s">
        <v>1099</v>
      </c>
      <c r="E839" t="s">
        <v>1069</v>
      </c>
      <c r="F839" t="s">
        <v>1220</v>
      </c>
      <c r="G839" t="s">
        <v>1069</v>
      </c>
      <c r="H839" t="s">
        <v>2924</v>
      </c>
      <c r="I839" t="s">
        <v>1069</v>
      </c>
    </row>
    <row r="840" spans="1:9">
      <c r="A840" t="s">
        <v>2925</v>
      </c>
      <c r="B840" t="s">
        <v>1128</v>
      </c>
      <c r="C840" t="s">
        <v>1069</v>
      </c>
      <c r="D840" t="s">
        <v>1234</v>
      </c>
      <c r="E840" t="s">
        <v>1069</v>
      </c>
      <c r="F840" t="s">
        <v>1220</v>
      </c>
      <c r="G840" t="s">
        <v>1069</v>
      </c>
      <c r="H840" t="s">
        <v>2926</v>
      </c>
      <c r="I840" t="s">
        <v>1069</v>
      </c>
    </row>
    <row r="841" spans="1:9">
      <c r="A841" t="s">
        <v>2927</v>
      </c>
      <c r="B841" t="s">
        <v>1260</v>
      </c>
      <c r="C841" t="s">
        <v>1069</v>
      </c>
      <c r="D841" t="s">
        <v>1279</v>
      </c>
      <c r="E841" t="s">
        <v>1069</v>
      </c>
      <c r="F841" t="s">
        <v>1603</v>
      </c>
      <c r="G841" t="s">
        <v>1069</v>
      </c>
      <c r="H841" t="s">
        <v>1712</v>
      </c>
      <c r="I841" t="s">
        <v>1069</v>
      </c>
    </row>
    <row r="842" spans="1:9">
      <c r="A842" t="s">
        <v>2928</v>
      </c>
      <c r="B842" t="s">
        <v>1093</v>
      </c>
      <c r="C842" t="s">
        <v>1069</v>
      </c>
      <c r="D842" t="s">
        <v>1166</v>
      </c>
      <c r="E842" t="s">
        <v>1069</v>
      </c>
      <c r="F842" t="s">
        <v>1983</v>
      </c>
      <c r="G842" t="s">
        <v>1069</v>
      </c>
      <c r="H842" t="s">
        <v>2145</v>
      </c>
      <c r="I842" t="s">
        <v>1069</v>
      </c>
    </row>
    <row r="843" spans="1:9">
      <c r="A843" t="s">
        <v>2929</v>
      </c>
      <c r="B843" t="s">
        <v>1102</v>
      </c>
      <c r="C843" t="s">
        <v>1069</v>
      </c>
      <c r="D843" t="s">
        <v>1534</v>
      </c>
      <c r="E843" t="s">
        <v>1069</v>
      </c>
      <c r="F843" t="s">
        <v>2558</v>
      </c>
      <c r="G843" t="s">
        <v>1069</v>
      </c>
      <c r="H843" t="s">
        <v>2930</v>
      </c>
      <c r="I843" t="s">
        <v>1069</v>
      </c>
    </row>
    <row r="844" spans="1:9">
      <c r="A844" t="s">
        <v>2931</v>
      </c>
      <c r="B844" t="s">
        <v>1113</v>
      </c>
      <c r="C844" t="s">
        <v>1069</v>
      </c>
      <c r="D844" t="s">
        <v>1238</v>
      </c>
      <c r="E844" t="s">
        <v>1069</v>
      </c>
      <c r="F844" t="s">
        <v>1356</v>
      </c>
      <c r="G844" t="s">
        <v>1069</v>
      </c>
      <c r="H844" t="s">
        <v>2932</v>
      </c>
      <c r="I844" t="s">
        <v>1069</v>
      </c>
    </row>
    <row r="845" spans="1:9">
      <c r="A845" t="s">
        <v>2933</v>
      </c>
      <c r="B845" t="s">
        <v>1074</v>
      </c>
      <c r="C845" t="s">
        <v>1069</v>
      </c>
      <c r="D845" t="s">
        <v>1285</v>
      </c>
      <c r="E845" t="s">
        <v>1069</v>
      </c>
      <c r="F845" t="s">
        <v>1580</v>
      </c>
      <c r="G845" t="s">
        <v>1069</v>
      </c>
      <c r="H845" t="s">
        <v>2934</v>
      </c>
      <c r="I845" t="s">
        <v>1069</v>
      </c>
    </row>
    <row r="846" spans="1:9">
      <c r="A846" t="s">
        <v>2935</v>
      </c>
      <c r="B846" t="s">
        <v>1129</v>
      </c>
      <c r="C846" t="s">
        <v>1069</v>
      </c>
      <c r="D846" t="s">
        <v>1071</v>
      </c>
      <c r="E846" t="s">
        <v>1069</v>
      </c>
      <c r="F846" t="s">
        <v>2039</v>
      </c>
      <c r="G846" t="s">
        <v>1069</v>
      </c>
      <c r="H846" t="s">
        <v>2936</v>
      </c>
      <c r="I846" t="s">
        <v>1069</v>
      </c>
    </row>
    <row r="847" spans="1:9">
      <c r="A847" t="s">
        <v>2937</v>
      </c>
      <c r="B847" t="s">
        <v>1116</v>
      </c>
      <c r="C847" t="s">
        <v>1069</v>
      </c>
      <c r="D847" t="s">
        <v>1095</v>
      </c>
      <c r="E847" t="s">
        <v>1069</v>
      </c>
      <c r="F847" t="s">
        <v>1323</v>
      </c>
      <c r="G847" t="s">
        <v>1069</v>
      </c>
      <c r="H847" t="s">
        <v>2938</v>
      </c>
      <c r="I847" t="s">
        <v>1069</v>
      </c>
    </row>
    <row r="848" spans="1:9">
      <c r="A848" t="s">
        <v>2939</v>
      </c>
      <c r="B848" t="s">
        <v>1136</v>
      </c>
      <c r="C848" t="s">
        <v>1069</v>
      </c>
      <c r="D848" t="s">
        <v>1122</v>
      </c>
      <c r="E848" t="s">
        <v>1069</v>
      </c>
      <c r="F848" t="s">
        <v>2703</v>
      </c>
      <c r="G848" t="s">
        <v>1069</v>
      </c>
      <c r="H848" t="s">
        <v>1938</v>
      </c>
      <c r="I848" t="s">
        <v>1069</v>
      </c>
    </row>
    <row r="849" spans="1:9">
      <c r="A849" t="s">
        <v>2940</v>
      </c>
      <c r="B849" t="s">
        <v>1102</v>
      </c>
      <c r="C849" t="s">
        <v>1069</v>
      </c>
      <c r="D849" t="s">
        <v>1242</v>
      </c>
      <c r="E849" t="s">
        <v>1069</v>
      </c>
      <c r="F849" t="s">
        <v>2703</v>
      </c>
      <c r="G849" t="s">
        <v>1069</v>
      </c>
      <c r="H849" t="s">
        <v>1225</v>
      </c>
      <c r="I849" t="s">
        <v>1069</v>
      </c>
    </row>
    <row r="850" spans="1:9">
      <c r="A850" t="s">
        <v>2941</v>
      </c>
      <c r="B850" t="s">
        <v>1113</v>
      </c>
      <c r="C850" t="s">
        <v>1069</v>
      </c>
      <c r="D850" t="s">
        <v>1099</v>
      </c>
      <c r="E850" t="s">
        <v>1069</v>
      </c>
      <c r="F850" t="s">
        <v>2039</v>
      </c>
      <c r="G850" t="s">
        <v>1069</v>
      </c>
      <c r="H850" t="s">
        <v>2942</v>
      </c>
      <c r="I850" t="s">
        <v>1069</v>
      </c>
    </row>
    <row r="851" spans="1:9">
      <c r="A851" t="s">
        <v>2943</v>
      </c>
      <c r="B851" t="s">
        <v>1113</v>
      </c>
      <c r="C851" t="s">
        <v>1069</v>
      </c>
      <c r="D851" t="s">
        <v>1162</v>
      </c>
      <c r="E851" t="s">
        <v>1069</v>
      </c>
      <c r="F851" t="s">
        <v>1188</v>
      </c>
      <c r="G851" t="s">
        <v>1069</v>
      </c>
      <c r="H851" t="s">
        <v>2944</v>
      </c>
      <c r="I851" t="s">
        <v>1069</v>
      </c>
    </row>
    <row r="852" spans="1:9">
      <c r="A852" t="s">
        <v>2945</v>
      </c>
      <c r="B852" t="s">
        <v>1093</v>
      </c>
      <c r="C852" t="s">
        <v>1069</v>
      </c>
      <c r="D852" t="s">
        <v>1159</v>
      </c>
      <c r="E852" t="s">
        <v>1069</v>
      </c>
      <c r="F852" t="s">
        <v>1586</v>
      </c>
      <c r="G852" t="s">
        <v>1069</v>
      </c>
      <c r="H852" t="s">
        <v>2946</v>
      </c>
      <c r="I852" t="s">
        <v>1069</v>
      </c>
    </row>
    <row r="853" spans="1:9">
      <c r="A853" t="s">
        <v>2947</v>
      </c>
      <c r="B853" t="s">
        <v>1265</v>
      </c>
      <c r="C853" t="s">
        <v>1069</v>
      </c>
      <c r="D853" t="s">
        <v>1098</v>
      </c>
      <c r="E853" t="s">
        <v>1069</v>
      </c>
      <c r="F853" t="s">
        <v>1179</v>
      </c>
      <c r="G853" t="s">
        <v>1069</v>
      </c>
      <c r="H853" t="s">
        <v>1507</v>
      </c>
      <c r="I853" t="s">
        <v>1069</v>
      </c>
    </row>
    <row r="854" spans="1:9">
      <c r="A854" t="s">
        <v>2948</v>
      </c>
      <c r="B854" t="s">
        <v>1284</v>
      </c>
      <c r="C854" t="s">
        <v>1069</v>
      </c>
      <c r="D854" t="s">
        <v>1276</v>
      </c>
      <c r="E854" t="s">
        <v>1069</v>
      </c>
      <c r="F854" t="s">
        <v>1527</v>
      </c>
      <c r="G854" t="s">
        <v>1069</v>
      </c>
      <c r="H854" t="s">
        <v>1650</v>
      </c>
      <c r="I854" t="s">
        <v>1069</v>
      </c>
    </row>
    <row r="855" spans="1:9">
      <c r="A855" t="s">
        <v>2949</v>
      </c>
      <c r="B855" t="s">
        <v>1284</v>
      </c>
      <c r="C855" t="s">
        <v>1069</v>
      </c>
      <c r="D855" t="s">
        <v>1075</v>
      </c>
      <c r="E855" t="s">
        <v>1069</v>
      </c>
      <c r="F855" t="s">
        <v>2649</v>
      </c>
      <c r="G855" t="s">
        <v>1069</v>
      </c>
      <c r="H855" t="s">
        <v>2950</v>
      </c>
      <c r="I855" t="s">
        <v>1069</v>
      </c>
    </row>
    <row r="856" spans="1:9">
      <c r="A856" t="s">
        <v>2951</v>
      </c>
      <c r="B856" t="s">
        <v>1152</v>
      </c>
      <c r="C856" t="s">
        <v>1069</v>
      </c>
      <c r="D856" t="s">
        <v>1090</v>
      </c>
      <c r="E856" t="s">
        <v>1069</v>
      </c>
      <c r="F856" t="s">
        <v>1203</v>
      </c>
      <c r="G856" t="s">
        <v>1069</v>
      </c>
      <c r="H856" t="s">
        <v>2952</v>
      </c>
      <c r="I856" t="s">
        <v>1069</v>
      </c>
    </row>
    <row r="857" spans="1:9">
      <c r="A857" t="s">
        <v>2953</v>
      </c>
      <c r="B857" t="s">
        <v>1270</v>
      </c>
      <c r="C857" t="s">
        <v>1069</v>
      </c>
      <c r="D857" t="s">
        <v>1094</v>
      </c>
      <c r="E857" t="s">
        <v>1069</v>
      </c>
      <c r="F857" t="s">
        <v>1573</v>
      </c>
      <c r="G857" t="s">
        <v>1069</v>
      </c>
      <c r="H857" t="s">
        <v>2727</v>
      </c>
      <c r="I857" t="s">
        <v>1069</v>
      </c>
    </row>
    <row r="858" spans="1:9">
      <c r="A858" t="s">
        <v>2954</v>
      </c>
      <c r="B858" t="s">
        <v>1293</v>
      </c>
      <c r="C858" t="s">
        <v>1069</v>
      </c>
      <c r="D858" t="s">
        <v>1436</v>
      </c>
      <c r="E858" t="s">
        <v>1069</v>
      </c>
      <c r="F858" t="s">
        <v>1207</v>
      </c>
      <c r="G858" t="s">
        <v>1069</v>
      </c>
      <c r="H858" t="s">
        <v>2531</v>
      </c>
      <c r="I858" t="s">
        <v>1069</v>
      </c>
    </row>
    <row r="859" spans="1:9">
      <c r="A859" t="s">
        <v>2955</v>
      </c>
      <c r="B859" t="s">
        <v>1259</v>
      </c>
      <c r="C859" t="s">
        <v>1069</v>
      </c>
      <c r="D859" t="s">
        <v>1103</v>
      </c>
      <c r="E859" t="s">
        <v>1069</v>
      </c>
      <c r="F859" t="s">
        <v>1176</v>
      </c>
      <c r="G859" t="s">
        <v>1069</v>
      </c>
      <c r="H859" t="s">
        <v>1744</v>
      </c>
      <c r="I859" t="s">
        <v>1069</v>
      </c>
    </row>
    <row r="860" spans="1:9">
      <c r="A860" t="s">
        <v>2956</v>
      </c>
      <c r="B860" t="s">
        <v>1259</v>
      </c>
      <c r="C860" t="s">
        <v>1069</v>
      </c>
      <c r="D860" t="s">
        <v>1079</v>
      </c>
      <c r="E860" t="s">
        <v>1069</v>
      </c>
      <c r="F860" t="s">
        <v>1207</v>
      </c>
      <c r="G860" t="s">
        <v>1069</v>
      </c>
      <c r="H860" t="s">
        <v>1925</v>
      </c>
      <c r="I860" t="s">
        <v>1069</v>
      </c>
    </row>
    <row r="861" spans="1:9">
      <c r="A861" t="s">
        <v>2957</v>
      </c>
      <c r="B861" t="s">
        <v>1293</v>
      </c>
      <c r="C861" t="s">
        <v>1069</v>
      </c>
      <c r="D861" t="s">
        <v>1079</v>
      </c>
      <c r="E861" t="s">
        <v>1069</v>
      </c>
      <c r="F861" t="s">
        <v>1171</v>
      </c>
      <c r="G861" t="s">
        <v>1069</v>
      </c>
      <c r="H861" t="s">
        <v>2725</v>
      </c>
      <c r="I861" t="s">
        <v>1069</v>
      </c>
    </row>
    <row r="862" spans="1:9">
      <c r="A862" t="s">
        <v>2958</v>
      </c>
      <c r="B862" t="s">
        <v>1293</v>
      </c>
      <c r="C862" t="s">
        <v>1069</v>
      </c>
      <c r="D862" t="s">
        <v>1103</v>
      </c>
      <c r="E862" t="s">
        <v>1069</v>
      </c>
      <c r="F862" t="s">
        <v>1184</v>
      </c>
      <c r="G862" t="s">
        <v>1069</v>
      </c>
      <c r="H862" t="s">
        <v>2715</v>
      </c>
      <c r="I862" t="s">
        <v>1069</v>
      </c>
    </row>
    <row r="863" spans="1:9">
      <c r="A863" t="s">
        <v>2959</v>
      </c>
      <c r="B863" t="s">
        <v>1255</v>
      </c>
      <c r="C863" t="s">
        <v>1069</v>
      </c>
      <c r="D863" t="s">
        <v>1098</v>
      </c>
      <c r="E863" t="s">
        <v>1069</v>
      </c>
      <c r="F863" t="s">
        <v>1518</v>
      </c>
      <c r="G863" t="s">
        <v>1069</v>
      </c>
      <c r="H863" t="s">
        <v>2960</v>
      </c>
      <c r="I863" t="s">
        <v>1069</v>
      </c>
    </row>
    <row r="864" spans="1:9">
      <c r="A864" t="s">
        <v>2961</v>
      </c>
      <c r="B864" t="s">
        <v>1152</v>
      </c>
      <c r="C864" t="s">
        <v>1069</v>
      </c>
      <c r="D864" t="s">
        <v>1276</v>
      </c>
      <c r="E864" t="s">
        <v>1069</v>
      </c>
      <c r="F864" t="s">
        <v>1527</v>
      </c>
      <c r="G864" t="s">
        <v>1069</v>
      </c>
      <c r="H864" t="s">
        <v>1496</v>
      </c>
      <c r="I864" t="s">
        <v>1069</v>
      </c>
    </row>
    <row r="865" spans="1:9">
      <c r="A865" t="s">
        <v>2962</v>
      </c>
      <c r="B865" t="s">
        <v>1121</v>
      </c>
      <c r="C865" t="s">
        <v>1069</v>
      </c>
      <c r="D865" t="s">
        <v>1085</v>
      </c>
      <c r="E865" t="s">
        <v>1069</v>
      </c>
      <c r="F865" t="s">
        <v>1239</v>
      </c>
      <c r="G865" t="s">
        <v>1069</v>
      </c>
      <c r="H865" t="s">
        <v>1714</v>
      </c>
      <c r="I865" t="s">
        <v>1069</v>
      </c>
    </row>
    <row r="866" spans="1:9">
      <c r="A866" t="s">
        <v>2963</v>
      </c>
      <c r="B866" t="s">
        <v>1121</v>
      </c>
      <c r="C866" t="s">
        <v>1069</v>
      </c>
      <c r="D866" t="s">
        <v>1080</v>
      </c>
      <c r="E866" t="s">
        <v>1069</v>
      </c>
      <c r="F866" t="s">
        <v>1323</v>
      </c>
      <c r="G866" t="s">
        <v>1069</v>
      </c>
      <c r="H866" t="s">
        <v>2964</v>
      </c>
      <c r="I866" t="s">
        <v>1069</v>
      </c>
    </row>
    <row r="867" spans="1:9">
      <c r="A867" t="s">
        <v>2965</v>
      </c>
      <c r="B867" t="s">
        <v>1270</v>
      </c>
      <c r="C867" t="s">
        <v>1069</v>
      </c>
      <c r="D867" t="s">
        <v>1084</v>
      </c>
      <c r="E867" t="s">
        <v>1069</v>
      </c>
      <c r="F867" t="s">
        <v>1256</v>
      </c>
      <c r="G867" t="s">
        <v>1069</v>
      </c>
      <c r="H867" t="s">
        <v>2966</v>
      </c>
      <c r="I867" t="s">
        <v>1069</v>
      </c>
    </row>
    <row r="868" spans="1:9">
      <c r="A868" t="s">
        <v>2967</v>
      </c>
      <c r="B868" t="s">
        <v>1152</v>
      </c>
      <c r="C868" t="s">
        <v>1069</v>
      </c>
      <c r="D868" t="s">
        <v>1144</v>
      </c>
      <c r="E868" t="s">
        <v>1069</v>
      </c>
      <c r="F868" t="s">
        <v>1256</v>
      </c>
      <c r="G868" t="s">
        <v>1069</v>
      </c>
      <c r="H868" t="s">
        <v>2531</v>
      </c>
      <c r="I868" t="s">
        <v>1069</v>
      </c>
    </row>
    <row r="869" spans="1:9">
      <c r="A869" t="s">
        <v>2968</v>
      </c>
      <c r="B869" t="s">
        <v>1265</v>
      </c>
      <c r="C869" t="s">
        <v>1069</v>
      </c>
      <c r="D869" t="s">
        <v>1276</v>
      </c>
      <c r="E869" t="s">
        <v>1069</v>
      </c>
      <c r="F869" t="s">
        <v>1212</v>
      </c>
      <c r="G869" t="s">
        <v>1069</v>
      </c>
      <c r="H869" t="s">
        <v>2969</v>
      </c>
      <c r="I869" t="s">
        <v>1069</v>
      </c>
    </row>
    <row r="870" spans="1:9">
      <c r="A870" t="s">
        <v>2970</v>
      </c>
      <c r="B870" t="s">
        <v>1152</v>
      </c>
      <c r="C870" t="s">
        <v>1069</v>
      </c>
      <c r="D870" t="s">
        <v>1094</v>
      </c>
      <c r="E870" t="s">
        <v>1069</v>
      </c>
      <c r="F870" t="s">
        <v>1247</v>
      </c>
      <c r="G870" t="s">
        <v>1069</v>
      </c>
      <c r="H870" t="s">
        <v>2971</v>
      </c>
      <c r="I870" t="s">
        <v>1069</v>
      </c>
    </row>
    <row r="871" spans="1:9">
      <c r="A871" t="s">
        <v>2972</v>
      </c>
      <c r="B871" t="s">
        <v>1270</v>
      </c>
      <c r="C871" t="s">
        <v>1069</v>
      </c>
      <c r="D871" t="s">
        <v>1103</v>
      </c>
      <c r="E871" t="s">
        <v>1069</v>
      </c>
      <c r="F871" t="s">
        <v>1081</v>
      </c>
      <c r="G871" t="s">
        <v>1069</v>
      </c>
      <c r="H871" t="s">
        <v>1289</v>
      </c>
      <c r="I871" t="s">
        <v>1069</v>
      </c>
    </row>
    <row r="872" spans="1:9">
      <c r="A872" t="s">
        <v>2973</v>
      </c>
      <c r="B872" t="s">
        <v>1270</v>
      </c>
      <c r="C872" t="s">
        <v>1069</v>
      </c>
      <c r="D872" t="s">
        <v>1079</v>
      </c>
      <c r="E872" t="s">
        <v>1069</v>
      </c>
      <c r="F872" t="s">
        <v>1427</v>
      </c>
      <c r="G872" t="s">
        <v>1069</v>
      </c>
      <c r="H872" t="s">
        <v>2974</v>
      </c>
      <c r="I872" t="s">
        <v>1069</v>
      </c>
    </row>
    <row r="873" spans="1:9">
      <c r="A873" t="s">
        <v>2975</v>
      </c>
      <c r="B873" t="s">
        <v>1270</v>
      </c>
      <c r="C873" t="s">
        <v>1069</v>
      </c>
      <c r="D873" t="s">
        <v>1068</v>
      </c>
      <c r="E873" t="s">
        <v>1069</v>
      </c>
      <c r="F873" t="s">
        <v>1159</v>
      </c>
      <c r="G873" t="s">
        <v>1069</v>
      </c>
      <c r="H873" t="s">
        <v>2946</v>
      </c>
      <c r="I873" t="s">
        <v>1069</v>
      </c>
    </row>
    <row r="874" spans="1:9">
      <c r="A874" t="s">
        <v>2976</v>
      </c>
      <c r="B874" t="s">
        <v>1293</v>
      </c>
      <c r="C874" t="s">
        <v>1069</v>
      </c>
      <c r="D874" t="s">
        <v>1310</v>
      </c>
      <c r="E874" t="s">
        <v>1069</v>
      </c>
      <c r="F874" t="s">
        <v>1159</v>
      </c>
      <c r="G874" t="s">
        <v>1069</v>
      </c>
      <c r="H874" t="s">
        <v>2977</v>
      </c>
      <c r="I874" t="s">
        <v>1069</v>
      </c>
    </row>
    <row r="875" spans="1:9">
      <c r="A875" t="s">
        <v>2978</v>
      </c>
      <c r="B875" t="s">
        <v>1259</v>
      </c>
      <c r="C875" t="s">
        <v>1069</v>
      </c>
      <c r="D875" t="s">
        <v>1093</v>
      </c>
      <c r="E875" t="s">
        <v>1069</v>
      </c>
      <c r="F875" t="s">
        <v>1159</v>
      </c>
      <c r="G875" t="s">
        <v>1069</v>
      </c>
      <c r="H875" t="s">
        <v>2979</v>
      </c>
      <c r="I875" t="s">
        <v>1069</v>
      </c>
    </row>
    <row r="876" spans="1:9">
      <c r="A876" t="s">
        <v>2980</v>
      </c>
      <c r="B876" t="s">
        <v>1259</v>
      </c>
      <c r="C876" t="s">
        <v>1069</v>
      </c>
      <c r="D876" t="s">
        <v>1116</v>
      </c>
      <c r="E876" t="s">
        <v>1069</v>
      </c>
      <c r="F876" t="s">
        <v>1110</v>
      </c>
      <c r="G876" t="s">
        <v>1069</v>
      </c>
      <c r="H876" t="s">
        <v>2981</v>
      </c>
      <c r="I876" t="s">
        <v>1069</v>
      </c>
    </row>
    <row r="877" spans="1:9">
      <c r="A877" t="s">
        <v>2982</v>
      </c>
      <c r="B877" t="s">
        <v>1293</v>
      </c>
      <c r="C877" t="s">
        <v>1069</v>
      </c>
      <c r="D877" t="s">
        <v>1116</v>
      </c>
      <c r="E877" t="s">
        <v>1069</v>
      </c>
      <c r="F877" t="s">
        <v>1276</v>
      </c>
      <c r="G877" t="s">
        <v>1069</v>
      </c>
      <c r="H877" t="s">
        <v>2983</v>
      </c>
      <c r="I877" t="s">
        <v>1069</v>
      </c>
    </row>
    <row r="878" spans="1:9">
      <c r="A878" t="s">
        <v>2984</v>
      </c>
      <c r="B878" t="s">
        <v>1259</v>
      </c>
      <c r="C878" t="s">
        <v>1069</v>
      </c>
      <c r="D878" t="s">
        <v>1129</v>
      </c>
      <c r="E878" t="s">
        <v>1069</v>
      </c>
      <c r="F878" t="s">
        <v>1223</v>
      </c>
      <c r="G878" t="s">
        <v>1069</v>
      </c>
      <c r="H878" t="s">
        <v>2109</v>
      </c>
      <c r="I878" t="s">
        <v>1069</v>
      </c>
    </row>
    <row r="879" spans="1:9">
      <c r="A879" t="s">
        <v>2985</v>
      </c>
      <c r="B879" t="s">
        <v>1288</v>
      </c>
      <c r="C879" t="s">
        <v>1069</v>
      </c>
      <c r="D879" t="s">
        <v>1102</v>
      </c>
      <c r="E879" t="s">
        <v>1069</v>
      </c>
      <c r="F879" t="s">
        <v>1110</v>
      </c>
      <c r="G879" t="s">
        <v>1069</v>
      </c>
      <c r="H879" t="s">
        <v>2986</v>
      </c>
      <c r="I879" t="s">
        <v>1069</v>
      </c>
    </row>
    <row r="880" spans="1:9">
      <c r="A880" t="s">
        <v>2987</v>
      </c>
      <c r="B880" t="s">
        <v>1488</v>
      </c>
      <c r="C880" t="s">
        <v>1069</v>
      </c>
      <c r="D880" t="s">
        <v>1136</v>
      </c>
      <c r="E880" t="s">
        <v>1069</v>
      </c>
      <c r="F880" t="s">
        <v>1310</v>
      </c>
      <c r="G880" t="s">
        <v>1069</v>
      </c>
      <c r="H880" t="s">
        <v>2988</v>
      </c>
      <c r="I880" t="s">
        <v>1069</v>
      </c>
    </row>
    <row r="881" spans="1:9">
      <c r="A881" t="s">
        <v>2989</v>
      </c>
      <c r="B881" t="s">
        <v>1264</v>
      </c>
      <c r="C881" t="s">
        <v>1069</v>
      </c>
      <c r="D881" t="s">
        <v>1265</v>
      </c>
      <c r="E881" t="s">
        <v>1069</v>
      </c>
      <c r="F881" t="s">
        <v>1068</v>
      </c>
      <c r="G881" t="s">
        <v>1069</v>
      </c>
      <c r="H881" t="s">
        <v>2990</v>
      </c>
      <c r="I881" t="s">
        <v>1069</v>
      </c>
    </row>
    <row r="882" spans="1:9">
      <c r="A882" t="s">
        <v>2991</v>
      </c>
      <c r="B882" t="s">
        <v>1275</v>
      </c>
      <c r="C882" t="s">
        <v>1069</v>
      </c>
      <c r="D882" t="s">
        <v>1265</v>
      </c>
      <c r="E882" t="s">
        <v>1069</v>
      </c>
      <c r="F882" t="s">
        <v>1074</v>
      </c>
      <c r="G882" t="s">
        <v>1069</v>
      </c>
      <c r="H882" t="s">
        <v>1123</v>
      </c>
      <c r="I882" t="s">
        <v>1069</v>
      </c>
    </row>
    <row r="883" spans="1:9">
      <c r="A883" t="s">
        <v>2992</v>
      </c>
      <c r="B883" t="s">
        <v>1275</v>
      </c>
      <c r="C883" t="s">
        <v>1069</v>
      </c>
      <c r="D883" t="s">
        <v>1255</v>
      </c>
      <c r="E883" t="s">
        <v>1069</v>
      </c>
      <c r="F883" t="s">
        <v>1113</v>
      </c>
      <c r="G883" t="s">
        <v>1069</v>
      </c>
      <c r="H883" t="s">
        <v>2993</v>
      </c>
      <c r="I883" t="s">
        <v>1069</v>
      </c>
    </row>
    <row r="884" spans="1:9">
      <c r="A884" t="s">
        <v>2994</v>
      </c>
      <c r="B884" t="s">
        <v>1275</v>
      </c>
      <c r="C884" t="s">
        <v>1069</v>
      </c>
      <c r="D884" t="s">
        <v>1270</v>
      </c>
      <c r="E884" t="s">
        <v>1069</v>
      </c>
      <c r="F884" t="s">
        <v>1129</v>
      </c>
      <c r="G884" t="s">
        <v>1069</v>
      </c>
      <c r="H884" t="s">
        <v>2421</v>
      </c>
      <c r="I884" t="s">
        <v>1069</v>
      </c>
    </row>
    <row r="885" spans="1:9">
      <c r="A885" t="s">
        <v>2995</v>
      </c>
      <c r="B885" t="s">
        <v>1275</v>
      </c>
      <c r="C885" t="s">
        <v>1069</v>
      </c>
      <c r="D885" t="s">
        <v>1270</v>
      </c>
      <c r="E885" t="s">
        <v>1069</v>
      </c>
      <c r="F885" t="s">
        <v>1093</v>
      </c>
      <c r="G885" t="s">
        <v>1069</v>
      </c>
      <c r="H885" t="s">
        <v>2168</v>
      </c>
      <c r="I885" t="s">
        <v>1069</v>
      </c>
    </row>
    <row r="886" spans="1:9">
      <c r="A886" t="s">
        <v>2996</v>
      </c>
      <c r="B886" t="s">
        <v>1275</v>
      </c>
      <c r="C886" t="s">
        <v>1069</v>
      </c>
      <c r="D886" t="s">
        <v>1270</v>
      </c>
      <c r="E886" t="s">
        <v>1069</v>
      </c>
      <c r="F886" t="s">
        <v>1102</v>
      </c>
      <c r="G886" t="s">
        <v>1069</v>
      </c>
      <c r="H886" t="s">
        <v>2997</v>
      </c>
      <c r="I886" t="s">
        <v>1069</v>
      </c>
    </row>
    <row r="887" spans="1:9">
      <c r="A887" t="s">
        <v>2998</v>
      </c>
      <c r="B887" t="s">
        <v>1275</v>
      </c>
      <c r="C887" t="s">
        <v>1069</v>
      </c>
      <c r="D887" t="s">
        <v>1270</v>
      </c>
      <c r="E887" t="s">
        <v>1069</v>
      </c>
      <c r="F887" t="s">
        <v>1102</v>
      </c>
      <c r="G887" t="s">
        <v>1069</v>
      </c>
      <c r="H887" t="s">
        <v>1432</v>
      </c>
      <c r="I887" t="s">
        <v>1069</v>
      </c>
    </row>
    <row r="888" spans="1:9">
      <c r="A888" t="s">
        <v>2999</v>
      </c>
      <c r="B888" t="s">
        <v>1275</v>
      </c>
      <c r="C888" t="s">
        <v>1069</v>
      </c>
      <c r="D888" t="s">
        <v>1270</v>
      </c>
      <c r="E888" t="s">
        <v>1069</v>
      </c>
      <c r="F888" t="s">
        <v>1116</v>
      </c>
      <c r="G888" t="s">
        <v>1069</v>
      </c>
      <c r="H888" t="s">
        <v>2333</v>
      </c>
      <c r="I888" t="s">
        <v>1069</v>
      </c>
    </row>
    <row r="889" spans="1:9">
      <c r="A889" t="s">
        <v>3000</v>
      </c>
      <c r="B889" t="s">
        <v>1275</v>
      </c>
      <c r="C889" t="s">
        <v>1069</v>
      </c>
      <c r="D889" t="s">
        <v>1270</v>
      </c>
      <c r="E889" t="s">
        <v>1069</v>
      </c>
      <c r="F889" t="s">
        <v>1139</v>
      </c>
      <c r="G889" t="s">
        <v>1069</v>
      </c>
      <c r="H889" t="s">
        <v>3001</v>
      </c>
      <c r="I889" t="s">
        <v>1069</v>
      </c>
    </row>
    <row r="890" spans="1:9">
      <c r="A890" t="s">
        <v>3002</v>
      </c>
      <c r="B890" t="s">
        <v>1275</v>
      </c>
      <c r="C890" t="s">
        <v>1069</v>
      </c>
      <c r="D890" t="s">
        <v>1255</v>
      </c>
      <c r="E890" t="s">
        <v>1069</v>
      </c>
      <c r="F890" t="s">
        <v>1260</v>
      </c>
      <c r="G890" t="s">
        <v>1069</v>
      </c>
      <c r="H890" t="s">
        <v>3003</v>
      </c>
      <c r="I890" t="s">
        <v>1069</v>
      </c>
    </row>
    <row r="891" spans="1:9">
      <c r="A891" t="s">
        <v>3004</v>
      </c>
      <c r="B891" t="s">
        <v>1483</v>
      </c>
      <c r="C891" t="s">
        <v>1069</v>
      </c>
      <c r="D891" t="s">
        <v>1259</v>
      </c>
      <c r="E891" t="s">
        <v>1069</v>
      </c>
      <c r="F891" t="s">
        <v>1128</v>
      </c>
      <c r="G891" t="s">
        <v>1069</v>
      </c>
      <c r="H891" t="s">
        <v>1423</v>
      </c>
      <c r="I891" t="s">
        <v>1069</v>
      </c>
    </row>
    <row r="892" spans="1:9">
      <c r="A892" t="s">
        <v>3005</v>
      </c>
      <c r="B892" t="s">
        <v>1475</v>
      </c>
      <c r="C892" t="s">
        <v>1069</v>
      </c>
      <c r="D892" t="s">
        <v>1288</v>
      </c>
      <c r="E892" t="s">
        <v>1069</v>
      </c>
      <c r="F892" t="s">
        <v>1121</v>
      </c>
      <c r="G892" t="s">
        <v>1069</v>
      </c>
      <c r="H892" t="s">
        <v>3006</v>
      </c>
      <c r="I892" t="s">
        <v>1069</v>
      </c>
    </row>
    <row r="893" spans="1:9">
      <c r="A893" t="s">
        <v>3007</v>
      </c>
      <c r="B893" t="s">
        <v>1475</v>
      </c>
      <c r="C893" t="s">
        <v>1069</v>
      </c>
      <c r="D893" t="s">
        <v>1476</v>
      </c>
      <c r="E893" t="s">
        <v>1069</v>
      </c>
      <c r="F893" t="s">
        <v>1136</v>
      </c>
      <c r="G893" t="s">
        <v>1069</v>
      </c>
      <c r="H893" t="s">
        <v>1445</v>
      </c>
      <c r="I893" t="s">
        <v>1069</v>
      </c>
    </row>
    <row r="894" spans="1:9">
      <c r="A894" t="s">
        <v>3008</v>
      </c>
      <c r="B894" t="s">
        <v>1656</v>
      </c>
      <c r="C894" t="s">
        <v>1069</v>
      </c>
      <c r="D894" t="s">
        <v>1269</v>
      </c>
      <c r="E894" t="s">
        <v>1069</v>
      </c>
      <c r="F894" t="s">
        <v>1293</v>
      </c>
      <c r="G894" t="s">
        <v>1069</v>
      </c>
      <c r="H894" t="s">
        <v>3009</v>
      </c>
      <c r="I894" t="s">
        <v>1069</v>
      </c>
    </row>
    <row r="895" spans="1:9">
      <c r="A895" t="s">
        <v>3010</v>
      </c>
      <c r="B895" t="s">
        <v>1649</v>
      </c>
      <c r="C895" t="s">
        <v>1069</v>
      </c>
      <c r="D895" t="s">
        <v>1264</v>
      </c>
      <c r="E895" t="s">
        <v>1069</v>
      </c>
      <c r="F895" t="s">
        <v>1284</v>
      </c>
      <c r="G895" t="s">
        <v>1069</v>
      </c>
      <c r="H895" t="s">
        <v>3011</v>
      </c>
      <c r="I895" t="s">
        <v>1069</v>
      </c>
    </row>
    <row r="896" spans="1:9">
      <c r="A896" t="s">
        <v>3012</v>
      </c>
      <c r="B896" t="s">
        <v>1649</v>
      </c>
      <c r="C896" t="s">
        <v>1069</v>
      </c>
      <c r="D896" t="s">
        <v>1264</v>
      </c>
      <c r="E896" t="s">
        <v>1069</v>
      </c>
      <c r="F896" t="s">
        <v>1143</v>
      </c>
      <c r="G896" t="s">
        <v>1069</v>
      </c>
      <c r="H896" t="s">
        <v>3013</v>
      </c>
      <c r="I896" t="s">
        <v>1069</v>
      </c>
    </row>
    <row r="897" spans="1:9">
      <c r="A897" t="s">
        <v>3014</v>
      </c>
      <c r="B897" t="s">
        <v>1475</v>
      </c>
      <c r="C897" t="s">
        <v>1069</v>
      </c>
      <c r="D897" t="s">
        <v>1476</v>
      </c>
      <c r="E897" t="s">
        <v>1069</v>
      </c>
      <c r="F897" t="s">
        <v>1116</v>
      </c>
      <c r="G897" t="s">
        <v>1069</v>
      </c>
      <c r="H897" t="s">
        <v>3015</v>
      </c>
      <c r="I897" t="s">
        <v>1069</v>
      </c>
    </row>
    <row r="898" spans="1:9">
      <c r="A898" t="s">
        <v>3016</v>
      </c>
      <c r="B898" t="s">
        <v>1475</v>
      </c>
      <c r="C898" t="s">
        <v>1069</v>
      </c>
      <c r="D898" t="s">
        <v>1288</v>
      </c>
      <c r="E898" t="s">
        <v>1069</v>
      </c>
      <c r="F898" t="s">
        <v>1128</v>
      </c>
      <c r="G898" t="s">
        <v>1069</v>
      </c>
      <c r="H898" t="s">
        <v>1210</v>
      </c>
      <c r="I898" t="s">
        <v>1069</v>
      </c>
    </row>
    <row r="899" spans="1:9">
      <c r="A899" t="s">
        <v>3017</v>
      </c>
      <c r="B899" t="s">
        <v>1475</v>
      </c>
      <c r="C899" t="s">
        <v>1069</v>
      </c>
      <c r="D899" t="s">
        <v>1476</v>
      </c>
      <c r="E899" t="s">
        <v>1069</v>
      </c>
      <c r="F899" t="s">
        <v>1136</v>
      </c>
      <c r="G899" t="s">
        <v>1069</v>
      </c>
      <c r="H899" t="s">
        <v>1850</v>
      </c>
      <c r="I899" t="s">
        <v>1069</v>
      </c>
    </row>
    <row r="900" spans="1:9">
      <c r="A900" t="s">
        <v>3018</v>
      </c>
      <c r="B900" t="s">
        <v>1475</v>
      </c>
      <c r="C900" t="s">
        <v>1069</v>
      </c>
      <c r="D900" t="s">
        <v>1476</v>
      </c>
      <c r="E900" t="s">
        <v>1069</v>
      </c>
      <c r="F900" t="s">
        <v>1116</v>
      </c>
      <c r="G900" t="s">
        <v>1069</v>
      </c>
      <c r="H900" t="s">
        <v>3019</v>
      </c>
      <c r="I900" t="s">
        <v>1069</v>
      </c>
    </row>
    <row r="901" spans="1:9">
      <c r="A901" t="s">
        <v>3020</v>
      </c>
      <c r="B901" t="s">
        <v>1649</v>
      </c>
      <c r="C901" t="s">
        <v>1069</v>
      </c>
      <c r="D901" t="s">
        <v>1476</v>
      </c>
      <c r="E901" t="s">
        <v>1069</v>
      </c>
      <c r="F901" t="s">
        <v>1103</v>
      </c>
      <c r="G901" t="s">
        <v>1069</v>
      </c>
      <c r="H901" t="s">
        <v>3021</v>
      </c>
      <c r="I901" t="s">
        <v>1069</v>
      </c>
    </row>
    <row r="902" spans="1:9">
      <c r="A902" t="s">
        <v>3022</v>
      </c>
      <c r="B902" t="s">
        <v>1269</v>
      </c>
      <c r="C902" t="s">
        <v>1069</v>
      </c>
      <c r="D902" t="s">
        <v>1152</v>
      </c>
      <c r="E902" t="s">
        <v>1069</v>
      </c>
      <c r="F902" t="s">
        <v>1095</v>
      </c>
      <c r="G902" t="s">
        <v>1069</v>
      </c>
      <c r="H902" t="s">
        <v>1225</v>
      </c>
      <c r="I902" t="s">
        <v>1069</v>
      </c>
    </row>
    <row r="903" spans="1:9">
      <c r="A903" t="s">
        <v>3023</v>
      </c>
      <c r="B903" t="s">
        <v>1264</v>
      </c>
      <c r="C903" t="s">
        <v>1069</v>
      </c>
      <c r="D903" t="s">
        <v>1152</v>
      </c>
      <c r="E903" t="s">
        <v>1069</v>
      </c>
      <c r="F903" t="s">
        <v>1075</v>
      </c>
      <c r="G903" t="s">
        <v>1069</v>
      </c>
      <c r="H903" t="s">
        <v>3024</v>
      </c>
      <c r="I903" t="s">
        <v>1069</v>
      </c>
    </row>
    <row r="904" spans="1:9">
      <c r="A904" t="s">
        <v>3025</v>
      </c>
      <c r="B904" t="s">
        <v>1476</v>
      </c>
      <c r="C904" t="s">
        <v>1069</v>
      </c>
      <c r="D904" t="s">
        <v>1125</v>
      </c>
      <c r="E904" t="s">
        <v>1069</v>
      </c>
      <c r="F904" t="s">
        <v>1534</v>
      </c>
      <c r="G904" t="s">
        <v>1069</v>
      </c>
      <c r="H904" t="s">
        <v>3026</v>
      </c>
      <c r="I904" t="s">
        <v>1069</v>
      </c>
    </row>
    <row r="905" spans="1:9">
      <c r="A905" t="s">
        <v>3027</v>
      </c>
      <c r="B905" t="s">
        <v>1264</v>
      </c>
      <c r="C905" t="s">
        <v>1069</v>
      </c>
      <c r="D905" t="s">
        <v>1265</v>
      </c>
      <c r="E905" t="s">
        <v>1069</v>
      </c>
      <c r="F905" t="s">
        <v>1266</v>
      </c>
      <c r="G905" t="s">
        <v>1069</v>
      </c>
      <c r="H905" t="s">
        <v>3028</v>
      </c>
      <c r="I905" t="s">
        <v>1069</v>
      </c>
    </row>
    <row r="906" spans="1:9">
      <c r="A906" t="s">
        <v>3029</v>
      </c>
      <c r="B906" t="s">
        <v>1476</v>
      </c>
      <c r="C906" t="s">
        <v>1069</v>
      </c>
      <c r="D906" t="s">
        <v>1125</v>
      </c>
      <c r="E906" t="s">
        <v>1069</v>
      </c>
      <c r="F906" t="s">
        <v>1104</v>
      </c>
      <c r="G906" t="s">
        <v>1069</v>
      </c>
      <c r="H906" t="s">
        <v>3030</v>
      </c>
      <c r="I906" t="s">
        <v>1069</v>
      </c>
    </row>
    <row r="907" spans="1:9">
      <c r="A907" t="s">
        <v>3031</v>
      </c>
      <c r="B907" t="s">
        <v>1288</v>
      </c>
      <c r="C907" t="s">
        <v>1069</v>
      </c>
      <c r="D907" t="s">
        <v>1136</v>
      </c>
      <c r="E907" t="s">
        <v>1069</v>
      </c>
      <c r="F907" t="s">
        <v>1099</v>
      </c>
      <c r="G907" t="s">
        <v>1069</v>
      </c>
      <c r="H907" t="s">
        <v>3032</v>
      </c>
      <c r="I907" t="s">
        <v>1069</v>
      </c>
    </row>
    <row r="908" spans="1:9">
      <c r="A908" t="s">
        <v>3033</v>
      </c>
      <c r="B908" t="s">
        <v>1275</v>
      </c>
      <c r="C908" t="s">
        <v>1069</v>
      </c>
      <c r="D908" t="s">
        <v>1270</v>
      </c>
      <c r="E908" t="s">
        <v>1069</v>
      </c>
      <c r="F908" t="s">
        <v>1276</v>
      </c>
      <c r="G908" t="s">
        <v>1069</v>
      </c>
      <c r="H908" t="s">
        <v>3034</v>
      </c>
      <c r="I908" t="s">
        <v>1069</v>
      </c>
    </row>
    <row r="909" spans="1:9">
      <c r="A909" t="s">
        <v>3035</v>
      </c>
      <c r="B909" t="s">
        <v>1483</v>
      </c>
      <c r="C909" t="s">
        <v>1069</v>
      </c>
      <c r="D909" t="s">
        <v>1293</v>
      </c>
      <c r="E909" t="s">
        <v>1069</v>
      </c>
      <c r="F909" t="s">
        <v>1090</v>
      </c>
      <c r="G909" t="s">
        <v>1069</v>
      </c>
      <c r="H909" t="s">
        <v>3036</v>
      </c>
      <c r="I909" t="s">
        <v>1069</v>
      </c>
    </row>
    <row r="910" spans="1:9">
      <c r="A910" t="s">
        <v>3037</v>
      </c>
      <c r="B910" t="s">
        <v>1649</v>
      </c>
      <c r="C910" t="s">
        <v>1069</v>
      </c>
      <c r="D910" t="s">
        <v>1293</v>
      </c>
      <c r="E910" t="s">
        <v>1069</v>
      </c>
      <c r="F910" t="s">
        <v>1504</v>
      </c>
      <c r="G910" t="s">
        <v>1069</v>
      </c>
      <c r="H910" t="s">
        <v>3038</v>
      </c>
      <c r="I910" t="s">
        <v>1069</v>
      </c>
    </row>
    <row r="911" spans="1:9">
      <c r="A911" t="s">
        <v>3039</v>
      </c>
      <c r="B911" t="s">
        <v>1483</v>
      </c>
      <c r="C911" t="s">
        <v>1069</v>
      </c>
      <c r="D911" t="s">
        <v>1255</v>
      </c>
      <c r="E911" t="s">
        <v>1069</v>
      </c>
      <c r="F911" t="s">
        <v>1276</v>
      </c>
      <c r="G911" t="s">
        <v>1069</v>
      </c>
      <c r="H911" t="s">
        <v>3040</v>
      </c>
      <c r="I911" t="s">
        <v>1069</v>
      </c>
    </row>
    <row r="912" spans="1:9">
      <c r="A912" t="s">
        <v>3041</v>
      </c>
      <c r="B912" t="s">
        <v>1264</v>
      </c>
      <c r="C912" t="s">
        <v>1069</v>
      </c>
      <c r="D912" t="s">
        <v>1265</v>
      </c>
      <c r="E912" t="s">
        <v>1069</v>
      </c>
      <c r="F912" t="s">
        <v>1140</v>
      </c>
      <c r="G912" t="s">
        <v>1069</v>
      </c>
      <c r="H912" t="s">
        <v>1647</v>
      </c>
      <c r="I912" t="s">
        <v>1069</v>
      </c>
    </row>
    <row r="913" spans="1:9">
      <c r="A913" t="s">
        <v>3042</v>
      </c>
      <c r="B913" t="s">
        <v>1264</v>
      </c>
      <c r="C913" t="s">
        <v>1069</v>
      </c>
      <c r="D913" t="s">
        <v>1284</v>
      </c>
      <c r="E913" t="s">
        <v>1069</v>
      </c>
      <c r="F913" t="s">
        <v>1504</v>
      </c>
      <c r="G913" t="s">
        <v>1069</v>
      </c>
      <c r="H913" t="s">
        <v>3043</v>
      </c>
      <c r="I913" t="s">
        <v>1069</v>
      </c>
    </row>
    <row r="914" spans="1:9">
      <c r="A914" t="s">
        <v>3044</v>
      </c>
      <c r="B914" t="s">
        <v>1275</v>
      </c>
      <c r="C914" t="s">
        <v>1069</v>
      </c>
      <c r="D914" t="s">
        <v>1270</v>
      </c>
      <c r="E914" t="s">
        <v>1069</v>
      </c>
      <c r="F914" t="s">
        <v>1436</v>
      </c>
      <c r="G914" t="s">
        <v>1069</v>
      </c>
      <c r="H914" t="s">
        <v>3045</v>
      </c>
      <c r="I914" t="s">
        <v>1069</v>
      </c>
    </row>
    <row r="915" spans="1:9">
      <c r="A915" t="s">
        <v>3046</v>
      </c>
      <c r="B915" t="s">
        <v>1475</v>
      </c>
      <c r="C915" t="s">
        <v>1069</v>
      </c>
      <c r="D915" t="s">
        <v>1488</v>
      </c>
      <c r="E915" t="s">
        <v>1069</v>
      </c>
      <c r="F915" t="s">
        <v>1079</v>
      </c>
      <c r="G915" t="s">
        <v>1069</v>
      </c>
      <c r="H915" t="s">
        <v>3047</v>
      </c>
      <c r="I915" t="s">
        <v>1069</v>
      </c>
    </row>
    <row r="916" spans="1:9">
      <c r="A916" t="s">
        <v>3048</v>
      </c>
      <c r="B916" t="s">
        <v>1475</v>
      </c>
      <c r="C916" t="s">
        <v>1069</v>
      </c>
      <c r="D916" t="s">
        <v>1288</v>
      </c>
      <c r="E916" t="s">
        <v>1069</v>
      </c>
      <c r="F916" t="s">
        <v>1129</v>
      </c>
      <c r="G916" t="s">
        <v>1069</v>
      </c>
      <c r="H916" t="s">
        <v>3049</v>
      </c>
      <c r="I916" t="s">
        <v>1069</v>
      </c>
    </row>
    <row r="917" spans="1:9">
      <c r="A917" t="s">
        <v>3050</v>
      </c>
      <c r="B917" t="s">
        <v>1649</v>
      </c>
      <c r="C917" t="s">
        <v>1069</v>
      </c>
      <c r="D917" t="s">
        <v>1476</v>
      </c>
      <c r="E917" t="s">
        <v>1069</v>
      </c>
      <c r="F917" t="s">
        <v>1107</v>
      </c>
      <c r="G917" t="s">
        <v>1069</v>
      </c>
      <c r="H917" t="s">
        <v>3051</v>
      </c>
      <c r="I917" t="s">
        <v>1069</v>
      </c>
    </row>
    <row r="918" spans="1:9">
      <c r="A918" t="s">
        <v>3052</v>
      </c>
      <c r="B918" t="s">
        <v>1649</v>
      </c>
      <c r="C918" t="s">
        <v>1069</v>
      </c>
      <c r="D918" t="s">
        <v>1488</v>
      </c>
      <c r="E918" t="s">
        <v>1069</v>
      </c>
      <c r="F918" t="s">
        <v>1079</v>
      </c>
      <c r="G918" t="s">
        <v>1069</v>
      </c>
      <c r="H918" t="s">
        <v>3053</v>
      </c>
      <c r="I918" t="s">
        <v>1069</v>
      </c>
    </row>
    <row r="919" spans="1:9">
      <c r="A919" t="s">
        <v>3054</v>
      </c>
      <c r="B919" t="s">
        <v>1649</v>
      </c>
      <c r="C919" t="s">
        <v>1069</v>
      </c>
      <c r="D919" t="s">
        <v>1476</v>
      </c>
      <c r="E919" t="s">
        <v>1069</v>
      </c>
      <c r="F919" t="s">
        <v>1093</v>
      </c>
      <c r="G919" t="s">
        <v>1069</v>
      </c>
      <c r="H919" t="s">
        <v>2979</v>
      </c>
      <c r="I919" t="s">
        <v>1069</v>
      </c>
    </row>
    <row r="920" spans="1:9">
      <c r="A920" t="s">
        <v>3055</v>
      </c>
      <c r="B920" t="s">
        <v>1649</v>
      </c>
      <c r="C920" t="s">
        <v>1069</v>
      </c>
      <c r="D920" t="s">
        <v>1264</v>
      </c>
      <c r="E920" t="s">
        <v>1069</v>
      </c>
      <c r="F920" t="s">
        <v>1125</v>
      </c>
      <c r="G920" t="s">
        <v>1069</v>
      </c>
      <c r="H920" t="s">
        <v>3056</v>
      </c>
      <c r="I920" t="s">
        <v>1069</v>
      </c>
    </row>
    <row r="921" spans="1:9">
      <c r="A921" t="s">
        <v>3057</v>
      </c>
      <c r="B921" t="s">
        <v>1475</v>
      </c>
      <c r="C921" t="s">
        <v>1069</v>
      </c>
      <c r="D921" t="s">
        <v>1288</v>
      </c>
      <c r="E921" t="s">
        <v>1069</v>
      </c>
      <c r="F921" t="s">
        <v>1143</v>
      </c>
      <c r="G921" t="s">
        <v>1069</v>
      </c>
      <c r="H921" t="s">
        <v>3058</v>
      </c>
      <c r="I921" t="s">
        <v>1069</v>
      </c>
    </row>
    <row r="922" spans="1:9">
      <c r="A922" t="s">
        <v>3059</v>
      </c>
      <c r="B922" t="s">
        <v>1475</v>
      </c>
      <c r="C922" t="s">
        <v>1069</v>
      </c>
      <c r="D922" t="s">
        <v>1259</v>
      </c>
      <c r="E922" t="s">
        <v>1069</v>
      </c>
      <c r="F922" t="s">
        <v>1068</v>
      </c>
      <c r="G922" t="s">
        <v>1069</v>
      </c>
      <c r="H922" t="s">
        <v>3060</v>
      </c>
      <c r="I922" t="s">
        <v>1069</v>
      </c>
    </row>
    <row r="923" spans="1:9">
      <c r="A923" t="s">
        <v>3061</v>
      </c>
      <c r="B923" t="s">
        <v>1269</v>
      </c>
      <c r="C923" t="s">
        <v>1069</v>
      </c>
      <c r="D923" t="s">
        <v>1255</v>
      </c>
      <c r="E923" t="s">
        <v>1069</v>
      </c>
      <c r="F923" t="s">
        <v>1139</v>
      </c>
      <c r="G923" t="s">
        <v>1069</v>
      </c>
      <c r="H923" t="s">
        <v>1611</v>
      </c>
      <c r="I923" t="s">
        <v>1069</v>
      </c>
    </row>
    <row r="924" spans="1:9">
      <c r="A924" t="s">
        <v>3062</v>
      </c>
      <c r="B924" t="s">
        <v>1259</v>
      </c>
      <c r="C924" t="s">
        <v>1069</v>
      </c>
      <c r="D924" t="s">
        <v>1128</v>
      </c>
      <c r="E924" t="s">
        <v>1069</v>
      </c>
      <c r="F924" t="s">
        <v>1080</v>
      </c>
      <c r="G924" t="s">
        <v>1069</v>
      </c>
      <c r="H924" t="s">
        <v>3063</v>
      </c>
      <c r="I924" t="s">
        <v>1069</v>
      </c>
    </row>
    <row r="925" spans="1:9">
      <c r="A925" t="s">
        <v>3064</v>
      </c>
      <c r="B925" t="s">
        <v>1270</v>
      </c>
      <c r="C925" t="s">
        <v>1069</v>
      </c>
      <c r="D925" t="s">
        <v>1102</v>
      </c>
      <c r="E925" t="s">
        <v>1069</v>
      </c>
      <c r="F925" t="s">
        <v>1095</v>
      </c>
      <c r="G925" t="s">
        <v>1069</v>
      </c>
      <c r="H925" t="s">
        <v>3065</v>
      </c>
      <c r="I925" t="s">
        <v>1069</v>
      </c>
    </row>
    <row r="926" spans="1:9">
      <c r="A926" t="s">
        <v>3066</v>
      </c>
      <c r="B926" t="s">
        <v>1270</v>
      </c>
      <c r="C926" t="s">
        <v>1069</v>
      </c>
      <c r="D926" t="s">
        <v>1102</v>
      </c>
      <c r="E926" t="s">
        <v>1069</v>
      </c>
      <c r="F926" t="s">
        <v>1085</v>
      </c>
      <c r="G926" t="s">
        <v>1069</v>
      </c>
      <c r="H926" t="s">
        <v>3067</v>
      </c>
      <c r="I926" t="s">
        <v>1069</v>
      </c>
    </row>
    <row r="927" spans="1:9">
      <c r="A927" t="s">
        <v>3068</v>
      </c>
      <c r="B927" t="s">
        <v>1149</v>
      </c>
      <c r="C927" t="s">
        <v>1069</v>
      </c>
      <c r="D927" t="s">
        <v>1102</v>
      </c>
      <c r="E927" t="s">
        <v>1069</v>
      </c>
      <c r="F927" t="s">
        <v>1276</v>
      </c>
      <c r="G927" t="s">
        <v>1069</v>
      </c>
      <c r="H927" t="s">
        <v>2932</v>
      </c>
      <c r="I927" t="s">
        <v>1069</v>
      </c>
    </row>
    <row r="928" spans="1:9">
      <c r="A928" t="s">
        <v>3069</v>
      </c>
      <c r="B928" t="s">
        <v>1152</v>
      </c>
      <c r="C928" t="s">
        <v>1069</v>
      </c>
      <c r="D928" t="s">
        <v>1139</v>
      </c>
      <c r="E928" t="s">
        <v>1069</v>
      </c>
      <c r="F928" t="s">
        <v>1110</v>
      </c>
      <c r="G928" t="s">
        <v>1069</v>
      </c>
      <c r="H928" t="s">
        <v>3070</v>
      </c>
      <c r="I928" t="s">
        <v>1069</v>
      </c>
    </row>
    <row r="929" spans="1:9">
      <c r="A929" t="s">
        <v>3071</v>
      </c>
      <c r="B929" t="s">
        <v>1265</v>
      </c>
      <c r="C929" t="s">
        <v>1069</v>
      </c>
      <c r="D929" t="s">
        <v>1129</v>
      </c>
      <c r="E929" t="s">
        <v>1069</v>
      </c>
      <c r="F929" t="s">
        <v>1266</v>
      </c>
      <c r="G929" t="s">
        <v>1069</v>
      </c>
      <c r="H929" t="s">
        <v>1632</v>
      </c>
      <c r="I929" t="s">
        <v>1069</v>
      </c>
    </row>
    <row r="930" spans="1:9">
      <c r="A930" t="s">
        <v>3072</v>
      </c>
      <c r="B930" t="s">
        <v>1136</v>
      </c>
      <c r="C930" t="s">
        <v>1069</v>
      </c>
      <c r="D930" t="s">
        <v>1068</v>
      </c>
      <c r="E930" t="s">
        <v>1069</v>
      </c>
      <c r="F930" t="s">
        <v>1110</v>
      </c>
      <c r="G930" t="s">
        <v>1069</v>
      </c>
      <c r="H930" t="s">
        <v>3073</v>
      </c>
      <c r="I930" t="s">
        <v>1069</v>
      </c>
    </row>
    <row r="931" spans="1:9">
      <c r="A931" t="s">
        <v>3074</v>
      </c>
      <c r="B931" t="s">
        <v>1121</v>
      </c>
      <c r="C931" t="s">
        <v>1069</v>
      </c>
      <c r="D931" t="s">
        <v>1089</v>
      </c>
      <c r="E931" t="s">
        <v>1069</v>
      </c>
      <c r="F931" t="s">
        <v>1104</v>
      </c>
      <c r="G931" t="s">
        <v>1069</v>
      </c>
      <c r="H931" t="s">
        <v>3075</v>
      </c>
      <c r="I931" t="s">
        <v>1069</v>
      </c>
    </row>
    <row r="932" spans="1:9">
      <c r="A932" t="s">
        <v>3076</v>
      </c>
      <c r="B932" t="s">
        <v>1152</v>
      </c>
      <c r="C932" t="s">
        <v>1069</v>
      </c>
      <c r="D932" t="s">
        <v>1093</v>
      </c>
      <c r="E932" t="s">
        <v>1069</v>
      </c>
      <c r="F932" t="s">
        <v>1122</v>
      </c>
      <c r="G932" t="s">
        <v>1069</v>
      </c>
      <c r="H932" t="s">
        <v>3063</v>
      </c>
      <c r="I932" t="s">
        <v>1069</v>
      </c>
    </row>
    <row r="933" spans="1:9">
      <c r="A933" t="s">
        <v>3077</v>
      </c>
      <c r="B933" t="s">
        <v>1136</v>
      </c>
      <c r="C933" t="s">
        <v>1069</v>
      </c>
      <c r="D933" t="s">
        <v>1068</v>
      </c>
      <c r="E933" t="s">
        <v>1069</v>
      </c>
      <c r="F933" t="s">
        <v>1234</v>
      </c>
      <c r="G933" t="s">
        <v>1069</v>
      </c>
      <c r="H933" t="s">
        <v>3078</v>
      </c>
      <c r="I933" t="s">
        <v>1069</v>
      </c>
    </row>
    <row r="934" spans="1:9">
      <c r="A934" t="s">
        <v>3079</v>
      </c>
      <c r="B934" t="s">
        <v>1128</v>
      </c>
      <c r="C934" t="s">
        <v>1069</v>
      </c>
      <c r="D934" t="s">
        <v>1310</v>
      </c>
      <c r="E934" t="s">
        <v>1069</v>
      </c>
      <c r="F934" t="s">
        <v>1242</v>
      </c>
      <c r="G934" t="s">
        <v>1069</v>
      </c>
      <c r="H934" t="s">
        <v>1301</v>
      </c>
      <c r="I934" t="s">
        <v>1069</v>
      </c>
    </row>
    <row r="935" spans="1:9">
      <c r="A935" t="s">
        <v>3080</v>
      </c>
      <c r="B935" t="s">
        <v>1121</v>
      </c>
      <c r="C935" t="s">
        <v>1069</v>
      </c>
      <c r="D935" t="s">
        <v>1139</v>
      </c>
      <c r="E935" t="s">
        <v>1069</v>
      </c>
      <c r="F935" t="s">
        <v>1320</v>
      </c>
      <c r="G935" t="s">
        <v>1069</v>
      </c>
      <c r="H935" t="s">
        <v>3081</v>
      </c>
      <c r="I935" t="s">
        <v>1502</v>
      </c>
    </row>
    <row r="936" spans="1:9">
      <c r="A936" t="s">
        <v>3082</v>
      </c>
      <c r="B936" t="s">
        <v>1128</v>
      </c>
      <c r="C936" t="s">
        <v>1069</v>
      </c>
      <c r="D936" t="s">
        <v>1310</v>
      </c>
      <c r="E936" t="s">
        <v>1069</v>
      </c>
      <c r="F936" t="s">
        <v>1110</v>
      </c>
      <c r="G936" t="s">
        <v>1069</v>
      </c>
      <c r="H936" t="s">
        <v>3083</v>
      </c>
      <c r="I936" t="s">
        <v>1069</v>
      </c>
    </row>
    <row r="937" spans="1:9">
      <c r="A937" t="s">
        <v>3084</v>
      </c>
      <c r="B937" t="s">
        <v>1093</v>
      </c>
      <c r="C937" t="s">
        <v>1069</v>
      </c>
      <c r="D937" t="s">
        <v>1436</v>
      </c>
      <c r="E937" t="s">
        <v>1069</v>
      </c>
      <c r="F937" t="s">
        <v>1234</v>
      </c>
      <c r="G937" t="s">
        <v>1069</v>
      </c>
      <c r="H937" t="s">
        <v>3085</v>
      </c>
      <c r="I937" t="s">
        <v>1069</v>
      </c>
    </row>
    <row r="938" spans="1:9">
      <c r="A938" t="s">
        <v>3086</v>
      </c>
      <c r="B938" t="s">
        <v>1113</v>
      </c>
      <c r="C938" t="s">
        <v>1069</v>
      </c>
      <c r="D938" t="s">
        <v>1084</v>
      </c>
      <c r="E938" t="s">
        <v>1069</v>
      </c>
      <c r="F938" t="s">
        <v>1534</v>
      </c>
      <c r="G938" t="s">
        <v>1069</v>
      </c>
      <c r="H938" t="s">
        <v>2279</v>
      </c>
      <c r="I938" t="s">
        <v>1069</v>
      </c>
    </row>
    <row r="939" spans="1:9">
      <c r="A939" t="s">
        <v>3087</v>
      </c>
      <c r="B939" t="s">
        <v>1107</v>
      </c>
      <c r="C939" t="s">
        <v>1069</v>
      </c>
      <c r="D939" t="s">
        <v>1068</v>
      </c>
      <c r="E939" t="s">
        <v>1069</v>
      </c>
      <c r="F939" t="s">
        <v>1162</v>
      </c>
      <c r="G939" t="s">
        <v>1069</v>
      </c>
      <c r="H939" t="s">
        <v>3088</v>
      </c>
      <c r="I939" t="s">
        <v>1069</v>
      </c>
    </row>
    <row r="940" spans="1:9">
      <c r="A940" t="s">
        <v>3089</v>
      </c>
      <c r="B940" t="s">
        <v>1129</v>
      </c>
      <c r="C940" t="s">
        <v>1069</v>
      </c>
      <c r="D940" t="s">
        <v>1094</v>
      </c>
      <c r="E940" t="s">
        <v>1069</v>
      </c>
      <c r="F940" t="s">
        <v>1427</v>
      </c>
      <c r="G940" t="s">
        <v>1069</v>
      </c>
      <c r="H940" t="s">
        <v>3090</v>
      </c>
      <c r="I940" t="s">
        <v>1069</v>
      </c>
    </row>
    <row r="941" spans="1:9">
      <c r="A941" t="s">
        <v>3091</v>
      </c>
      <c r="B941" t="s">
        <v>1089</v>
      </c>
      <c r="C941" t="s">
        <v>1069</v>
      </c>
      <c r="D941" t="s">
        <v>1070</v>
      </c>
      <c r="E941" t="s">
        <v>1069</v>
      </c>
      <c r="F941" t="s">
        <v>1171</v>
      </c>
      <c r="G941" t="s">
        <v>1069</v>
      </c>
      <c r="H941" t="s">
        <v>2667</v>
      </c>
      <c r="I941" t="s">
        <v>1069</v>
      </c>
    </row>
    <row r="942" spans="1:9">
      <c r="A942" t="s">
        <v>3092</v>
      </c>
      <c r="B942" t="s">
        <v>1098</v>
      </c>
      <c r="C942" t="s">
        <v>1069</v>
      </c>
      <c r="D942" t="s">
        <v>1110</v>
      </c>
      <c r="E942" t="s">
        <v>1069</v>
      </c>
      <c r="F942" t="s">
        <v>1534</v>
      </c>
      <c r="G942" t="s">
        <v>1069</v>
      </c>
      <c r="H942" t="s">
        <v>3093</v>
      </c>
      <c r="I942" t="s">
        <v>1069</v>
      </c>
    </row>
    <row r="943" spans="1:9">
      <c r="A943" t="s">
        <v>3094</v>
      </c>
      <c r="B943" t="s">
        <v>1162</v>
      </c>
      <c r="C943" t="s">
        <v>1069</v>
      </c>
      <c r="D943" t="s">
        <v>1076</v>
      </c>
      <c r="E943" t="s">
        <v>1069</v>
      </c>
      <c r="F943" t="s">
        <v>1180</v>
      </c>
      <c r="G943" t="s">
        <v>1069</v>
      </c>
      <c r="H943" t="s">
        <v>1428</v>
      </c>
      <c r="I943" t="s">
        <v>1069</v>
      </c>
    </row>
    <row r="944" spans="1:9">
      <c r="A944" t="s">
        <v>3095</v>
      </c>
      <c r="B944" t="s">
        <v>1328</v>
      </c>
      <c r="C944" t="s">
        <v>1069</v>
      </c>
      <c r="D944" t="s">
        <v>1163</v>
      </c>
      <c r="E944" t="s">
        <v>1069</v>
      </c>
      <c r="F944" t="s">
        <v>1224</v>
      </c>
      <c r="G944" t="s">
        <v>1069</v>
      </c>
      <c r="H944" t="s">
        <v>3096</v>
      </c>
      <c r="I944" t="s">
        <v>1069</v>
      </c>
    </row>
    <row r="945" spans="1:9">
      <c r="A945" t="s">
        <v>3097</v>
      </c>
      <c r="B945" t="s">
        <v>1071</v>
      </c>
      <c r="C945" t="s">
        <v>1069</v>
      </c>
      <c r="D945" t="s">
        <v>1086</v>
      </c>
      <c r="E945" t="s">
        <v>1069</v>
      </c>
      <c r="F945" t="s">
        <v>1317</v>
      </c>
      <c r="G945" t="s">
        <v>1069</v>
      </c>
      <c r="H945" t="s">
        <v>3098</v>
      </c>
      <c r="I945" t="s">
        <v>1069</v>
      </c>
    </row>
    <row r="946" spans="1:9">
      <c r="A946" t="s">
        <v>3099</v>
      </c>
      <c r="B946" t="s">
        <v>1427</v>
      </c>
      <c r="C946" t="s">
        <v>1069</v>
      </c>
      <c r="D946" t="s">
        <v>1086</v>
      </c>
      <c r="E946" t="s">
        <v>1069</v>
      </c>
      <c r="F946" t="s">
        <v>1317</v>
      </c>
      <c r="G946" t="s">
        <v>1069</v>
      </c>
      <c r="H946" t="s">
        <v>3100</v>
      </c>
      <c r="I946" t="s">
        <v>1069</v>
      </c>
    </row>
    <row r="947" spans="1:9">
      <c r="A947" t="s">
        <v>3101</v>
      </c>
      <c r="B947" t="s">
        <v>1122</v>
      </c>
      <c r="C947" t="s">
        <v>1069</v>
      </c>
      <c r="D947" t="s">
        <v>1234</v>
      </c>
      <c r="E947" t="s">
        <v>1069</v>
      </c>
      <c r="F947" t="s">
        <v>1227</v>
      </c>
      <c r="G947" t="s">
        <v>1069</v>
      </c>
      <c r="H947" t="s">
        <v>3102</v>
      </c>
      <c r="I947" t="s">
        <v>1069</v>
      </c>
    </row>
    <row r="948" spans="1:9">
      <c r="A948" t="s">
        <v>3103</v>
      </c>
      <c r="B948" t="s">
        <v>1140</v>
      </c>
      <c r="C948" t="s">
        <v>1069</v>
      </c>
      <c r="D948" t="s">
        <v>1104</v>
      </c>
      <c r="E948" t="s">
        <v>1069</v>
      </c>
      <c r="F948" t="s">
        <v>1227</v>
      </c>
      <c r="G948" t="s">
        <v>1069</v>
      </c>
      <c r="H948" t="s">
        <v>3104</v>
      </c>
      <c r="I948" t="s">
        <v>1069</v>
      </c>
    </row>
    <row r="949" spans="1:9">
      <c r="A949" t="s">
        <v>3105</v>
      </c>
      <c r="B949" t="s">
        <v>1090</v>
      </c>
      <c r="C949" t="s">
        <v>1069</v>
      </c>
      <c r="D949" t="s">
        <v>1110</v>
      </c>
      <c r="E949" t="s">
        <v>1069</v>
      </c>
      <c r="F949" t="s">
        <v>1595</v>
      </c>
      <c r="G949" t="s">
        <v>1069</v>
      </c>
      <c r="H949" t="s">
        <v>3106</v>
      </c>
      <c r="I949" t="s">
        <v>1069</v>
      </c>
    </row>
    <row r="950" spans="1:9">
      <c r="A950" t="s">
        <v>3107</v>
      </c>
      <c r="B950" t="s">
        <v>1068</v>
      </c>
      <c r="C950" t="s">
        <v>1069</v>
      </c>
      <c r="D950" t="s">
        <v>1094</v>
      </c>
      <c r="E950" t="s">
        <v>1069</v>
      </c>
      <c r="F950" t="s">
        <v>1234</v>
      </c>
      <c r="G950" t="s">
        <v>1069</v>
      </c>
      <c r="H950" t="s">
        <v>3108</v>
      </c>
      <c r="I950" t="s">
        <v>1069</v>
      </c>
    </row>
    <row r="951" spans="1:9">
      <c r="A951" t="s">
        <v>3109</v>
      </c>
      <c r="B951" t="s">
        <v>1107</v>
      </c>
      <c r="C951" t="s">
        <v>1069</v>
      </c>
      <c r="D951" t="s">
        <v>1139</v>
      </c>
      <c r="E951" t="s">
        <v>1069</v>
      </c>
      <c r="F951" t="s">
        <v>1084</v>
      </c>
      <c r="G951" t="s">
        <v>1069</v>
      </c>
      <c r="H951" t="s">
        <v>3110</v>
      </c>
      <c r="I951" t="s">
        <v>1069</v>
      </c>
    </row>
    <row r="952" spans="1:9">
      <c r="A952" t="s">
        <v>3111</v>
      </c>
      <c r="B952" t="s">
        <v>1260</v>
      </c>
      <c r="C952" t="s">
        <v>1069</v>
      </c>
      <c r="D952" t="s">
        <v>1113</v>
      </c>
      <c r="E952" t="s">
        <v>1069</v>
      </c>
      <c r="F952" t="s">
        <v>1310</v>
      </c>
      <c r="G952" t="s">
        <v>1069</v>
      </c>
      <c r="H952" t="s">
        <v>3112</v>
      </c>
      <c r="I952" t="s">
        <v>1069</v>
      </c>
    </row>
    <row r="953" spans="1:9">
      <c r="A953" t="s">
        <v>3113</v>
      </c>
      <c r="B953" t="s">
        <v>1116</v>
      </c>
      <c r="C953" t="s">
        <v>1069</v>
      </c>
      <c r="D953" t="s">
        <v>1129</v>
      </c>
      <c r="E953" t="s">
        <v>1069</v>
      </c>
      <c r="F953" t="s">
        <v>1079</v>
      </c>
      <c r="G953" t="s">
        <v>1069</v>
      </c>
      <c r="H953" t="s">
        <v>3114</v>
      </c>
      <c r="I953" t="s">
        <v>1069</v>
      </c>
    </row>
    <row r="954" spans="1:9">
      <c r="A954" t="s">
        <v>3115</v>
      </c>
      <c r="B954" t="s">
        <v>1129</v>
      </c>
      <c r="C954" t="s">
        <v>1069</v>
      </c>
      <c r="D954" t="s">
        <v>1079</v>
      </c>
      <c r="E954" t="s">
        <v>1069</v>
      </c>
      <c r="F954" t="s">
        <v>1504</v>
      </c>
      <c r="G954" t="s">
        <v>1069</v>
      </c>
      <c r="H954" t="s">
        <v>2439</v>
      </c>
      <c r="I954" t="s">
        <v>1069</v>
      </c>
    </row>
    <row r="955" spans="1:9">
      <c r="A955" t="s">
        <v>3116</v>
      </c>
      <c r="B955" t="s">
        <v>1103</v>
      </c>
      <c r="C955" t="s">
        <v>1069</v>
      </c>
      <c r="D955" t="s">
        <v>1094</v>
      </c>
      <c r="E955" t="s">
        <v>1069</v>
      </c>
      <c r="F955" t="s">
        <v>1080</v>
      </c>
      <c r="G955" t="s">
        <v>1069</v>
      </c>
      <c r="H955" t="s">
        <v>1877</v>
      </c>
      <c r="I955" t="s">
        <v>1069</v>
      </c>
    </row>
    <row r="956" spans="1:9">
      <c r="A956" t="s">
        <v>3117</v>
      </c>
      <c r="B956" t="s">
        <v>1085</v>
      </c>
      <c r="C956" t="s">
        <v>1069</v>
      </c>
      <c r="D956" t="s">
        <v>1242</v>
      </c>
      <c r="E956" t="s">
        <v>1069</v>
      </c>
      <c r="F956" t="s">
        <v>1238</v>
      </c>
      <c r="G956" t="s">
        <v>1069</v>
      </c>
      <c r="H956" t="s">
        <v>3118</v>
      </c>
      <c r="I956" t="s">
        <v>1069</v>
      </c>
    </row>
    <row r="957" spans="1:9">
      <c r="A957" t="s">
        <v>3119</v>
      </c>
      <c r="B957" t="s">
        <v>1071</v>
      </c>
      <c r="C957" t="s">
        <v>1069</v>
      </c>
      <c r="D957" t="s">
        <v>1166</v>
      </c>
      <c r="E957" t="s">
        <v>1069</v>
      </c>
      <c r="F957" t="s">
        <v>1184</v>
      </c>
      <c r="G957" t="s">
        <v>1069</v>
      </c>
      <c r="H957" t="s">
        <v>3120</v>
      </c>
      <c r="I957" t="s">
        <v>1069</v>
      </c>
    </row>
    <row r="958" spans="1:9">
      <c r="A958" t="s">
        <v>3121</v>
      </c>
      <c r="B958" t="s">
        <v>1184</v>
      </c>
      <c r="C958" t="s">
        <v>1069</v>
      </c>
      <c r="D958" t="s">
        <v>1163</v>
      </c>
      <c r="E958" t="s">
        <v>1069</v>
      </c>
      <c r="F958" t="s">
        <v>2049</v>
      </c>
      <c r="G958" t="s">
        <v>1069</v>
      </c>
      <c r="H958" t="s">
        <v>3122</v>
      </c>
      <c r="I958" t="s">
        <v>1069</v>
      </c>
    </row>
    <row r="959" spans="1:9">
      <c r="A959" t="s">
        <v>3123</v>
      </c>
      <c r="B959" t="s">
        <v>1216</v>
      </c>
      <c r="C959" t="s">
        <v>1069</v>
      </c>
      <c r="D959" t="s">
        <v>1168</v>
      </c>
      <c r="E959" t="s">
        <v>1069</v>
      </c>
      <c r="F959" t="s">
        <v>1235</v>
      </c>
      <c r="G959" t="s">
        <v>1069</v>
      </c>
      <c r="H959" t="s">
        <v>3124</v>
      </c>
      <c r="I959" t="s">
        <v>1069</v>
      </c>
    </row>
    <row r="960" spans="1:9">
      <c r="A960" t="s">
        <v>3125</v>
      </c>
      <c r="B960" t="s">
        <v>1579</v>
      </c>
      <c r="C960" t="s">
        <v>1069</v>
      </c>
      <c r="D960" t="s">
        <v>1207</v>
      </c>
      <c r="E960" t="s">
        <v>1069</v>
      </c>
      <c r="F960" t="s">
        <v>1181</v>
      </c>
      <c r="G960" t="s">
        <v>1069</v>
      </c>
      <c r="H960" t="s">
        <v>3126</v>
      </c>
      <c r="I960" t="s">
        <v>1069</v>
      </c>
    </row>
    <row r="961" spans="1:9">
      <c r="A961" t="s">
        <v>3127</v>
      </c>
      <c r="B961" t="s">
        <v>1256</v>
      </c>
      <c r="C961" t="s">
        <v>1069</v>
      </c>
      <c r="D961" t="s">
        <v>1191</v>
      </c>
      <c r="E961" t="s">
        <v>1069</v>
      </c>
      <c r="F961" t="s">
        <v>1181</v>
      </c>
      <c r="G961" t="s">
        <v>1069</v>
      </c>
      <c r="H961" t="s">
        <v>3128</v>
      </c>
      <c r="I961" t="s">
        <v>1069</v>
      </c>
    </row>
    <row r="962" spans="1:9">
      <c r="A962" t="s">
        <v>3129</v>
      </c>
      <c r="B962" t="s">
        <v>1242</v>
      </c>
      <c r="C962" t="s">
        <v>1069</v>
      </c>
      <c r="D962" t="s">
        <v>1071</v>
      </c>
      <c r="E962" t="s">
        <v>1069</v>
      </c>
      <c r="F962" t="s">
        <v>1175</v>
      </c>
      <c r="G962" t="s">
        <v>1069</v>
      </c>
      <c r="H962" t="s">
        <v>1155</v>
      </c>
      <c r="I962" t="s">
        <v>1069</v>
      </c>
    </row>
    <row r="963" spans="1:9">
      <c r="A963" t="s">
        <v>3130</v>
      </c>
      <c r="B963" t="s">
        <v>1234</v>
      </c>
      <c r="C963" t="s">
        <v>1069</v>
      </c>
      <c r="D963" t="s">
        <v>1223</v>
      </c>
      <c r="E963" t="s">
        <v>1069</v>
      </c>
      <c r="F963" t="s">
        <v>1179</v>
      </c>
      <c r="G963" t="s">
        <v>1069</v>
      </c>
      <c r="H963" t="s">
        <v>3131</v>
      </c>
      <c r="I963" t="s">
        <v>1069</v>
      </c>
    </row>
    <row r="964" spans="1:9">
      <c r="A964" t="s">
        <v>3132</v>
      </c>
      <c r="B964" t="s">
        <v>1167</v>
      </c>
      <c r="C964" t="s">
        <v>1069</v>
      </c>
      <c r="D964" t="s">
        <v>1317</v>
      </c>
      <c r="E964" t="s">
        <v>1069</v>
      </c>
      <c r="F964" t="s">
        <v>1212</v>
      </c>
      <c r="G964" t="s">
        <v>1069</v>
      </c>
      <c r="H964" t="s">
        <v>2096</v>
      </c>
      <c r="I964" t="s">
        <v>1069</v>
      </c>
    </row>
    <row r="965" spans="1:9">
      <c r="A965" t="s">
        <v>3133</v>
      </c>
      <c r="B965" t="s">
        <v>1199</v>
      </c>
      <c r="C965" t="s">
        <v>1069</v>
      </c>
      <c r="D965" t="s">
        <v>1203</v>
      </c>
      <c r="E965" t="s">
        <v>1069</v>
      </c>
      <c r="F965" t="s">
        <v>1400</v>
      </c>
      <c r="G965" t="s">
        <v>1069</v>
      </c>
      <c r="H965" t="s">
        <v>3134</v>
      </c>
      <c r="I965" t="s">
        <v>1069</v>
      </c>
    </row>
    <row r="966" spans="1:9">
      <c r="A966" t="s">
        <v>3135</v>
      </c>
      <c r="B966" t="s">
        <v>1231</v>
      </c>
      <c r="C966" t="s">
        <v>1069</v>
      </c>
      <c r="D966" t="s">
        <v>1184</v>
      </c>
      <c r="E966" t="s">
        <v>1069</v>
      </c>
      <c r="F966" t="s">
        <v>1911</v>
      </c>
      <c r="G966" t="s">
        <v>1069</v>
      </c>
      <c r="H966" t="s">
        <v>3136</v>
      </c>
      <c r="I966" t="s">
        <v>1069</v>
      </c>
    </row>
    <row r="967" spans="1:9">
      <c r="A967" t="s">
        <v>3137</v>
      </c>
      <c r="B967" t="s">
        <v>1140</v>
      </c>
      <c r="C967" t="s">
        <v>1069</v>
      </c>
      <c r="D967" t="s">
        <v>1085</v>
      </c>
      <c r="E967" t="s">
        <v>1069</v>
      </c>
      <c r="F967" t="s">
        <v>1099</v>
      </c>
      <c r="G967" t="s">
        <v>1069</v>
      </c>
      <c r="H967" t="s">
        <v>3138</v>
      </c>
      <c r="I967" t="s">
        <v>1069</v>
      </c>
    </row>
    <row r="968" spans="1:9">
      <c r="A968" t="s">
        <v>3139</v>
      </c>
      <c r="B968" t="s">
        <v>1310</v>
      </c>
      <c r="C968" t="s">
        <v>1069</v>
      </c>
      <c r="D968" t="s">
        <v>1098</v>
      </c>
      <c r="E968" t="s">
        <v>1069</v>
      </c>
      <c r="F968" t="s">
        <v>1110</v>
      </c>
      <c r="G968" t="s">
        <v>1069</v>
      </c>
      <c r="H968" t="s">
        <v>3140</v>
      </c>
      <c r="I968" t="s">
        <v>1069</v>
      </c>
    </row>
    <row r="969" spans="1:9">
      <c r="A969" t="s">
        <v>3141</v>
      </c>
      <c r="B969" t="s">
        <v>1102</v>
      </c>
      <c r="C969" t="s">
        <v>1069</v>
      </c>
      <c r="D969" t="s">
        <v>1089</v>
      </c>
      <c r="E969" t="s">
        <v>1069</v>
      </c>
      <c r="F969" t="s">
        <v>1070</v>
      </c>
      <c r="G969" t="s">
        <v>1069</v>
      </c>
      <c r="H969" t="s">
        <v>1407</v>
      </c>
      <c r="I969" t="s">
        <v>1069</v>
      </c>
    </row>
    <row r="970" spans="1:9">
      <c r="A970" t="s">
        <v>3142</v>
      </c>
      <c r="B970" t="s">
        <v>1504</v>
      </c>
      <c r="C970" t="s">
        <v>1069</v>
      </c>
      <c r="D970" t="s">
        <v>1110</v>
      </c>
      <c r="E970" t="s">
        <v>1069</v>
      </c>
      <c r="F970" t="s">
        <v>1238</v>
      </c>
      <c r="G970" t="s">
        <v>1069</v>
      </c>
      <c r="H970" t="s">
        <v>3143</v>
      </c>
      <c r="I970" t="s">
        <v>1069</v>
      </c>
    </row>
    <row r="971" spans="1:9">
      <c r="A971" t="s">
        <v>3144</v>
      </c>
      <c r="B971" t="s">
        <v>1076</v>
      </c>
      <c r="C971" t="s">
        <v>1069</v>
      </c>
      <c r="D971" t="s">
        <v>1179</v>
      </c>
      <c r="E971" t="s">
        <v>1069</v>
      </c>
      <c r="F971" t="s">
        <v>1216</v>
      </c>
      <c r="G971" t="s">
        <v>1069</v>
      </c>
      <c r="H971" t="s">
        <v>3145</v>
      </c>
      <c r="I971" t="s">
        <v>1069</v>
      </c>
    </row>
    <row r="972" spans="1:9">
      <c r="A972" t="s">
        <v>3146</v>
      </c>
      <c r="B972" t="s">
        <v>1086</v>
      </c>
      <c r="C972" t="s">
        <v>1069</v>
      </c>
      <c r="D972" t="s">
        <v>1167</v>
      </c>
      <c r="E972" t="s">
        <v>1069</v>
      </c>
      <c r="F972" t="s">
        <v>1191</v>
      </c>
      <c r="G972" t="s">
        <v>1069</v>
      </c>
      <c r="H972" t="s">
        <v>3147</v>
      </c>
      <c r="I972" t="s">
        <v>1069</v>
      </c>
    </row>
    <row r="973" spans="1:9">
      <c r="A973" t="s">
        <v>3148</v>
      </c>
      <c r="B973" t="s">
        <v>1166</v>
      </c>
      <c r="C973" t="s">
        <v>1069</v>
      </c>
      <c r="D973" t="s">
        <v>1179</v>
      </c>
      <c r="E973" t="s">
        <v>1069</v>
      </c>
      <c r="F973" t="s">
        <v>1195</v>
      </c>
      <c r="G973" t="s">
        <v>1069</v>
      </c>
      <c r="H973" t="s">
        <v>3149</v>
      </c>
      <c r="I973" t="s">
        <v>1069</v>
      </c>
    </row>
    <row r="974" spans="1:9">
      <c r="A974" t="s">
        <v>3150</v>
      </c>
      <c r="B974" t="s">
        <v>1166</v>
      </c>
      <c r="C974" t="s">
        <v>1069</v>
      </c>
      <c r="D974" t="s">
        <v>1179</v>
      </c>
      <c r="E974" t="s">
        <v>1069</v>
      </c>
      <c r="F974" t="s">
        <v>1195</v>
      </c>
      <c r="G974" t="s">
        <v>1069</v>
      </c>
      <c r="H974" t="s">
        <v>3151</v>
      </c>
      <c r="I974" t="s">
        <v>1069</v>
      </c>
    </row>
    <row r="975" spans="1:9">
      <c r="A975" t="s">
        <v>3152</v>
      </c>
      <c r="B975" t="s">
        <v>1076</v>
      </c>
      <c r="C975" t="s">
        <v>1069</v>
      </c>
      <c r="D975" t="s">
        <v>1227</v>
      </c>
      <c r="E975" t="s">
        <v>1069</v>
      </c>
      <c r="F975" t="s">
        <v>1191</v>
      </c>
      <c r="G975" t="s">
        <v>1069</v>
      </c>
      <c r="H975" t="s">
        <v>3153</v>
      </c>
      <c r="I975" t="s">
        <v>1069</v>
      </c>
    </row>
    <row r="976" spans="1:9">
      <c r="A976" t="s">
        <v>3154</v>
      </c>
      <c r="B976" t="s">
        <v>1162</v>
      </c>
      <c r="C976" t="s">
        <v>1069</v>
      </c>
      <c r="D976" t="s">
        <v>1534</v>
      </c>
      <c r="E976" t="s">
        <v>1069</v>
      </c>
      <c r="F976" t="s">
        <v>1081</v>
      </c>
      <c r="G976" t="s">
        <v>1069</v>
      </c>
      <c r="H976" t="s">
        <v>3155</v>
      </c>
      <c r="I976" t="s">
        <v>1069</v>
      </c>
    </row>
    <row r="977" spans="1:9">
      <c r="A977" t="s">
        <v>3156</v>
      </c>
      <c r="B977" t="s">
        <v>1075</v>
      </c>
      <c r="C977" t="s">
        <v>1069</v>
      </c>
      <c r="D977" t="s">
        <v>1104</v>
      </c>
      <c r="E977" t="s">
        <v>1069</v>
      </c>
      <c r="F977" t="s">
        <v>1099</v>
      </c>
      <c r="G977" t="s">
        <v>1069</v>
      </c>
      <c r="H977" t="s">
        <v>3157</v>
      </c>
      <c r="I977" t="s">
        <v>1069</v>
      </c>
    </row>
    <row r="978" spans="1:9">
      <c r="A978" t="s">
        <v>3158</v>
      </c>
      <c r="B978" t="s">
        <v>1144</v>
      </c>
      <c r="C978" t="s">
        <v>1069</v>
      </c>
      <c r="D978" t="s">
        <v>1070</v>
      </c>
      <c r="E978" t="s">
        <v>1069</v>
      </c>
      <c r="F978" t="s">
        <v>1266</v>
      </c>
      <c r="G978" t="s">
        <v>1069</v>
      </c>
      <c r="H978" t="s">
        <v>3159</v>
      </c>
      <c r="I978" t="s">
        <v>1069</v>
      </c>
    </row>
    <row r="979" spans="1:9">
      <c r="A979" t="s">
        <v>3160</v>
      </c>
      <c r="B979" t="s">
        <v>1079</v>
      </c>
      <c r="C979" t="s">
        <v>1069</v>
      </c>
      <c r="D979" t="s">
        <v>1094</v>
      </c>
      <c r="E979" t="s">
        <v>1069</v>
      </c>
      <c r="F979" t="s">
        <v>1070</v>
      </c>
      <c r="G979" t="s">
        <v>1069</v>
      </c>
      <c r="H979" t="s">
        <v>3161</v>
      </c>
      <c r="I979" t="s">
        <v>1069</v>
      </c>
    </row>
    <row r="980" spans="1:9">
      <c r="A980" t="s">
        <v>3162</v>
      </c>
      <c r="B980" t="s">
        <v>1089</v>
      </c>
      <c r="C980" t="s">
        <v>1069</v>
      </c>
      <c r="D980" t="s">
        <v>1103</v>
      </c>
      <c r="E980" t="s">
        <v>1069</v>
      </c>
      <c r="F980" t="s">
        <v>1090</v>
      </c>
      <c r="G980" t="s">
        <v>1069</v>
      </c>
      <c r="H980" t="s">
        <v>3163</v>
      </c>
      <c r="I980" t="s">
        <v>1069</v>
      </c>
    </row>
    <row r="981" spans="1:9">
      <c r="A981" t="s">
        <v>3164</v>
      </c>
      <c r="B981" t="s">
        <v>1089</v>
      </c>
      <c r="C981" t="s">
        <v>1069</v>
      </c>
      <c r="D981" t="s">
        <v>1084</v>
      </c>
      <c r="E981" t="s">
        <v>1069</v>
      </c>
      <c r="F981" t="s">
        <v>1080</v>
      </c>
      <c r="G981" t="s">
        <v>1069</v>
      </c>
      <c r="H981" t="s">
        <v>3165</v>
      </c>
      <c r="I981" t="s">
        <v>1069</v>
      </c>
    </row>
    <row r="982" spans="1:9">
      <c r="A982" t="s">
        <v>3166</v>
      </c>
      <c r="B982" t="s">
        <v>1068</v>
      </c>
      <c r="C982" t="s">
        <v>1069</v>
      </c>
      <c r="D982" t="s">
        <v>1098</v>
      </c>
      <c r="E982" t="s">
        <v>1069</v>
      </c>
      <c r="F982" t="s">
        <v>1110</v>
      </c>
      <c r="G982" t="s">
        <v>1069</v>
      </c>
      <c r="H982" t="s">
        <v>3167</v>
      </c>
      <c r="I982" t="s">
        <v>1069</v>
      </c>
    </row>
    <row r="983" spans="1:9">
      <c r="A983" t="s">
        <v>3168</v>
      </c>
      <c r="B983" t="s">
        <v>1139</v>
      </c>
      <c r="C983" t="s">
        <v>1069</v>
      </c>
      <c r="D983" t="s">
        <v>1074</v>
      </c>
      <c r="E983" t="s">
        <v>1069</v>
      </c>
      <c r="F983" t="s">
        <v>1504</v>
      </c>
      <c r="G983" t="s">
        <v>1069</v>
      </c>
      <c r="H983" t="s">
        <v>3169</v>
      </c>
      <c r="I983" t="s">
        <v>1069</v>
      </c>
    </row>
    <row r="984" spans="1:9">
      <c r="A984" t="s">
        <v>3170</v>
      </c>
      <c r="B984" t="s">
        <v>1116</v>
      </c>
      <c r="C984" t="s">
        <v>1069</v>
      </c>
      <c r="D984" t="s">
        <v>1129</v>
      </c>
      <c r="E984" t="s">
        <v>1069</v>
      </c>
      <c r="F984" t="s">
        <v>1074</v>
      </c>
      <c r="G984" t="s">
        <v>1069</v>
      </c>
      <c r="H984" t="s">
        <v>3171</v>
      </c>
      <c r="I984" t="s">
        <v>1069</v>
      </c>
    </row>
    <row r="985" spans="1:9">
      <c r="A985" t="s">
        <v>3172</v>
      </c>
      <c r="B985" t="s">
        <v>1310</v>
      </c>
      <c r="C985" t="s">
        <v>1069</v>
      </c>
      <c r="D985" t="s">
        <v>1079</v>
      </c>
      <c r="E985" t="s">
        <v>1069</v>
      </c>
      <c r="F985" t="s">
        <v>1140</v>
      </c>
      <c r="G985" t="s">
        <v>1069</v>
      </c>
      <c r="H985" t="s">
        <v>3173</v>
      </c>
      <c r="I985" t="s">
        <v>1069</v>
      </c>
    </row>
    <row r="986" spans="1:9">
      <c r="A986" t="s">
        <v>3174</v>
      </c>
      <c r="B986" t="s">
        <v>1310</v>
      </c>
      <c r="C986" t="s">
        <v>1069</v>
      </c>
      <c r="D986" t="s">
        <v>1103</v>
      </c>
      <c r="E986" t="s">
        <v>1069</v>
      </c>
      <c r="F986" t="s">
        <v>1080</v>
      </c>
      <c r="G986" t="s">
        <v>1069</v>
      </c>
      <c r="H986" t="s">
        <v>3175</v>
      </c>
      <c r="I986" t="s">
        <v>1069</v>
      </c>
    </row>
    <row r="987" spans="1:9">
      <c r="A987" t="s">
        <v>3176</v>
      </c>
      <c r="B987" t="s">
        <v>1116</v>
      </c>
      <c r="C987" t="s">
        <v>1069</v>
      </c>
      <c r="D987" t="s">
        <v>1310</v>
      </c>
      <c r="E987" t="s">
        <v>1069</v>
      </c>
      <c r="F987" t="s">
        <v>1098</v>
      </c>
      <c r="G987" t="s">
        <v>1069</v>
      </c>
      <c r="H987" t="s">
        <v>3177</v>
      </c>
      <c r="I987" t="s">
        <v>1069</v>
      </c>
    </row>
    <row r="988" spans="1:9">
      <c r="A988" t="s">
        <v>3178</v>
      </c>
      <c r="B988" t="s">
        <v>1102</v>
      </c>
      <c r="C988" t="s">
        <v>1069</v>
      </c>
      <c r="D988" t="s">
        <v>1139</v>
      </c>
      <c r="E988" t="s">
        <v>1069</v>
      </c>
      <c r="F988" t="s">
        <v>1103</v>
      </c>
      <c r="G988" t="s">
        <v>1069</v>
      </c>
      <c r="H988" t="s">
        <v>3179</v>
      </c>
      <c r="I988" t="s">
        <v>1069</v>
      </c>
    </row>
    <row r="989" spans="1:9">
      <c r="A989" t="s">
        <v>3180</v>
      </c>
      <c r="B989" t="s">
        <v>1129</v>
      </c>
      <c r="C989" t="s">
        <v>1069</v>
      </c>
      <c r="D989" t="s">
        <v>1079</v>
      </c>
      <c r="E989" t="s">
        <v>1069</v>
      </c>
      <c r="F989" t="s">
        <v>1144</v>
      </c>
      <c r="G989" t="s">
        <v>1069</v>
      </c>
      <c r="H989" t="s">
        <v>3181</v>
      </c>
      <c r="I989" t="s">
        <v>1069</v>
      </c>
    </row>
    <row r="990" spans="1:9">
      <c r="A990" t="s">
        <v>3182</v>
      </c>
      <c r="B990" t="s">
        <v>1139</v>
      </c>
      <c r="C990" t="s">
        <v>1069</v>
      </c>
      <c r="D990" t="s">
        <v>1079</v>
      </c>
      <c r="E990" t="s">
        <v>1069</v>
      </c>
      <c r="F990" t="s">
        <v>1122</v>
      </c>
      <c r="G990" t="s">
        <v>1069</v>
      </c>
      <c r="H990" t="s">
        <v>3183</v>
      </c>
      <c r="I990" t="s">
        <v>1069</v>
      </c>
    </row>
    <row r="991" spans="1:9">
      <c r="A991" t="s">
        <v>3184</v>
      </c>
      <c r="B991" t="s">
        <v>1102</v>
      </c>
      <c r="C991" t="s">
        <v>1069</v>
      </c>
      <c r="D991" t="s">
        <v>1089</v>
      </c>
      <c r="E991" t="s">
        <v>1069</v>
      </c>
      <c r="F991" t="s">
        <v>1242</v>
      </c>
      <c r="G991" t="s">
        <v>1069</v>
      </c>
      <c r="H991" t="s">
        <v>3185</v>
      </c>
      <c r="I991" t="s">
        <v>1069</v>
      </c>
    </row>
    <row r="992" spans="1:9">
      <c r="A992" t="s">
        <v>3186</v>
      </c>
      <c r="B992" t="s">
        <v>1103</v>
      </c>
      <c r="C992" t="s">
        <v>1069</v>
      </c>
      <c r="D992" t="s">
        <v>1090</v>
      </c>
      <c r="E992" t="s">
        <v>1069</v>
      </c>
      <c r="F992" t="s">
        <v>1071</v>
      </c>
      <c r="G992" t="s">
        <v>1069</v>
      </c>
      <c r="H992" t="s">
        <v>3187</v>
      </c>
      <c r="I992" t="s">
        <v>1069</v>
      </c>
    </row>
    <row r="993" spans="1:9">
      <c r="A993" t="s">
        <v>3188</v>
      </c>
      <c r="B993" t="s">
        <v>1436</v>
      </c>
      <c r="C993" t="s">
        <v>1069</v>
      </c>
      <c r="D993" t="s">
        <v>1504</v>
      </c>
      <c r="E993" t="s">
        <v>1069</v>
      </c>
      <c r="F993" t="s">
        <v>1162</v>
      </c>
      <c r="G993" t="s">
        <v>1069</v>
      </c>
      <c r="H993" t="s">
        <v>3189</v>
      </c>
      <c r="I993" t="s">
        <v>1069</v>
      </c>
    </row>
    <row r="994" spans="1:9">
      <c r="A994" t="s">
        <v>3190</v>
      </c>
      <c r="B994" t="s">
        <v>1436</v>
      </c>
      <c r="C994" t="s">
        <v>1069</v>
      </c>
      <c r="D994" t="s">
        <v>1070</v>
      </c>
      <c r="E994" t="s">
        <v>1069</v>
      </c>
      <c r="F994" t="s">
        <v>1238</v>
      </c>
      <c r="G994" t="s">
        <v>1069</v>
      </c>
      <c r="H994" t="s">
        <v>3191</v>
      </c>
      <c r="I994" t="s">
        <v>1069</v>
      </c>
    </row>
    <row r="995" spans="1:9">
      <c r="A995" t="s">
        <v>3192</v>
      </c>
      <c r="B995" t="s">
        <v>1089</v>
      </c>
      <c r="C995" t="s">
        <v>1069</v>
      </c>
      <c r="D995" t="s">
        <v>1094</v>
      </c>
      <c r="E995" t="s">
        <v>1069</v>
      </c>
      <c r="F995" t="s">
        <v>1227</v>
      </c>
      <c r="G995" t="s">
        <v>1069</v>
      </c>
      <c r="H995" t="s">
        <v>3193</v>
      </c>
      <c r="I995" t="s">
        <v>1069</v>
      </c>
    </row>
    <row r="996" spans="1:9">
      <c r="A996" t="s">
        <v>3194</v>
      </c>
      <c r="B996" t="s">
        <v>1068</v>
      </c>
      <c r="C996" t="s">
        <v>1069</v>
      </c>
      <c r="D996" t="s">
        <v>1090</v>
      </c>
      <c r="E996" t="s">
        <v>1069</v>
      </c>
      <c r="F996" t="s">
        <v>1167</v>
      </c>
      <c r="G996" t="s">
        <v>1069</v>
      </c>
      <c r="H996" t="s">
        <v>3195</v>
      </c>
      <c r="I996" t="s">
        <v>1069</v>
      </c>
    </row>
    <row r="997" spans="1:9">
      <c r="A997" t="s">
        <v>3196</v>
      </c>
      <c r="B997" t="s">
        <v>1113</v>
      </c>
      <c r="C997" t="s">
        <v>1069</v>
      </c>
      <c r="D997" t="s">
        <v>1084</v>
      </c>
      <c r="E997" t="s">
        <v>1069</v>
      </c>
      <c r="F997" t="s">
        <v>1231</v>
      </c>
      <c r="G997" t="s">
        <v>1069</v>
      </c>
      <c r="H997" t="s">
        <v>3197</v>
      </c>
      <c r="I997" t="s">
        <v>1069</v>
      </c>
    </row>
    <row r="998" spans="1:9">
      <c r="A998" t="s">
        <v>3198</v>
      </c>
      <c r="B998" t="s">
        <v>1068</v>
      </c>
      <c r="C998" t="s">
        <v>1069</v>
      </c>
      <c r="D998" t="s">
        <v>1070</v>
      </c>
      <c r="E998" t="s">
        <v>1069</v>
      </c>
      <c r="F998" t="s">
        <v>1414</v>
      </c>
      <c r="G998" t="s">
        <v>1069</v>
      </c>
      <c r="H998" t="s">
        <v>3199</v>
      </c>
      <c r="I998" t="s">
        <v>1069</v>
      </c>
    </row>
    <row r="999" spans="1:9">
      <c r="A999" t="s">
        <v>3200</v>
      </c>
      <c r="B999" t="s">
        <v>1276</v>
      </c>
      <c r="C999" t="s">
        <v>1069</v>
      </c>
      <c r="D999" t="s">
        <v>1095</v>
      </c>
      <c r="E999" t="s">
        <v>1069</v>
      </c>
      <c r="F999" t="s">
        <v>1176</v>
      </c>
      <c r="G999" t="s">
        <v>1069</v>
      </c>
      <c r="H999" t="s">
        <v>3201</v>
      </c>
      <c r="I999" t="s">
        <v>1069</v>
      </c>
    </row>
    <row r="1000" spans="1:9">
      <c r="A1000" t="s">
        <v>3202</v>
      </c>
      <c r="B1000" t="s">
        <v>1110</v>
      </c>
      <c r="C1000" t="s">
        <v>1069</v>
      </c>
      <c r="D1000" t="s">
        <v>1238</v>
      </c>
      <c r="E1000" t="s">
        <v>1069</v>
      </c>
      <c r="F1000" t="s">
        <v>2649</v>
      </c>
      <c r="G1000" t="s">
        <v>1069</v>
      </c>
      <c r="H1000" t="s">
        <v>3203</v>
      </c>
      <c r="I1000" t="s">
        <v>1069</v>
      </c>
    </row>
    <row r="1001" spans="1:9">
      <c r="A1001" t="s">
        <v>3204</v>
      </c>
      <c r="B1001" t="s">
        <v>1089</v>
      </c>
      <c r="C1001" t="s">
        <v>1069</v>
      </c>
      <c r="D1001" t="s">
        <v>1504</v>
      </c>
      <c r="E1001" t="s">
        <v>1069</v>
      </c>
      <c r="F1001" t="s">
        <v>1216</v>
      </c>
      <c r="G1001" t="s">
        <v>1069</v>
      </c>
      <c r="H1001" t="s">
        <v>3205</v>
      </c>
      <c r="I1001" t="s">
        <v>1069</v>
      </c>
    </row>
    <row r="1002" spans="1:9">
      <c r="A1002" t="s">
        <v>3206</v>
      </c>
      <c r="B1002" t="s">
        <v>1139</v>
      </c>
      <c r="C1002" t="s">
        <v>1069</v>
      </c>
      <c r="D1002" t="s">
        <v>1094</v>
      </c>
      <c r="E1002" t="s">
        <v>1069</v>
      </c>
      <c r="F1002" t="s">
        <v>1231</v>
      </c>
      <c r="G1002" t="s">
        <v>1069</v>
      </c>
      <c r="H1002" t="s">
        <v>3207</v>
      </c>
      <c r="I1002" t="s">
        <v>1069</v>
      </c>
    </row>
    <row r="1003" spans="1:9">
      <c r="A1003" t="s">
        <v>3208</v>
      </c>
      <c r="B1003" t="s">
        <v>1144</v>
      </c>
      <c r="C1003" t="s">
        <v>1069</v>
      </c>
      <c r="D1003" t="s">
        <v>1320</v>
      </c>
      <c r="E1003" t="s">
        <v>1069</v>
      </c>
      <c r="F1003" t="s">
        <v>1208</v>
      </c>
      <c r="G1003" t="s">
        <v>1069</v>
      </c>
      <c r="H1003" t="s">
        <v>1210</v>
      </c>
      <c r="I1003" t="s">
        <v>1069</v>
      </c>
    </row>
    <row r="1004" spans="1:9">
      <c r="A1004" t="s">
        <v>3209</v>
      </c>
      <c r="B1004" t="s">
        <v>1074</v>
      </c>
      <c r="C1004" t="s">
        <v>1069</v>
      </c>
      <c r="D1004" t="s">
        <v>1075</v>
      </c>
      <c r="E1004" t="s">
        <v>1069</v>
      </c>
      <c r="F1004" t="s">
        <v>1235</v>
      </c>
      <c r="G1004" t="s">
        <v>1069</v>
      </c>
      <c r="H1004" t="s">
        <v>3210</v>
      </c>
      <c r="I1004" t="s">
        <v>1069</v>
      </c>
    </row>
    <row r="1005" spans="1:9">
      <c r="A1005" t="s">
        <v>3211</v>
      </c>
      <c r="B1005" t="s">
        <v>1265</v>
      </c>
      <c r="C1005" t="s">
        <v>1069</v>
      </c>
      <c r="D1005" t="s">
        <v>1139</v>
      </c>
      <c r="E1005" t="s">
        <v>1069</v>
      </c>
      <c r="F1005" t="s">
        <v>1573</v>
      </c>
      <c r="G1005" t="s">
        <v>1069</v>
      </c>
      <c r="H1005" t="s">
        <v>2723</v>
      </c>
      <c r="I1005" t="s">
        <v>1069</v>
      </c>
    </row>
    <row r="1006" spans="1:9">
      <c r="A1006" t="s">
        <v>3212</v>
      </c>
      <c r="B1006" t="s">
        <v>1152</v>
      </c>
      <c r="C1006" t="s">
        <v>1069</v>
      </c>
      <c r="D1006" t="s">
        <v>1113</v>
      </c>
      <c r="E1006" t="s">
        <v>1069</v>
      </c>
      <c r="F1006" t="s">
        <v>1579</v>
      </c>
      <c r="G1006" t="s">
        <v>1069</v>
      </c>
      <c r="H1006" t="s">
        <v>1814</v>
      </c>
      <c r="I1006" t="s">
        <v>1069</v>
      </c>
    </row>
    <row r="1007" spans="1:9">
      <c r="A1007" t="s">
        <v>3213</v>
      </c>
      <c r="B1007" t="s">
        <v>1128</v>
      </c>
      <c r="C1007" t="s">
        <v>1069</v>
      </c>
      <c r="D1007" t="s">
        <v>1068</v>
      </c>
      <c r="E1007" t="s">
        <v>1069</v>
      </c>
      <c r="F1007" t="s">
        <v>1579</v>
      </c>
      <c r="G1007" t="s">
        <v>1069</v>
      </c>
      <c r="H1007" t="s">
        <v>1894</v>
      </c>
      <c r="I1007" t="s">
        <v>1069</v>
      </c>
    </row>
    <row r="1008" spans="1:9">
      <c r="A1008" t="s">
        <v>3214</v>
      </c>
      <c r="B1008" t="s">
        <v>1116</v>
      </c>
      <c r="C1008" t="s">
        <v>1069</v>
      </c>
      <c r="D1008" t="s">
        <v>1144</v>
      </c>
      <c r="E1008" t="s">
        <v>1069</v>
      </c>
      <c r="F1008" t="s">
        <v>1199</v>
      </c>
      <c r="G1008" t="s">
        <v>1069</v>
      </c>
      <c r="H1008" t="s">
        <v>3215</v>
      </c>
      <c r="I1008" t="s">
        <v>1069</v>
      </c>
    </row>
    <row r="1009" spans="1:9">
      <c r="A1009" t="s">
        <v>3216</v>
      </c>
      <c r="B1009" t="s">
        <v>1116</v>
      </c>
      <c r="C1009" t="s">
        <v>1069</v>
      </c>
      <c r="D1009" t="s">
        <v>1098</v>
      </c>
      <c r="E1009" t="s">
        <v>1069</v>
      </c>
      <c r="F1009" t="s">
        <v>1195</v>
      </c>
      <c r="G1009" t="s">
        <v>1069</v>
      </c>
      <c r="H1009" t="s">
        <v>3217</v>
      </c>
      <c r="I1009" t="s">
        <v>1069</v>
      </c>
    </row>
    <row r="1010" spans="1:9">
      <c r="A1010" t="s">
        <v>3218</v>
      </c>
      <c r="B1010" t="s">
        <v>1102</v>
      </c>
      <c r="C1010" t="s">
        <v>1069</v>
      </c>
      <c r="D1010" t="s">
        <v>1084</v>
      </c>
      <c r="E1010" t="s">
        <v>1069</v>
      </c>
      <c r="F1010" t="s">
        <v>1076</v>
      </c>
      <c r="G1010" t="s">
        <v>1069</v>
      </c>
      <c r="H1010" t="s">
        <v>2130</v>
      </c>
      <c r="I1010" t="s">
        <v>1069</v>
      </c>
    </row>
    <row r="1011" spans="1:9">
      <c r="A1011" t="s">
        <v>3219</v>
      </c>
      <c r="B1011" t="s">
        <v>1265</v>
      </c>
      <c r="C1011" t="s">
        <v>1069</v>
      </c>
      <c r="D1011" t="s">
        <v>1139</v>
      </c>
      <c r="E1011" t="s">
        <v>1069</v>
      </c>
      <c r="F1011" t="s">
        <v>1166</v>
      </c>
      <c r="G1011" t="s">
        <v>1069</v>
      </c>
      <c r="H1011" t="s">
        <v>2120</v>
      </c>
      <c r="I1011" t="s">
        <v>1069</v>
      </c>
    </row>
    <row r="1012" spans="1:9">
      <c r="A1012" t="s">
        <v>3220</v>
      </c>
      <c r="B1012" t="s">
        <v>1125</v>
      </c>
      <c r="C1012" t="s">
        <v>1069</v>
      </c>
      <c r="D1012" t="s">
        <v>1068</v>
      </c>
      <c r="E1012" t="s">
        <v>1069</v>
      </c>
      <c r="F1012" t="s">
        <v>1238</v>
      </c>
      <c r="G1012" t="s">
        <v>1069</v>
      </c>
      <c r="H1012" t="s">
        <v>2915</v>
      </c>
      <c r="I1012" t="s">
        <v>1069</v>
      </c>
    </row>
    <row r="1013" spans="1:9">
      <c r="A1013" t="s">
        <v>3221</v>
      </c>
      <c r="B1013" t="s">
        <v>1270</v>
      </c>
      <c r="C1013" t="s">
        <v>1069</v>
      </c>
      <c r="D1013" t="s">
        <v>1139</v>
      </c>
      <c r="E1013" t="s">
        <v>1069</v>
      </c>
      <c r="F1013" t="s">
        <v>1534</v>
      </c>
      <c r="G1013" t="s">
        <v>1069</v>
      </c>
      <c r="H1013" t="s">
        <v>3038</v>
      </c>
      <c r="I1013" t="s">
        <v>1069</v>
      </c>
    </row>
    <row r="1014" spans="1:9">
      <c r="A1014" t="s">
        <v>3222</v>
      </c>
      <c r="B1014" t="s">
        <v>1255</v>
      </c>
      <c r="C1014" t="s">
        <v>1069</v>
      </c>
      <c r="D1014" t="s">
        <v>1093</v>
      </c>
      <c r="E1014" t="s">
        <v>1069</v>
      </c>
      <c r="F1014" t="s">
        <v>1534</v>
      </c>
      <c r="G1014" t="s">
        <v>1069</v>
      </c>
      <c r="H1014" t="s">
        <v>3223</v>
      </c>
      <c r="I1014" t="s">
        <v>1069</v>
      </c>
    </row>
    <row r="1015" spans="1:9">
      <c r="A1015" t="s">
        <v>3224</v>
      </c>
      <c r="B1015" t="s">
        <v>1270</v>
      </c>
      <c r="C1015" t="s">
        <v>1069</v>
      </c>
      <c r="D1015" t="s">
        <v>1129</v>
      </c>
      <c r="E1015" t="s">
        <v>1069</v>
      </c>
      <c r="F1015" t="s">
        <v>1167</v>
      </c>
      <c r="G1015" t="s">
        <v>1069</v>
      </c>
      <c r="H1015" t="s">
        <v>3225</v>
      </c>
      <c r="I1015" t="s">
        <v>1069</v>
      </c>
    </row>
    <row r="1016" spans="1:9">
      <c r="A1016" t="s">
        <v>3226</v>
      </c>
      <c r="B1016" t="s">
        <v>1149</v>
      </c>
      <c r="C1016" t="s">
        <v>1069</v>
      </c>
      <c r="D1016" t="s">
        <v>1089</v>
      </c>
      <c r="E1016" t="s">
        <v>1069</v>
      </c>
      <c r="F1016" t="s">
        <v>1256</v>
      </c>
      <c r="G1016" t="s">
        <v>1069</v>
      </c>
      <c r="H1016" t="s">
        <v>1720</v>
      </c>
      <c r="I1016" t="s">
        <v>1069</v>
      </c>
    </row>
    <row r="1017" spans="1:9">
      <c r="A1017" t="s">
        <v>3227</v>
      </c>
      <c r="B1017" t="s">
        <v>1152</v>
      </c>
      <c r="C1017" t="s">
        <v>1069</v>
      </c>
      <c r="D1017" t="s">
        <v>1068</v>
      </c>
      <c r="E1017" t="s">
        <v>1069</v>
      </c>
      <c r="F1017" t="s">
        <v>1261</v>
      </c>
      <c r="G1017" t="s">
        <v>1069</v>
      </c>
      <c r="H1017" t="s">
        <v>3038</v>
      </c>
      <c r="I1017" t="s">
        <v>1069</v>
      </c>
    </row>
    <row r="1018" spans="1:9">
      <c r="A1018" t="s">
        <v>3228</v>
      </c>
      <c r="B1018" t="s">
        <v>1265</v>
      </c>
      <c r="C1018" t="s">
        <v>1069</v>
      </c>
      <c r="D1018" t="s">
        <v>1079</v>
      </c>
      <c r="E1018" t="s">
        <v>1069</v>
      </c>
      <c r="F1018" t="s">
        <v>1195</v>
      </c>
      <c r="G1018" t="s">
        <v>1069</v>
      </c>
      <c r="H1018" t="s">
        <v>3229</v>
      </c>
      <c r="I1018" t="s">
        <v>1069</v>
      </c>
    </row>
    <row r="1019" spans="1:9">
      <c r="A1019" t="s">
        <v>3230</v>
      </c>
      <c r="B1019" t="s">
        <v>1125</v>
      </c>
      <c r="C1019" t="s">
        <v>1069</v>
      </c>
      <c r="D1019" t="s">
        <v>1084</v>
      </c>
      <c r="E1019" t="s">
        <v>1069</v>
      </c>
      <c r="F1019" t="s">
        <v>1191</v>
      </c>
      <c r="G1019" t="s">
        <v>1069</v>
      </c>
      <c r="H1019" t="s">
        <v>2952</v>
      </c>
      <c r="I1019" t="s">
        <v>1069</v>
      </c>
    </row>
    <row r="1020" spans="1:9">
      <c r="A1020" t="s">
        <v>3231</v>
      </c>
      <c r="B1020" t="s">
        <v>1136</v>
      </c>
      <c r="C1020" t="s">
        <v>1069</v>
      </c>
      <c r="D1020" t="s">
        <v>1094</v>
      </c>
      <c r="E1020" t="s">
        <v>1069</v>
      </c>
      <c r="F1020" t="s">
        <v>1167</v>
      </c>
      <c r="G1020" t="s">
        <v>1069</v>
      </c>
      <c r="H1020" t="s">
        <v>3232</v>
      </c>
      <c r="I1020" t="s">
        <v>1069</v>
      </c>
    </row>
    <row r="1021" spans="1:9">
      <c r="A1021" t="s">
        <v>3233</v>
      </c>
      <c r="B1021" t="s">
        <v>1107</v>
      </c>
      <c r="C1021" t="s">
        <v>1069</v>
      </c>
      <c r="D1021" t="s">
        <v>1504</v>
      </c>
      <c r="E1021" t="s">
        <v>1069</v>
      </c>
      <c r="F1021" t="s">
        <v>1328</v>
      </c>
      <c r="G1021" t="s">
        <v>1069</v>
      </c>
      <c r="H1021" t="s">
        <v>1716</v>
      </c>
      <c r="I1021" t="s">
        <v>1069</v>
      </c>
    </row>
    <row r="1022" spans="1:9">
      <c r="A1022" t="s">
        <v>3234</v>
      </c>
      <c r="B1022" t="s">
        <v>1116</v>
      </c>
      <c r="C1022" t="s">
        <v>1069</v>
      </c>
      <c r="D1022" t="s">
        <v>1080</v>
      </c>
      <c r="E1022" t="s">
        <v>1069</v>
      </c>
      <c r="F1022" t="s">
        <v>1317</v>
      </c>
      <c r="G1022" t="s">
        <v>1069</v>
      </c>
      <c r="H1022" t="s">
        <v>1690</v>
      </c>
      <c r="I1022" t="s">
        <v>1069</v>
      </c>
    </row>
    <row r="1023" spans="1:9">
      <c r="A1023" t="s">
        <v>3235</v>
      </c>
      <c r="B1023" t="s">
        <v>1102</v>
      </c>
      <c r="C1023" t="s">
        <v>1069</v>
      </c>
      <c r="D1023" t="s">
        <v>1090</v>
      </c>
      <c r="E1023" t="s">
        <v>1069</v>
      </c>
      <c r="F1023" t="s">
        <v>1223</v>
      </c>
      <c r="G1023" t="s">
        <v>1069</v>
      </c>
      <c r="H1023" t="s">
        <v>3236</v>
      </c>
      <c r="I1023" t="s">
        <v>1069</v>
      </c>
    </row>
    <row r="1024" spans="1:9">
      <c r="A1024" t="s">
        <v>3237</v>
      </c>
      <c r="B1024" t="s">
        <v>1125</v>
      </c>
      <c r="C1024" t="s">
        <v>1069</v>
      </c>
      <c r="D1024" t="s">
        <v>1068</v>
      </c>
      <c r="E1024" t="s">
        <v>1069</v>
      </c>
      <c r="F1024" t="s">
        <v>1234</v>
      </c>
      <c r="G1024" t="s">
        <v>1069</v>
      </c>
      <c r="H1024" t="s">
        <v>1647</v>
      </c>
      <c r="I1024" t="s">
        <v>1069</v>
      </c>
    </row>
    <row r="1025" spans="1:9">
      <c r="A1025" t="s">
        <v>3238</v>
      </c>
      <c r="B1025" t="s">
        <v>1293</v>
      </c>
      <c r="C1025" t="s">
        <v>1069</v>
      </c>
      <c r="D1025" t="s">
        <v>1107</v>
      </c>
      <c r="E1025" t="s">
        <v>1069</v>
      </c>
      <c r="F1025" t="s">
        <v>1104</v>
      </c>
      <c r="G1025" t="s">
        <v>1069</v>
      </c>
      <c r="H1025" t="s">
        <v>3239</v>
      </c>
      <c r="I1025" t="s">
        <v>1069</v>
      </c>
    </row>
    <row r="1026" spans="1:9">
      <c r="A1026" t="s">
        <v>3240</v>
      </c>
      <c r="B1026" t="s">
        <v>1152</v>
      </c>
      <c r="C1026" t="s">
        <v>1069</v>
      </c>
      <c r="D1026" t="s">
        <v>1102</v>
      </c>
      <c r="E1026" t="s">
        <v>1069</v>
      </c>
      <c r="F1026" t="s">
        <v>1276</v>
      </c>
      <c r="G1026" t="s">
        <v>1069</v>
      </c>
      <c r="H1026" t="s">
        <v>3241</v>
      </c>
      <c r="I1026" t="s">
        <v>1069</v>
      </c>
    </row>
    <row r="1027" spans="1:9">
      <c r="A1027" t="s">
        <v>3242</v>
      </c>
      <c r="B1027" t="s">
        <v>1255</v>
      </c>
      <c r="C1027" t="s">
        <v>1069</v>
      </c>
      <c r="D1027" t="s">
        <v>1260</v>
      </c>
      <c r="E1027" t="s">
        <v>1069</v>
      </c>
      <c r="F1027" t="s">
        <v>1234</v>
      </c>
      <c r="G1027" t="s">
        <v>1069</v>
      </c>
      <c r="H1027" t="s">
        <v>2508</v>
      </c>
      <c r="I1027" t="s">
        <v>1069</v>
      </c>
    </row>
    <row r="1028" spans="1:9">
      <c r="A1028" t="s">
        <v>3243</v>
      </c>
      <c r="B1028" t="s">
        <v>1649</v>
      </c>
      <c r="C1028" t="s">
        <v>1069</v>
      </c>
      <c r="D1028" t="s">
        <v>1288</v>
      </c>
      <c r="E1028" t="s">
        <v>1069</v>
      </c>
      <c r="F1028" t="s">
        <v>1143</v>
      </c>
      <c r="G1028" t="s">
        <v>1069</v>
      </c>
      <c r="H1028" t="s">
        <v>2122</v>
      </c>
      <c r="I1028" t="s">
        <v>1069</v>
      </c>
    </row>
    <row r="1029" spans="1:9">
      <c r="A1029" t="s">
        <v>3244</v>
      </c>
      <c r="B1029" t="s">
        <v>1652</v>
      </c>
      <c r="C1029" t="s">
        <v>1069</v>
      </c>
      <c r="D1029" t="s">
        <v>1649</v>
      </c>
      <c r="E1029" t="s">
        <v>1069</v>
      </c>
      <c r="F1029" t="s">
        <v>1264</v>
      </c>
      <c r="G1029" t="s">
        <v>1069</v>
      </c>
      <c r="H1029" t="s">
        <v>1532</v>
      </c>
      <c r="I1029" t="s">
        <v>1069</v>
      </c>
    </row>
    <row r="1030" spans="1:9">
      <c r="A1030" t="s">
        <v>3245</v>
      </c>
      <c r="B1030" t="s">
        <v>1681</v>
      </c>
      <c r="C1030" t="s">
        <v>1069</v>
      </c>
      <c r="D1030" t="s">
        <v>1275</v>
      </c>
      <c r="E1030" t="s">
        <v>1069</v>
      </c>
      <c r="F1030" t="s">
        <v>1121</v>
      </c>
      <c r="G1030" t="s">
        <v>1069</v>
      </c>
      <c r="H1030" t="s">
        <v>1728</v>
      </c>
      <c r="I1030" t="s">
        <v>1069</v>
      </c>
    </row>
    <row r="1031" spans="1:9">
      <c r="A1031" t="s">
        <v>3246</v>
      </c>
      <c r="B1031" t="s">
        <v>1655</v>
      </c>
      <c r="C1031" t="s">
        <v>1069</v>
      </c>
      <c r="D1031" t="s">
        <v>1656</v>
      </c>
      <c r="E1031" t="s">
        <v>1069</v>
      </c>
      <c r="F1031" t="s">
        <v>1259</v>
      </c>
      <c r="G1031" t="s">
        <v>1069</v>
      </c>
      <c r="H1031" t="s">
        <v>2526</v>
      </c>
      <c r="I1031" t="s">
        <v>1069</v>
      </c>
    </row>
    <row r="1032" spans="1:9">
      <c r="A1032" t="s">
        <v>3247</v>
      </c>
      <c r="B1032" t="s">
        <v>1661</v>
      </c>
      <c r="C1032" t="s">
        <v>1069</v>
      </c>
      <c r="D1032" t="s">
        <v>1652</v>
      </c>
      <c r="E1032" t="s">
        <v>1069</v>
      </c>
      <c r="F1032" t="s">
        <v>1483</v>
      </c>
      <c r="G1032" t="s">
        <v>1069</v>
      </c>
      <c r="H1032" t="s">
        <v>3248</v>
      </c>
      <c r="I1032" t="s">
        <v>1069</v>
      </c>
    </row>
    <row r="1033" spans="1:9">
      <c r="A1033" t="s">
        <v>3249</v>
      </c>
      <c r="B1033" t="s">
        <v>1655</v>
      </c>
      <c r="C1033" t="s">
        <v>1069</v>
      </c>
      <c r="D1033" t="s">
        <v>1656</v>
      </c>
      <c r="E1033" t="s">
        <v>1069</v>
      </c>
      <c r="F1033" t="s">
        <v>1264</v>
      </c>
      <c r="G1033" t="s">
        <v>1069</v>
      </c>
      <c r="H1033" t="s">
        <v>1598</v>
      </c>
      <c r="I1033" t="s">
        <v>1069</v>
      </c>
    </row>
    <row r="1034" spans="1:9">
      <c r="A1034" t="s">
        <v>3250</v>
      </c>
      <c r="B1034" t="s">
        <v>1661</v>
      </c>
      <c r="C1034" t="s">
        <v>1069</v>
      </c>
      <c r="D1034" t="s">
        <v>1656</v>
      </c>
      <c r="E1034" t="s">
        <v>1069</v>
      </c>
      <c r="F1034" t="s">
        <v>1255</v>
      </c>
      <c r="G1034" t="s">
        <v>1069</v>
      </c>
      <c r="H1034" t="s">
        <v>3251</v>
      </c>
      <c r="I1034" t="s">
        <v>1069</v>
      </c>
    </row>
    <row r="1035" spans="1:9">
      <c r="A1035" t="s">
        <v>3252</v>
      </c>
      <c r="B1035" t="s">
        <v>1655</v>
      </c>
      <c r="C1035" t="s">
        <v>1069</v>
      </c>
      <c r="D1035" t="s">
        <v>1475</v>
      </c>
      <c r="E1035" t="s">
        <v>1069</v>
      </c>
      <c r="F1035" t="s">
        <v>1125</v>
      </c>
      <c r="G1035" t="s">
        <v>1069</v>
      </c>
      <c r="H1035" t="s">
        <v>3253</v>
      </c>
      <c r="I1035" t="s">
        <v>1069</v>
      </c>
    </row>
    <row r="1036" spans="1:9">
      <c r="A1036" t="s">
        <v>3254</v>
      </c>
      <c r="B1036" t="s">
        <v>1655</v>
      </c>
      <c r="C1036" t="s">
        <v>1069</v>
      </c>
      <c r="D1036" t="s">
        <v>1475</v>
      </c>
      <c r="E1036" t="s">
        <v>1069</v>
      </c>
      <c r="F1036" t="s">
        <v>1152</v>
      </c>
      <c r="G1036" t="s">
        <v>1069</v>
      </c>
      <c r="H1036" t="s">
        <v>3255</v>
      </c>
      <c r="I1036" t="s">
        <v>1069</v>
      </c>
    </row>
    <row r="1037" spans="1:9">
      <c r="A1037" t="s">
        <v>3256</v>
      </c>
      <c r="B1037" t="s">
        <v>1681</v>
      </c>
      <c r="C1037" t="s">
        <v>1069</v>
      </c>
      <c r="D1037" t="s">
        <v>1483</v>
      </c>
      <c r="E1037" t="s">
        <v>1069</v>
      </c>
      <c r="F1037" t="s">
        <v>1488</v>
      </c>
      <c r="G1037" t="s">
        <v>1069</v>
      </c>
      <c r="H1037" t="s">
        <v>3257</v>
      </c>
      <c r="I1037" t="s">
        <v>1069</v>
      </c>
    </row>
    <row r="1038" spans="1:9">
      <c r="A1038" t="s">
        <v>3258</v>
      </c>
      <c r="B1038" t="s">
        <v>1275</v>
      </c>
      <c r="C1038" t="s">
        <v>1069</v>
      </c>
      <c r="D1038" t="s">
        <v>1293</v>
      </c>
      <c r="E1038" t="s">
        <v>1069</v>
      </c>
      <c r="F1038" t="s">
        <v>1107</v>
      </c>
      <c r="G1038" t="s">
        <v>1069</v>
      </c>
      <c r="H1038" t="s">
        <v>3259</v>
      </c>
      <c r="I1038" t="s">
        <v>1069</v>
      </c>
    </row>
    <row r="1039" spans="1:9">
      <c r="A1039" t="s">
        <v>3260</v>
      </c>
      <c r="B1039" t="s">
        <v>1125</v>
      </c>
      <c r="C1039" t="s">
        <v>1069</v>
      </c>
      <c r="D1039" t="s">
        <v>1144</v>
      </c>
      <c r="E1039" t="s">
        <v>1069</v>
      </c>
      <c r="F1039" t="s">
        <v>1166</v>
      </c>
      <c r="G1039" t="s">
        <v>1069</v>
      </c>
      <c r="H1039" t="s">
        <v>3261</v>
      </c>
      <c r="I1039" t="s">
        <v>1069</v>
      </c>
    </row>
    <row r="1040" spans="1:9">
      <c r="A1040" t="s">
        <v>3262</v>
      </c>
      <c r="B1040" t="s">
        <v>1234</v>
      </c>
      <c r="C1040" t="s">
        <v>1069</v>
      </c>
      <c r="D1040" t="s">
        <v>2039</v>
      </c>
      <c r="E1040" t="s">
        <v>1069</v>
      </c>
      <c r="F1040" t="s">
        <v>1380</v>
      </c>
      <c r="G1040" t="s">
        <v>1069</v>
      </c>
      <c r="H1040" t="s">
        <v>3263</v>
      </c>
      <c r="I1040" t="s">
        <v>1069</v>
      </c>
    </row>
    <row r="1041" spans="1:9">
      <c r="A1041" t="s">
        <v>3264</v>
      </c>
      <c r="B1041" t="s">
        <v>1279</v>
      </c>
      <c r="C1041" t="s">
        <v>1069</v>
      </c>
      <c r="D1041" t="s">
        <v>2239</v>
      </c>
      <c r="E1041" t="s">
        <v>1069</v>
      </c>
      <c r="F1041" t="s">
        <v>1342</v>
      </c>
      <c r="G1041" t="s">
        <v>1069</v>
      </c>
      <c r="H1041" t="s">
        <v>2723</v>
      </c>
      <c r="I1041" t="s">
        <v>1069</v>
      </c>
    </row>
    <row r="1042" spans="1:9">
      <c r="A1042" t="s">
        <v>3265</v>
      </c>
      <c r="B1042" t="s">
        <v>1080</v>
      </c>
      <c r="C1042" t="s">
        <v>1069</v>
      </c>
      <c r="D1042" t="s">
        <v>1224</v>
      </c>
      <c r="E1042" t="s">
        <v>1069</v>
      </c>
      <c r="F1042" t="s">
        <v>3266</v>
      </c>
      <c r="G1042" t="s">
        <v>1069</v>
      </c>
      <c r="H1042" t="s">
        <v>3267</v>
      </c>
      <c r="I1042" t="s">
        <v>1069</v>
      </c>
    </row>
    <row r="1043" spans="1:9">
      <c r="A1043" t="s">
        <v>3268</v>
      </c>
      <c r="B1043" t="s">
        <v>1084</v>
      </c>
      <c r="C1043" t="s">
        <v>1069</v>
      </c>
      <c r="D1043" t="s">
        <v>1195</v>
      </c>
      <c r="E1043" t="s">
        <v>1069</v>
      </c>
      <c r="F1043" t="s">
        <v>1514</v>
      </c>
      <c r="G1043" t="s">
        <v>1069</v>
      </c>
      <c r="H1043" t="s">
        <v>2946</v>
      </c>
      <c r="I1043" t="s">
        <v>1069</v>
      </c>
    </row>
    <row r="1044" spans="1:9">
      <c r="A1044" t="s">
        <v>3269</v>
      </c>
      <c r="B1044" t="s">
        <v>1102</v>
      </c>
      <c r="C1044" t="s">
        <v>1069</v>
      </c>
      <c r="D1044" t="s">
        <v>1320</v>
      </c>
      <c r="E1044" t="s">
        <v>1069</v>
      </c>
      <c r="F1044" t="s">
        <v>2049</v>
      </c>
      <c r="G1044" t="s">
        <v>1069</v>
      </c>
      <c r="H1044" t="s">
        <v>2876</v>
      </c>
      <c r="I1044" t="s">
        <v>1069</v>
      </c>
    </row>
    <row r="1045" spans="1:9">
      <c r="A1045" t="s">
        <v>3270</v>
      </c>
      <c r="B1045" t="s">
        <v>1265</v>
      </c>
      <c r="C1045" t="s">
        <v>1069</v>
      </c>
      <c r="D1045" t="s">
        <v>1074</v>
      </c>
      <c r="E1045" t="s">
        <v>1069</v>
      </c>
      <c r="F1045" t="s">
        <v>1076</v>
      </c>
      <c r="G1045" t="s">
        <v>1069</v>
      </c>
      <c r="H1045" t="s">
        <v>3271</v>
      </c>
      <c r="I1045" t="s">
        <v>1069</v>
      </c>
    </row>
    <row r="1046" spans="1:9">
      <c r="A1046" t="s">
        <v>3272</v>
      </c>
      <c r="B1046" t="s">
        <v>1270</v>
      </c>
      <c r="C1046" t="s">
        <v>1069</v>
      </c>
      <c r="D1046" t="s">
        <v>1116</v>
      </c>
      <c r="E1046" t="s">
        <v>1069</v>
      </c>
      <c r="F1046" t="s">
        <v>1085</v>
      </c>
      <c r="G1046" t="s">
        <v>1069</v>
      </c>
      <c r="H1046" t="s">
        <v>3273</v>
      </c>
      <c r="I1046" t="s">
        <v>1069</v>
      </c>
    </row>
    <row r="1047" spans="1:9">
      <c r="A1047" t="s">
        <v>3274</v>
      </c>
      <c r="B1047" t="s">
        <v>1255</v>
      </c>
      <c r="C1047" t="s">
        <v>1069</v>
      </c>
      <c r="D1047" t="s">
        <v>1128</v>
      </c>
      <c r="E1047" t="s">
        <v>1069</v>
      </c>
      <c r="F1047" t="s">
        <v>1079</v>
      </c>
      <c r="G1047" t="s">
        <v>1069</v>
      </c>
      <c r="H1047" t="s">
        <v>3275</v>
      </c>
      <c r="I1047" t="s">
        <v>1069</v>
      </c>
    </row>
    <row r="1048" spans="1:9">
      <c r="A1048" t="s">
        <v>3276</v>
      </c>
      <c r="B1048" t="s">
        <v>1293</v>
      </c>
      <c r="C1048" t="s">
        <v>1069</v>
      </c>
      <c r="D1048" t="s">
        <v>1121</v>
      </c>
      <c r="E1048" t="s">
        <v>1069</v>
      </c>
      <c r="F1048" t="s">
        <v>1436</v>
      </c>
      <c r="G1048" t="s">
        <v>1069</v>
      </c>
      <c r="H1048" t="s">
        <v>3277</v>
      </c>
      <c r="I1048" t="s">
        <v>1069</v>
      </c>
    </row>
    <row r="1049" spans="1:9">
      <c r="A1049" t="s">
        <v>3278</v>
      </c>
      <c r="B1049" t="s">
        <v>1259</v>
      </c>
      <c r="C1049" t="s">
        <v>1069</v>
      </c>
      <c r="D1049" t="s">
        <v>1284</v>
      </c>
      <c r="E1049" t="s">
        <v>1069</v>
      </c>
      <c r="F1049" t="s">
        <v>1139</v>
      </c>
      <c r="G1049" t="s">
        <v>1069</v>
      </c>
      <c r="H1049" t="s">
        <v>3279</v>
      </c>
      <c r="I1049" t="s">
        <v>1069</v>
      </c>
    </row>
    <row r="1050" spans="1:9">
      <c r="A1050" t="s">
        <v>3280</v>
      </c>
      <c r="B1050" t="s">
        <v>1136</v>
      </c>
      <c r="C1050" t="s">
        <v>1069</v>
      </c>
      <c r="D1050" t="s">
        <v>1093</v>
      </c>
      <c r="E1050" t="s">
        <v>1069</v>
      </c>
      <c r="F1050" t="s">
        <v>1085</v>
      </c>
      <c r="G1050" t="s">
        <v>1069</v>
      </c>
      <c r="H1050" t="s">
        <v>3281</v>
      </c>
      <c r="I1050" t="s">
        <v>1069</v>
      </c>
    </row>
    <row r="1051" spans="1:9">
      <c r="A1051" t="s">
        <v>3282</v>
      </c>
      <c r="B1051" t="s">
        <v>1094</v>
      </c>
      <c r="C1051" t="s">
        <v>1069</v>
      </c>
      <c r="D1051" t="s">
        <v>1080</v>
      </c>
      <c r="E1051" t="s">
        <v>1069</v>
      </c>
      <c r="F1051" t="s">
        <v>1595</v>
      </c>
      <c r="G1051" t="s">
        <v>1069</v>
      </c>
      <c r="H1051" t="s">
        <v>3283</v>
      </c>
      <c r="I1051" t="s">
        <v>1069</v>
      </c>
    </row>
    <row r="1052" spans="1:9">
      <c r="A1052" t="s">
        <v>3284</v>
      </c>
      <c r="B1052" t="s">
        <v>1090</v>
      </c>
      <c r="C1052" t="s">
        <v>1069</v>
      </c>
      <c r="D1052" t="s">
        <v>1122</v>
      </c>
      <c r="E1052" t="s">
        <v>1069</v>
      </c>
      <c r="F1052" t="s">
        <v>1076</v>
      </c>
      <c r="G1052" t="s">
        <v>1069</v>
      </c>
      <c r="H1052" t="s">
        <v>3285</v>
      </c>
      <c r="I1052" t="s">
        <v>1069</v>
      </c>
    </row>
    <row r="1053" spans="1:9">
      <c r="A1053" t="s">
        <v>3286</v>
      </c>
      <c r="B1053" t="s">
        <v>1084</v>
      </c>
      <c r="C1053" t="s">
        <v>1069</v>
      </c>
      <c r="D1053" t="s">
        <v>1090</v>
      </c>
      <c r="E1053" t="s">
        <v>1069</v>
      </c>
      <c r="F1053" t="s">
        <v>1099</v>
      </c>
      <c r="G1053" t="s">
        <v>1069</v>
      </c>
      <c r="H1053" t="s">
        <v>3287</v>
      </c>
      <c r="I1053" t="s">
        <v>1069</v>
      </c>
    </row>
    <row r="1054" spans="1:9">
      <c r="A1054" t="s">
        <v>3288</v>
      </c>
      <c r="B1054" t="s">
        <v>1090</v>
      </c>
      <c r="C1054" t="s">
        <v>1069</v>
      </c>
      <c r="D1054" t="s">
        <v>1085</v>
      </c>
      <c r="E1054" t="s">
        <v>1069</v>
      </c>
      <c r="F1054" t="s">
        <v>1285</v>
      </c>
      <c r="G1054" t="s">
        <v>1069</v>
      </c>
      <c r="H1054" t="s">
        <v>3289</v>
      </c>
      <c r="I1054" t="s">
        <v>1069</v>
      </c>
    </row>
    <row r="1055" spans="1:9">
      <c r="A1055" t="s">
        <v>3290</v>
      </c>
      <c r="B1055" t="s">
        <v>1075</v>
      </c>
      <c r="C1055" t="s">
        <v>1069</v>
      </c>
      <c r="D1055" t="s">
        <v>1320</v>
      </c>
      <c r="E1055" t="s">
        <v>1069</v>
      </c>
      <c r="F1055" t="s">
        <v>1595</v>
      </c>
      <c r="G1055" t="s">
        <v>1069</v>
      </c>
      <c r="H1055" t="s">
        <v>3291</v>
      </c>
      <c r="I1055" t="s">
        <v>1069</v>
      </c>
    </row>
    <row r="1056" spans="1:9">
      <c r="A1056" t="s">
        <v>3292</v>
      </c>
      <c r="B1056" t="s">
        <v>1144</v>
      </c>
      <c r="C1056" t="s">
        <v>1069</v>
      </c>
      <c r="D1056" t="s">
        <v>1075</v>
      </c>
      <c r="E1056" t="s">
        <v>1069</v>
      </c>
      <c r="F1056" t="s">
        <v>1238</v>
      </c>
      <c r="G1056" t="s">
        <v>1069</v>
      </c>
      <c r="H1056" t="s">
        <v>2074</v>
      </c>
      <c r="I1056" t="s">
        <v>1069</v>
      </c>
    </row>
    <row r="1057" spans="1:9">
      <c r="A1057" t="s">
        <v>3293</v>
      </c>
      <c r="B1057" t="s">
        <v>1113</v>
      </c>
      <c r="C1057" t="s">
        <v>1069</v>
      </c>
      <c r="D1057" t="s">
        <v>1068</v>
      </c>
      <c r="E1057" t="s">
        <v>1069</v>
      </c>
      <c r="F1057" t="s">
        <v>1104</v>
      </c>
      <c r="G1057" t="s">
        <v>1069</v>
      </c>
      <c r="H1057" t="s">
        <v>1201</v>
      </c>
      <c r="I1057" t="s">
        <v>1069</v>
      </c>
    </row>
    <row r="1058" spans="1:9">
      <c r="A1058" t="s">
        <v>3294</v>
      </c>
      <c r="B1058" t="s">
        <v>1128</v>
      </c>
      <c r="C1058" t="s">
        <v>1069</v>
      </c>
      <c r="D1058" t="s">
        <v>1116</v>
      </c>
      <c r="E1058" t="s">
        <v>1069</v>
      </c>
      <c r="F1058" t="s">
        <v>1436</v>
      </c>
      <c r="G1058" t="s">
        <v>1069</v>
      </c>
      <c r="H1058" t="s">
        <v>3295</v>
      </c>
      <c r="I1058" t="s">
        <v>1069</v>
      </c>
    </row>
    <row r="1059" spans="1:9">
      <c r="A1059" t="s">
        <v>3296</v>
      </c>
      <c r="B1059" t="s">
        <v>1121</v>
      </c>
      <c r="C1059" t="s">
        <v>1069</v>
      </c>
      <c r="D1059" t="s">
        <v>1107</v>
      </c>
      <c r="E1059" t="s">
        <v>1069</v>
      </c>
      <c r="F1059" t="s">
        <v>1436</v>
      </c>
      <c r="G1059" t="s">
        <v>1069</v>
      </c>
      <c r="H1059" t="s">
        <v>3297</v>
      </c>
      <c r="I1059" t="s">
        <v>1069</v>
      </c>
    </row>
    <row r="1060" spans="1:9">
      <c r="A1060" t="s">
        <v>3298</v>
      </c>
      <c r="B1060" t="s">
        <v>1284</v>
      </c>
      <c r="C1060" t="s">
        <v>1069</v>
      </c>
      <c r="D1060" t="s">
        <v>1128</v>
      </c>
      <c r="E1060" t="s">
        <v>1069</v>
      </c>
      <c r="F1060" t="s">
        <v>1068</v>
      </c>
      <c r="G1060" t="s">
        <v>1069</v>
      </c>
      <c r="H1060" t="s">
        <v>2320</v>
      </c>
      <c r="I1060" t="s">
        <v>1069</v>
      </c>
    </row>
    <row r="1061" spans="1:9">
      <c r="A1061" t="s">
        <v>3299</v>
      </c>
      <c r="B1061" t="s">
        <v>1149</v>
      </c>
      <c r="C1061" t="s">
        <v>1069</v>
      </c>
      <c r="D1061" t="s">
        <v>1125</v>
      </c>
      <c r="E1061" t="s">
        <v>1069</v>
      </c>
      <c r="F1061" t="s">
        <v>1310</v>
      </c>
      <c r="G1061" t="s">
        <v>1069</v>
      </c>
      <c r="H1061" t="s">
        <v>3300</v>
      </c>
      <c r="I1061" t="s">
        <v>1069</v>
      </c>
    </row>
    <row r="1062" spans="1:9">
      <c r="A1062" t="s">
        <v>3301</v>
      </c>
      <c r="B1062" t="s">
        <v>1265</v>
      </c>
      <c r="C1062" t="s">
        <v>1069</v>
      </c>
      <c r="D1062" t="s">
        <v>1128</v>
      </c>
      <c r="E1062" t="s">
        <v>1069</v>
      </c>
      <c r="F1062" t="s">
        <v>1074</v>
      </c>
      <c r="G1062" t="s">
        <v>1069</v>
      </c>
      <c r="H1062" t="s">
        <v>3302</v>
      </c>
      <c r="I1062" t="s">
        <v>1069</v>
      </c>
    </row>
    <row r="1063" spans="1:9">
      <c r="A1063" t="s">
        <v>3303</v>
      </c>
      <c r="B1063" t="s">
        <v>1143</v>
      </c>
      <c r="C1063" t="s">
        <v>1069</v>
      </c>
      <c r="D1063" t="s">
        <v>1093</v>
      </c>
      <c r="E1063" t="s">
        <v>1069</v>
      </c>
      <c r="F1063" t="s">
        <v>1504</v>
      </c>
      <c r="G1063" t="s">
        <v>1069</v>
      </c>
      <c r="H1063" t="s">
        <v>1164</v>
      </c>
      <c r="I1063" t="s">
        <v>1069</v>
      </c>
    </row>
    <row r="1064" spans="1:9">
      <c r="A1064" t="s">
        <v>3304</v>
      </c>
      <c r="B1064" t="s">
        <v>1093</v>
      </c>
      <c r="C1064" t="s">
        <v>1069</v>
      </c>
      <c r="D1064" t="s">
        <v>1074</v>
      </c>
      <c r="E1064" t="s">
        <v>1069</v>
      </c>
      <c r="F1064" t="s">
        <v>1122</v>
      </c>
      <c r="G1064" t="s">
        <v>1069</v>
      </c>
      <c r="H1064" t="s">
        <v>3305</v>
      </c>
      <c r="I1064" t="s">
        <v>1069</v>
      </c>
    </row>
    <row r="1065" spans="1:9">
      <c r="A1065" t="s">
        <v>3306</v>
      </c>
      <c r="B1065" t="s">
        <v>1152</v>
      </c>
      <c r="C1065" t="s">
        <v>1069</v>
      </c>
      <c r="D1065" t="s">
        <v>1128</v>
      </c>
      <c r="E1065" t="s">
        <v>1069</v>
      </c>
      <c r="F1065" t="s">
        <v>1084</v>
      </c>
      <c r="G1065" t="s">
        <v>1069</v>
      </c>
      <c r="H1065" t="s">
        <v>1210</v>
      </c>
      <c r="I1065" t="s">
        <v>1069</v>
      </c>
    </row>
    <row r="1066" spans="1:9">
      <c r="A1066" t="s">
        <v>3307</v>
      </c>
      <c r="B1066" t="s">
        <v>1476</v>
      </c>
      <c r="C1066" t="s">
        <v>1069</v>
      </c>
      <c r="D1066" t="s">
        <v>1270</v>
      </c>
      <c r="E1066" t="s">
        <v>1069</v>
      </c>
      <c r="F1066" t="s">
        <v>1103</v>
      </c>
      <c r="G1066" t="s">
        <v>1069</v>
      </c>
      <c r="H1066" t="s">
        <v>3308</v>
      </c>
      <c r="I1066" t="s">
        <v>1069</v>
      </c>
    </row>
    <row r="1067" spans="1:9">
      <c r="A1067" t="s">
        <v>3309</v>
      </c>
      <c r="B1067" t="s">
        <v>1270</v>
      </c>
      <c r="C1067" t="s">
        <v>1069</v>
      </c>
      <c r="D1067" t="s">
        <v>1121</v>
      </c>
      <c r="E1067" t="s">
        <v>1069</v>
      </c>
      <c r="F1067" t="s">
        <v>1140</v>
      </c>
      <c r="G1067" t="s">
        <v>1069</v>
      </c>
      <c r="H1067" t="s">
        <v>3310</v>
      </c>
      <c r="I1067" t="s">
        <v>1069</v>
      </c>
    </row>
    <row r="1068" spans="1:9">
      <c r="A1068" t="s">
        <v>3311</v>
      </c>
      <c r="B1068" t="s">
        <v>1075</v>
      </c>
      <c r="C1068" t="s">
        <v>1069</v>
      </c>
      <c r="D1068" t="s">
        <v>1320</v>
      </c>
      <c r="E1068" t="s">
        <v>1069</v>
      </c>
      <c r="F1068" t="s">
        <v>1595</v>
      </c>
      <c r="G1068" t="s">
        <v>1069</v>
      </c>
      <c r="H1068" t="s">
        <v>3312</v>
      </c>
      <c r="I1068" t="s">
        <v>1069</v>
      </c>
    </row>
    <row r="1069" spans="1:9">
      <c r="A1069" t="s">
        <v>3313</v>
      </c>
      <c r="B1069" t="s">
        <v>1162</v>
      </c>
      <c r="C1069" t="s">
        <v>1069</v>
      </c>
      <c r="D1069" t="s">
        <v>1238</v>
      </c>
      <c r="E1069" t="s">
        <v>1069</v>
      </c>
      <c r="F1069" t="s">
        <v>1261</v>
      </c>
      <c r="G1069" t="s">
        <v>1069</v>
      </c>
      <c r="H1069" t="s">
        <v>3314</v>
      </c>
      <c r="I1069" t="s">
        <v>1069</v>
      </c>
    </row>
    <row r="1070" spans="1:9">
      <c r="A1070" t="s">
        <v>3315</v>
      </c>
      <c r="B1070" t="s">
        <v>1099</v>
      </c>
      <c r="C1070" t="s">
        <v>1069</v>
      </c>
      <c r="D1070" t="s">
        <v>1595</v>
      </c>
      <c r="E1070" t="s">
        <v>1069</v>
      </c>
      <c r="F1070" t="s">
        <v>1195</v>
      </c>
      <c r="G1070" t="s">
        <v>1069</v>
      </c>
      <c r="H1070" t="s">
        <v>3316</v>
      </c>
      <c r="I1070" t="s">
        <v>1069</v>
      </c>
    </row>
    <row r="1071" spans="1:9">
      <c r="A1071" t="s">
        <v>3317</v>
      </c>
      <c r="B1071" t="s">
        <v>1094</v>
      </c>
      <c r="C1071" t="s">
        <v>1069</v>
      </c>
      <c r="D1071" t="s">
        <v>1075</v>
      </c>
      <c r="E1071" t="s">
        <v>1069</v>
      </c>
      <c r="F1071" t="s">
        <v>1071</v>
      </c>
      <c r="G1071" t="s">
        <v>1069</v>
      </c>
      <c r="H1071" t="s">
        <v>3318</v>
      </c>
      <c r="I1071" t="s">
        <v>1069</v>
      </c>
    </row>
    <row r="1072" spans="1:9">
      <c r="A1072" t="s">
        <v>3319</v>
      </c>
      <c r="B1072" t="s">
        <v>1152</v>
      </c>
      <c r="C1072" t="s">
        <v>1069</v>
      </c>
      <c r="D1072" t="s">
        <v>1128</v>
      </c>
      <c r="E1072" t="s">
        <v>1069</v>
      </c>
      <c r="F1072" t="s">
        <v>1103</v>
      </c>
      <c r="G1072" t="s">
        <v>1069</v>
      </c>
      <c r="H1072" t="s">
        <v>1182</v>
      </c>
      <c r="I1072" t="s">
        <v>1069</v>
      </c>
    </row>
    <row r="1073" spans="1:9">
      <c r="A1073" t="s">
        <v>3320</v>
      </c>
      <c r="B1073" t="s">
        <v>1288</v>
      </c>
      <c r="C1073" t="s">
        <v>1069</v>
      </c>
      <c r="D1073" t="s">
        <v>1265</v>
      </c>
      <c r="E1073" t="s">
        <v>1069</v>
      </c>
      <c r="F1073" t="s">
        <v>1140</v>
      </c>
      <c r="G1073" t="s">
        <v>1069</v>
      </c>
      <c r="H1073" t="s">
        <v>3321</v>
      </c>
      <c r="I1073" t="s">
        <v>1069</v>
      </c>
    </row>
    <row r="1074" spans="1:9">
      <c r="A1074" t="s">
        <v>3322</v>
      </c>
      <c r="B1074" t="s">
        <v>1488</v>
      </c>
      <c r="C1074" t="s">
        <v>1069</v>
      </c>
      <c r="D1074" t="s">
        <v>1284</v>
      </c>
      <c r="E1074" t="s">
        <v>1069</v>
      </c>
      <c r="F1074" t="s">
        <v>1098</v>
      </c>
      <c r="G1074" t="s">
        <v>1069</v>
      </c>
      <c r="H1074" t="s">
        <v>3323</v>
      </c>
      <c r="I1074" t="s">
        <v>1069</v>
      </c>
    </row>
    <row r="1075" spans="1:9">
      <c r="A1075" t="s">
        <v>3324</v>
      </c>
      <c r="B1075" t="s">
        <v>1259</v>
      </c>
      <c r="C1075" t="s">
        <v>1069</v>
      </c>
      <c r="D1075" t="s">
        <v>1121</v>
      </c>
      <c r="E1075" t="s">
        <v>1069</v>
      </c>
      <c r="F1075" t="s">
        <v>1075</v>
      </c>
      <c r="G1075" t="s">
        <v>1069</v>
      </c>
      <c r="H1075" t="s">
        <v>3325</v>
      </c>
      <c r="I1075" t="s">
        <v>1069</v>
      </c>
    </row>
    <row r="1076" spans="1:9">
      <c r="A1076" t="s">
        <v>3326</v>
      </c>
      <c r="B1076" t="s">
        <v>1284</v>
      </c>
      <c r="C1076" t="s">
        <v>1069</v>
      </c>
      <c r="D1076" t="s">
        <v>1116</v>
      </c>
      <c r="E1076" t="s">
        <v>1069</v>
      </c>
      <c r="F1076" t="s">
        <v>1234</v>
      </c>
      <c r="G1076" t="s">
        <v>1069</v>
      </c>
      <c r="H1076" t="s">
        <v>2092</v>
      </c>
      <c r="I1076" t="s">
        <v>1069</v>
      </c>
    </row>
    <row r="1077" spans="1:9">
      <c r="A1077" t="s">
        <v>3327</v>
      </c>
      <c r="B1077" t="s">
        <v>1121</v>
      </c>
      <c r="C1077" t="s">
        <v>1069</v>
      </c>
      <c r="D1077" t="s">
        <v>1116</v>
      </c>
      <c r="E1077" t="s">
        <v>1069</v>
      </c>
      <c r="F1077" t="s">
        <v>1266</v>
      </c>
      <c r="G1077" t="s">
        <v>1069</v>
      </c>
      <c r="H1077" t="s">
        <v>3328</v>
      </c>
      <c r="I1077" t="s">
        <v>1069</v>
      </c>
    </row>
    <row r="1078" spans="1:9">
      <c r="A1078" t="s">
        <v>3329</v>
      </c>
      <c r="B1078" t="s">
        <v>1269</v>
      </c>
      <c r="C1078" t="s">
        <v>1069</v>
      </c>
      <c r="D1078" t="s">
        <v>1293</v>
      </c>
      <c r="E1078" t="s">
        <v>1069</v>
      </c>
      <c r="F1078" t="s">
        <v>1068</v>
      </c>
      <c r="G1078" t="s">
        <v>1069</v>
      </c>
      <c r="H1078" t="s">
        <v>2676</v>
      </c>
      <c r="I1078" t="s">
        <v>1069</v>
      </c>
    </row>
    <row r="1079" spans="1:9">
      <c r="A1079" t="s">
        <v>3330</v>
      </c>
      <c r="B1079" t="s">
        <v>1476</v>
      </c>
      <c r="C1079" t="s">
        <v>1069</v>
      </c>
      <c r="D1079" t="s">
        <v>1270</v>
      </c>
      <c r="E1079" t="s">
        <v>1069</v>
      </c>
      <c r="F1079" t="s">
        <v>1103</v>
      </c>
      <c r="G1079" t="s">
        <v>1069</v>
      </c>
      <c r="H1079" t="s">
        <v>3331</v>
      </c>
      <c r="I1079" t="s">
        <v>1069</v>
      </c>
    </row>
    <row r="1080" spans="1:9">
      <c r="A1080" t="s">
        <v>3332</v>
      </c>
      <c r="B1080" t="s">
        <v>1293</v>
      </c>
      <c r="C1080" t="s">
        <v>1069</v>
      </c>
      <c r="D1080" t="s">
        <v>1125</v>
      </c>
      <c r="E1080" t="s">
        <v>1069</v>
      </c>
      <c r="F1080" t="s">
        <v>1094</v>
      </c>
      <c r="G1080" t="s">
        <v>1069</v>
      </c>
      <c r="H1080" t="s">
        <v>2851</v>
      </c>
      <c r="I1080" t="s">
        <v>1069</v>
      </c>
    </row>
    <row r="1081" spans="1:9">
      <c r="A1081" t="s">
        <v>3333</v>
      </c>
      <c r="B1081" t="s">
        <v>1293</v>
      </c>
      <c r="C1081" t="s">
        <v>1069</v>
      </c>
      <c r="D1081" t="s">
        <v>1265</v>
      </c>
      <c r="E1081" t="s">
        <v>1069</v>
      </c>
      <c r="F1081" t="s">
        <v>1436</v>
      </c>
      <c r="G1081" t="s">
        <v>1069</v>
      </c>
      <c r="H1081" t="s">
        <v>3334</v>
      </c>
      <c r="I1081" t="s">
        <v>1069</v>
      </c>
    </row>
    <row r="1082" spans="1:9">
      <c r="A1082" t="s">
        <v>3335</v>
      </c>
      <c r="B1082" t="s">
        <v>1270</v>
      </c>
      <c r="C1082" t="s">
        <v>1069</v>
      </c>
      <c r="D1082" t="s">
        <v>1125</v>
      </c>
      <c r="E1082" t="s">
        <v>1069</v>
      </c>
      <c r="F1082" t="s">
        <v>1068</v>
      </c>
      <c r="G1082" t="s">
        <v>1069</v>
      </c>
      <c r="H1082" t="s">
        <v>3336</v>
      </c>
      <c r="I1082" t="s">
        <v>1069</v>
      </c>
    </row>
    <row r="1083" spans="1:9">
      <c r="A1083" t="s">
        <v>3337</v>
      </c>
      <c r="B1083" t="s">
        <v>1149</v>
      </c>
      <c r="C1083" t="s">
        <v>1069</v>
      </c>
      <c r="D1083" t="s">
        <v>1125</v>
      </c>
      <c r="E1083" t="s">
        <v>1069</v>
      </c>
      <c r="F1083" t="s">
        <v>1310</v>
      </c>
      <c r="G1083" t="s">
        <v>1069</v>
      </c>
      <c r="H1083" t="s">
        <v>3338</v>
      </c>
      <c r="I1083" t="s">
        <v>1069</v>
      </c>
    </row>
    <row r="1084" spans="1:9">
      <c r="A1084" t="s">
        <v>3339</v>
      </c>
      <c r="B1084" t="s">
        <v>1149</v>
      </c>
      <c r="C1084" t="s">
        <v>1069</v>
      </c>
      <c r="D1084" t="s">
        <v>1125</v>
      </c>
      <c r="E1084" t="s">
        <v>1069</v>
      </c>
      <c r="F1084" t="s">
        <v>1129</v>
      </c>
      <c r="G1084" t="s">
        <v>1069</v>
      </c>
      <c r="H1084" t="s">
        <v>3340</v>
      </c>
      <c r="I1084" t="s">
        <v>1069</v>
      </c>
    </row>
    <row r="1085" spans="1:9">
      <c r="A1085" t="s">
        <v>3341</v>
      </c>
      <c r="B1085" t="s">
        <v>1265</v>
      </c>
      <c r="C1085" t="s">
        <v>1069</v>
      </c>
      <c r="D1085" t="s">
        <v>1128</v>
      </c>
      <c r="E1085" t="s">
        <v>1069</v>
      </c>
      <c r="F1085" t="s">
        <v>1103</v>
      </c>
      <c r="G1085" t="s">
        <v>1069</v>
      </c>
      <c r="H1085" t="s">
        <v>3342</v>
      </c>
      <c r="I1085" t="s">
        <v>1069</v>
      </c>
    </row>
    <row r="1086" spans="1:9">
      <c r="A1086" t="s">
        <v>3343</v>
      </c>
      <c r="B1086" t="s">
        <v>1152</v>
      </c>
      <c r="C1086" t="s">
        <v>1069</v>
      </c>
      <c r="D1086" t="s">
        <v>1121</v>
      </c>
      <c r="E1086" t="s">
        <v>1069</v>
      </c>
      <c r="F1086" t="s">
        <v>1089</v>
      </c>
      <c r="G1086" t="s">
        <v>1069</v>
      </c>
      <c r="H1086" t="s">
        <v>3344</v>
      </c>
      <c r="I1086" t="s">
        <v>1069</v>
      </c>
    </row>
    <row r="1087" spans="1:9">
      <c r="A1087" t="s">
        <v>3345</v>
      </c>
      <c r="B1087" t="s">
        <v>1152</v>
      </c>
      <c r="C1087" t="s">
        <v>1069</v>
      </c>
      <c r="D1087" t="s">
        <v>1136</v>
      </c>
      <c r="E1087" t="s">
        <v>1069</v>
      </c>
      <c r="F1087" t="s">
        <v>1436</v>
      </c>
      <c r="G1087" t="s">
        <v>1069</v>
      </c>
      <c r="H1087" t="s">
        <v>3346</v>
      </c>
      <c r="I1087" t="s">
        <v>1069</v>
      </c>
    </row>
    <row r="1088" spans="1:9">
      <c r="A1088" t="s">
        <v>3347</v>
      </c>
      <c r="B1088" t="s">
        <v>1125</v>
      </c>
      <c r="C1088" t="s">
        <v>1069</v>
      </c>
      <c r="D1088" t="s">
        <v>1102</v>
      </c>
      <c r="E1088" t="s">
        <v>1069</v>
      </c>
      <c r="F1088" t="s">
        <v>1080</v>
      </c>
      <c r="G1088" t="s">
        <v>1069</v>
      </c>
      <c r="H1088" t="s">
        <v>3348</v>
      </c>
      <c r="I1088" t="s">
        <v>1069</v>
      </c>
    </row>
    <row r="1089" spans="1:9">
      <c r="A1089" t="s">
        <v>3349</v>
      </c>
      <c r="B1089" t="s">
        <v>1128</v>
      </c>
      <c r="C1089" t="s">
        <v>1069</v>
      </c>
      <c r="D1089" t="s">
        <v>1113</v>
      </c>
      <c r="E1089" t="s">
        <v>1069</v>
      </c>
      <c r="F1089" t="s">
        <v>1070</v>
      </c>
      <c r="G1089" t="s">
        <v>1069</v>
      </c>
      <c r="H1089" t="s">
        <v>3350</v>
      </c>
      <c r="I1089" t="s">
        <v>1069</v>
      </c>
    </row>
    <row r="1090" spans="1:9">
      <c r="A1090" t="s">
        <v>3351</v>
      </c>
      <c r="B1090" t="s">
        <v>1068</v>
      </c>
      <c r="C1090" t="s">
        <v>1069</v>
      </c>
      <c r="D1090" t="s">
        <v>1140</v>
      </c>
      <c r="E1090" t="s">
        <v>1069</v>
      </c>
      <c r="F1090" t="s">
        <v>1171</v>
      </c>
      <c r="G1090" t="s">
        <v>1069</v>
      </c>
      <c r="H1090" t="s">
        <v>3352</v>
      </c>
      <c r="I1090" t="s">
        <v>1069</v>
      </c>
    </row>
    <row r="1091" spans="1:9">
      <c r="A1091" t="s">
        <v>3353</v>
      </c>
      <c r="B1091" t="s">
        <v>1098</v>
      </c>
      <c r="C1091" t="s">
        <v>1069</v>
      </c>
      <c r="D1091" t="s">
        <v>1110</v>
      </c>
      <c r="E1091" t="s">
        <v>1069</v>
      </c>
      <c r="F1091" t="s">
        <v>1216</v>
      </c>
      <c r="G1091" t="s">
        <v>1069</v>
      </c>
      <c r="H1091" t="s">
        <v>3354</v>
      </c>
      <c r="I1091" t="s">
        <v>1069</v>
      </c>
    </row>
    <row r="1092" spans="1:9">
      <c r="A1092" t="s">
        <v>3355</v>
      </c>
      <c r="B1092" t="s">
        <v>1098</v>
      </c>
      <c r="C1092" t="s">
        <v>1069</v>
      </c>
      <c r="D1092" t="s">
        <v>1122</v>
      </c>
      <c r="E1092" t="s">
        <v>1069</v>
      </c>
      <c r="F1092" t="s">
        <v>1181</v>
      </c>
      <c r="G1092" t="s">
        <v>1069</v>
      </c>
      <c r="H1092" t="s">
        <v>3356</v>
      </c>
      <c r="I1092" t="s">
        <v>1069</v>
      </c>
    </row>
    <row r="1093" spans="1:9">
      <c r="A1093" t="s">
        <v>3357</v>
      </c>
      <c r="B1093" t="s">
        <v>1504</v>
      </c>
      <c r="C1093" t="s">
        <v>1069</v>
      </c>
      <c r="D1093" t="s">
        <v>1234</v>
      </c>
      <c r="E1093" t="s">
        <v>1069</v>
      </c>
      <c r="F1093" t="s">
        <v>1196</v>
      </c>
      <c r="G1093" t="s">
        <v>1069</v>
      </c>
      <c r="H1093" t="s">
        <v>3358</v>
      </c>
      <c r="I1093" t="s">
        <v>1069</v>
      </c>
    </row>
    <row r="1094" spans="1:9">
      <c r="A1094" t="s">
        <v>3359</v>
      </c>
      <c r="B1094" t="s">
        <v>1093</v>
      </c>
      <c r="C1094" t="s">
        <v>1069</v>
      </c>
      <c r="D1094" t="s">
        <v>1090</v>
      </c>
      <c r="E1094" t="s">
        <v>1069</v>
      </c>
      <c r="F1094" t="s">
        <v>1172</v>
      </c>
      <c r="G1094" t="s">
        <v>1069</v>
      </c>
      <c r="H1094" t="s">
        <v>3360</v>
      </c>
      <c r="I1094" t="s">
        <v>1069</v>
      </c>
    </row>
    <row r="1095" spans="1:9">
      <c r="A1095" t="s">
        <v>3361</v>
      </c>
      <c r="B1095" t="s">
        <v>1068</v>
      </c>
      <c r="C1095" t="s">
        <v>1069</v>
      </c>
      <c r="D1095" t="s">
        <v>1266</v>
      </c>
      <c r="E1095" t="s">
        <v>1069</v>
      </c>
      <c r="F1095" t="s">
        <v>1356</v>
      </c>
      <c r="G1095" t="s">
        <v>1069</v>
      </c>
      <c r="H1095" t="s">
        <v>3362</v>
      </c>
      <c r="I1095" t="s">
        <v>1069</v>
      </c>
    </row>
    <row r="1096" spans="1:9">
      <c r="A1096" t="s">
        <v>3363</v>
      </c>
      <c r="B1096" t="s">
        <v>1310</v>
      </c>
      <c r="C1096" t="s">
        <v>1069</v>
      </c>
      <c r="D1096" t="s">
        <v>1085</v>
      </c>
      <c r="E1096" t="s">
        <v>1069</v>
      </c>
      <c r="F1096" t="s">
        <v>1188</v>
      </c>
      <c r="G1096" t="s">
        <v>1069</v>
      </c>
      <c r="H1096" t="s">
        <v>3364</v>
      </c>
      <c r="I1096" t="s">
        <v>1069</v>
      </c>
    </row>
    <row r="1097" spans="1:9">
      <c r="A1097" t="s">
        <v>3365</v>
      </c>
      <c r="B1097" t="s">
        <v>1143</v>
      </c>
      <c r="C1097" t="s">
        <v>1069</v>
      </c>
      <c r="D1097" t="s">
        <v>1084</v>
      </c>
      <c r="E1097" t="s">
        <v>1069</v>
      </c>
      <c r="F1097" t="s">
        <v>1176</v>
      </c>
      <c r="G1097" t="s">
        <v>1069</v>
      </c>
      <c r="H1097" t="s">
        <v>3366</v>
      </c>
      <c r="I1097" t="s">
        <v>1069</v>
      </c>
    </row>
    <row r="1098" spans="1:9">
      <c r="A1098" t="s">
        <v>3367</v>
      </c>
      <c r="B1098" t="s">
        <v>1121</v>
      </c>
      <c r="C1098" t="s">
        <v>1069</v>
      </c>
      <c r="D1098" t="s">
        <v>1103</v>
      </c>
      <c r="E1098" t="s">
        <v>1069</v>
      </c>
      <c r="F1098" t="s">
        <v>1551</v>
      </c>
      <c r="G1098" t="s">
        <v>1069</v>
      </c>
      <c r="H1098" t="s">
        <v>3368</v>
      </c>
      <c r="I1098" t="s">
        <v>1069</v>
      </c>
    </row>
    <row r="1099" spans="1:9">
      <c r="A1099" t="s">
        <v>3369</v>
      </c>
      <c r="B1099" t="s">
        <v>1121</v>
      </c>
      <c r="C1099" t="s">
        <v>1069</v>
      </c>
      <c r="D1099" t="s">
        <v>1084</v>
      </c>
      <c r="E1099" t="s">
        <v>1069</v>
      </c>
      <c r="F1099" t="s">
        <v>1527</v>
      </c>
      <c r="G1099" t="s">
        <v>1069</v>
      </c>
      <c r="H1099" t="s">
        <v>3370</v>
      </c>
      <c r="I1099" t="s">
        <v>1069</v>
      </c>
    </row>
    <row r="1100" spans="1:9">
      <c r="A1100" t="s">
        <v>3371</v>
      </c>
      <c r="B1100" t="s">
        <v>1136</v>
      </c>
      <c r="C1100" t="s">
        <v>1069</v>
      </c>
      <c r="D1100" t="s">
        <v>1103</v>
      </c>
      <c r="E1100" t="s">
        <v>1069</v>
      </c>
      <c r="F1100" t="s">
        <v>1256</v>
      </c>
      <c r="G1100" t="s">
        <v>1069</v>
      </c>
      <c r="H1100" t="s">
        <v>3372</v>
      </c>
      <c r="I1100" t="s">
        <v>1069</v>
      </c>
    </row>
    <row r="1101" spans="1:9">
      <c r="A1101" t="s">
        <v>3373</v>
      </c>
      <c r="B1101" t="s">
        <v>1128</v>
      </c>
      <c r="C1101" t="s">
        <v>1069</v>
      </c>
      <c r="D1101" t="s">
        <v>1436</v>
      </c>
      <c r="E1101" t="s">
        <v>1069</v>
      </c>
      <c r="F1101" t="s">
        <v>1911</v>
      </c>
      <c r="G1101" t="s">
        <v>1069</v>
      </c>
      <c r="H1101" t="s">
        <v>1875</v>
      </c>
      <c r="I1101" t="s">
        <v>1069</v>
      </c>
    </row>
    <row r="1102" spans="1:9">
      <c r="A1102" t="s">
        <v>3374</v>
      </c>
      <c r="B1102" t="s">
        <v>1107</v>
      </c>
      <c r="C1102" t="s">
        <v>1069</v>
      </c>
      <c r="D1102" t="s">
        <v>1504</v>
      </c>
      <c r="E1102" t="s">
        <v>1069</v>
      </c>
      <c r="F1102" t="s">
        <v>1580</v>
      </c>
      <c r="G1102" t="s">
        <v>1069</v>
      </c>
      <c r="H1102" t="s">
        <v>2417</v>
      </c>
      <c r="I1102" t="s">
        <v>1069</v>
      </c>
    </row>
    <row r="1103" spans="1:9">
      <c r="A1103" t="s">
        <v>3375</v>
      </c>
      <c r="B1103" t="s">
        <v>1107</v>
      </c>
      <c r="C1103" t="s">
        <v>1069</v>
      </c>
      <c r="D1103" t="s">
        <v>1075</v>
      </c>
      <c r="E1103" t="s">
        <v>1069</v>
      </c>
      <c r="F1103" t="s">
        <v>1213</v>
      </c>
      <c r="G1103" t="s">
        <v>1069</v>
      </c>
      <c r="H1103" t="s">
        <v>3376</v>
      </c>
      <c r="I1103" t="s">
        <v>1069</v>
      </c>
    </row>
    <row r="1104" spans="1:9">
      <c r="A1104" t="s">
        <v>3377</v>
      </c>
      <c r="B1104" t="s">
        <v>1143</v>
      </c>
      <c r="C1104" t="s">
        <v>1069</v>
      </c>
      <c r="D1104" t="s">
        <v>1504</v>
      </c>
      <c r="E1104" t="s">
        <v>1069</v>
      </c>
      <c r="F1104" t="s">
        <v>2162</v>
      </c>
      <c r="G1104" t="s">
        <v>1069</v>
      </c>
      <c r="H1104" t="s">
        <v>2674</v>
      </c>
      <c r="I1104" t="s">
        <v>1069</v>
      </c>
    </row>
    <row r="1105" spans="1:9">
      <c r="A1105" t="s">
        <v>3378</v>
      </c>
      <c r="B1105" t="s">
        <v>1128</v>
      </c>
      <c r="C1105" t="s">
        <v>1069</v>
      </c>
      <c r="D1105" t="s">
        <v>1144</v>
      </c>
      <c r="E1105" t="s">
        <v>1069</v>
      </c>
      <c r="F1105" t="s">
        <v>1239</v>
      </c>
      <c r="G1105" t="s">
        <v>1069</v>
      </c>
      <c r="H1105" t="s">
        <v>3379</v>
      </c>
      <c r="I1105" t="s">
        <v>1069</v>
      </c>
    </row>
    <row r="1106" spans="1:9">
      <c r="A1106" t="s">
        <v>3380</v>
      </c>
      <c r="B1106" t="s">
        <v>1136</v>
      </c>
      <c r="C1106" t="s">
        <v>1069</v>
      </c>
      <c r="D1106" t="s">
        <v>1084</v>
      </c>
      <c r="E1106" t="s">
        <v>1069</v>
      </c>
      <c r="F1106" t="s">
        <v>1317</v>
      </c>
      <c r="G1106" t="s">
        <v>1069</v>
      </c>
      <c r="H1106" t="s">
        <v>3381</v>
      </c>
      <c r="I1106" t="s">
        <v>1069</v>
      </c>
    </row>
    <row r="1107" spans="1:9">
      <c r="A1107" t="s">
        <v>3382</v>
      </c>
      <c r="B1107" t="s">
        <v>1260</v>
      </c>
      <c r="C1107" t="s">
        <v>1069</v>
      </c>
      <c r="D1107" t="s">
        <v>1276</v>
      </c>
      <c r="E1107" t="s">
        <v>1069</v>
      </c>
      <c r="F1107" t="s">
        <v>1235</v>
      </c>
      <c r="G1107" t="s">
        <v>1069</v>
      </c>
      <c r="H1107" t="s">
        <v>2309</v>
      </c>
      <c r="I1107" t="s">
        <v>1069</v>
      </c>
    </row>
    <row r="1108" spans="1:9">
      <c r="A1108" t="s">
        <v>3383</v>
      </c>
      <c r="B1108" t="s">
        <v>1116</v>
      </c>
      <c r="C1108" t="s">
        <v>1069</v>
      </c>
      <c r="D1108" t="s">
        <v>1104</v>
      </c>
      <c r="E1108" t="s">
        <v>1069</v>
      </c>
      <c r="F1108" t="s">
        <v>1583</v>
      </c>
      <c r="G1108" t="s">
        <v>1069</v>
      </c>
      <c r="H1108" t="s">
        <v>3384</v>
      </c>
      <c r="I1108" t="s">
        <v>1069</v>
      </c>
    </row>
    <row r="1109" spans="1:9">
      <c r="A1109" t="s">
        <v>3385</v>
      </c>
      <c r="B1109" t="s">
        <v>1139</v>
      </c>
      <c r="C1109" t="s">
        <v>1069</v>
      </c>
      <c r="D1109" t="s">
        <v>1095</v>
      </c>
      <c r="E1109" t="s">
        <v>1069</v>
      </c>
      <c r="F1109" t="s">
        <v>1356</v>
      </c>
      <c r="G1109" t="s">
        <v>1069</v>
      </c>
      <c r="H1109" t="s">
        <v>1082</v>
      </c>
      <c r="I1109" t="s">
        <v>1069</v>
      </c>
    </row>
    <row r="1110" spans="1:9">
      <c r="A1110" t="s">
        <v>3386</v>
      </c>
      <c r="B1110" t="s">
        <v>1089</v>
      </c>
      <c r="C1110" t="s">
        <v>1069</v>
      </c>
      <c r="D1110" t="s">
        <v>1279</v>
      </c>
      <c r="E1110" t="s">
        <v>1069</v>
      </c>
      <c r="F1110" t="s">
        <v>1905</v>
      </c>
      <c r="G1110" t="s">
        <v>1069</v>
      </c>
      <c r="H1110" t="s">
        <v>3387</v>
      </c>
      <c r="I1110" t="s">
        <v>1069</v>
      </c>
    </row>
    <row r="1111" spans="1:9">
      <c r="A1111" t="s">
        <v>3388</v>
      </c>
      <c r="B1111" t="s">
        <v>1129</v>
      </c>
      <c r="C1111" t="s">
        <v>1069</v>
      </c>
      <c r="D1111" t="s">
        <v>1162</v>
      </c>
      <c r="E1111" t="s">
        <v>1069</v>
      </c>
      <c r="F1111" t="s">
        <v>2040</v>
      </c>
      <c r="G1111" t="s">
        <v>1069</v>
      </c>
      <c r="H1111" t="s">
        <v>3389</v>
      </c>
      <c r="I1111" t="s">
        <v>1069</v>
      </c>
    </row>
    <row r="1112" spans="1:9">
      <c r="A1112" t="s">
        <v>3390</v>
      </c>
      <c r="B1112" t="s">
        <v>1136</v>
      </c>
      <c r="C1112" t="s">
        <v>1069</v>
      </c>
      <c r="D1112" t="s">
        <v>1504</v>
      </c>
      <c r="E1112" t="s">
        <v>1069</v>
      </c>
      <c r="F1112" t="s">
        <v>2052</v>
      </c>
      <c r="G1112" t="s">
        <v>1069</v>
      </c>
      <c r="H1112" t="s">
        <v>3049</v>
      </c>
      <c r="I1112" t="s">
        <v>1069</v>
      </c>
    </row>
    <row r="1113" spans="1:9">
      <c r="A1113" t="s">
        <v>3391</v>
      </c>
      <c r="B1113" t="s">
        <v>1270</v>
      </c>
      <c r="C1113" t="s">
        <v>1069</v>
      </c>
      <c r="D1113" t="s">
        <v>1074</v>
      </c>
      <c r="E1113" t="s">
        <v>1069</v>
      </c>
      <c r="F1113" t="s">
        <v>1199</v>
      </c>
      <c r="G1113" t="s">
        <v>1069</v>
      </c>
      <c r="H1113" t="s">
        <v>3392</v>
      </c>
      <c r="I1113" t="s">
        <v>1069</v>
      </c>
    </row>
    <row r="1114" spans="1:9">
      <c r="A1114" t="s">
        <v>3393</v>
      </c>
      <c r="B1114" t="s">
        <v>1259</v>
      </c>
      <c r="C1114" t="s">
        <v>1069</v>
      </c>
      <c r="D1114" t="s">
        <v>1129</v>
      </c>
      <c r="E1114" t="s">
        <v>1069</v>
      </c>
      <c r="F1114" t="s">
        <v>1414</v>
      </c>
      <c r="G1114" t="s">
        <v>1069</v>
      </c>
      <c r="H1114" t="s">
        <v>2717</v>
      </c>
      <c r="I1114" t="s">
        <v>1069</v>
      </c>
    </row>
    <row r="1115" spans="1:9">
      <c r="A1115" t="s">
        <v>3394</v>
      </c>
      <c r="B1115" t="s">
        <v>1255</v>
      </c>
      <c r="C1115" t="s">
        <v>1069</v>
      </c>
      <c r="D1115" t="s">
        <v>1089</v>
      </c>
      <c r="E1115" t="s">
        <v>1069</v>
      </c>
      <c r="F1115" t="s">
        <v>1168</v>
      </c>
      <c r="G1115" t="s">
        <v>1069</v>
      </c>
      <c r="H1115" t="s">
        <v>3395</v>
      </c>
      <c r="I1115" t="s">
        <v>1069</v>
      </c>
    </row>
    <row r="1116" spans="1:9">
      <c r="A1116" t="s">
        <v>3396</v>
      </c>
      <c r="B1116" t="s">
        <v>1259</v>
      </c>
      <c r="C1116" t="s">
        <v>1069</v>
      </c>
      <c r="D1116" t="s">
        <v>1093</v>
      </c>
      <c r="E1116" t="s">
        <v>1069</v>
      </c>
      <c r="F1116" t="s">
        <v>1328</v>
      </c>
      <c r="G1116" t="s">
        <v>1069</v>
      </c>
      <c r="H1116" t="s">
        <v>1499</v>
      </c>
      <c r="I1116" t="s">
        <v>1069</v>
      </c>
    </row>
    <row r="1117" spans="1:9">
      <c r="A1117" t="s">
        <v>3397</v>
      </c>
      <c r="B1117" t="s">
        <v>1488</v>
      </c>
      <c r="C1117" t="s">
        <v>1069</v>
      </c>
      <c r="D1117" t="s">
        <v>1102</v>
      </c>
      <c r="E1117" t="s">
        <v>1069</v>
      </c>
      <c r="F1117" t="s">
        <v>1328</v>
      </c>
      <c r="G1117" t="s">
        <v>1069</v>
      </c>
      <c r="H1117" t="s">
        <v>2264</v>
      </c>
      <c r="I1117" t="s">
        <v>1069</v>
      </c>
    </row>
    <row r="1118" spans="1:9">
      <c r="A1118" t="s">
        <v>3398</v>
      </c>
      <c r="B1118" t="s">
        <v>1259</v>
      </c>
      <c r="C1118" t="s">
        <v>1069</v>
      </c>
      <c r="D1118" t="s">
        <v>1116</v>
      </c>
      <c r="E1118" t="s">
        <v>1069</v>
      </c>
      <c r="F1118" t="s">
        <v>1223</v>
      </c>
      <c r="G1118" t="s">
        <v>1069</v>
      </c>
      <c r="H1118" t="s">
        <v>3040</v>
      </c>
      <c r="I1118" t="s">
        <v>1069</v>
      </c>
    </row>
    <row r="1119" spans="1:9">
      <c r="A1119" t="s">
        <v>3399</v>
      </c>
      <c r="B1119" t="s">
        <v>1288</v>
      </c>
      <c r="C1119" t="s">
        <v>1069</v>
      </c>
      <c r="D1119" t="s">
        <v>1260</v>
      </c>
      <c r="E1119" t="s">
        <v>1069</v>
      </c>
      <c r="F1119" t="s">
        <v>1279</v>
      </c>
      <c r="G1119" t="s">
        <v>1069</v>
      </c>
      <c r="H1119" t="s">
        <v>3400</v>
      </c>
      <c r="I1119" t="s">
        <v>1069</v>
      </c>
    </row>
    <row r="1120" spans="1:9">
      <c r="A1120" t="s">
        <v>3401</v>
      </c>
      <c r="B1120" t="s">
        <v>1264</v>
      </c>
      <c r="C1120" t="s">
        <v>1069</v>
      </c>
      <c r="D1120" t="s">
        <v>1136</v>
      </c>
      <c r="E1120" t="s">
        <v>1069</v>
      </c>
      <c r="F1120" t="s">
        <v>1266</v>
      </c>
      <c r="G1120" t="s">
        <v>1069</v>
      </c>
      <c r="H1120" t="s">
        <v>3402</v>
      </c>
      <c r="I1120" t="s">
        <v>1069</v>
      </c>
    </row>
    <row r="1121" spans="1:9">
      <c r="A1121" t="s">
        <v>3403</v>
      </c>
      <c r="B1121" t="s">
        <v>1476</v>
      </c>
      <c r="C1121" t="s">
        <v>1069</v>
      </c>
      <c r="D1121" t="s">
        <v>1143</v>
      </c>
      <c r="E1121" t="s">
        <v>1069</v>
      </c>
      <c r="F1121" t="s">
        <v>1166</v>
      </c>
      <c r="G1121" t="s">
        <v>1069</v>
      </c>
      <c r="H1121" t="s">
        <v>1800</v>
      </c>
      <c r="I1121" t="s">
        <v>1069</v>
      </c>
    </row>
    <row r="1122" spans="1:9">
      <c r="A1122" t="s">
        <v>3404</v>
      </c>
      <c r="B1122" t="s">
        <v>1488</v>
      </c>
      <c r="C1122" t="s">
        <v>1069</v>
      </c>
      <c r="D1122" t="s">
        <v>1102</v>
      </c>
      <c r="E1122" t="s">
        <v>1069</v>
      </c>
      <c r="F1122" t="s">
        <v>1175</v>
      </c>
      <c r="G1122" t="s">
        <v>1069</v>
      </c>
      <c r="H1122" t="s">
        <v>2990</v>
      </c>
      <c r="I1122" t="s">
        <v>1069</v>
      </c>
    </row>
    <row r="1123" spans="1:9">
      <c r="A1123" t="s">
        <v>3405</v>
      </c>
      <c r="B1123" t="s">
        <v>1259</v>
      </c>
      <c r="C1123" t="s">
        <v>1069</v>
      </c>
      <c r="D1123" t="s">
        <v>1139</v>
      </c>
      <c r="E1123" t="s">
        <v>1069</v>
      </c>
      <c r="F1123" t="s">
        <v>2649</v>
      </c>
      <c r="G1123" t="s">
        <v>1069</v>
      </c>
      <c r="H1123" t="s">
        <v>3406</v>
      </c>
      <c r="I1123" t="s">
        <v>1069</v>
      </c>
    </row>
    <row r="1124" spans="1:9">
      <c r="A1124" t="s">
        <v>3407</v>
      </c>
      <c r="B1124" t="s">
        <v>1259</v>
      </c>
      <c r="C1124" t="s">
        <v>1069</v>
      </c>
      <c r="D1124" t="s">
        <v>1129</v>
      </c>
      <c r="E1124" t="s">
        <v>1069</v>
      </c>
      <c r="F1124" t="s">
        <v>1208</v>
      </c>
      <c r="G1124" t="s">
        <v>1069</v>
      </c>
      <c r="H1124" t="s">
        <v>3408</v>
      </c>
      <c r="I1124" t="s">
        <v>1069</v>
      </c>
    </row>
    <row r="1125" spans="1:9">
      <c r="A1125" t="s">
        <v>3409</v>
      </c>
      <c r="B1125" t="s">
        <v>1259</v>
      </c>
      <c r="C1125" t="s">
        <v>1069</v>
      </c>
      <c r="D1125" t="s">
        <v>1093</v>
      </c>
      <c r="E1125" t="s">
        <v>1069</v>
      </c>
      <c r="F1125" t="s">
        <v>1247</v>
      </c>
      <c r="G1125" t="s">
        <v>1069</v>
      </c>
      <c r="H1125" t="s">
        <v>2878</v>
      </c>
      <c r="I1125" t="s">
        <v>1069</v>
      </c>
    </row>
    <row r="1126" spans="1:9">
      <c r="A1126" t="s">
        <v>3410</v>
      </c>
      <c r="B1126" t="s">
        <v>1143</v>
      </c>
      <c r="C1126" t="s">
        <v>1069</v>
      </c>
      <c r="D1126" t="s">
        <v>1162</v>
      </c>
      <c r="E1126" t="s">
        <v>1069</v>
      </c>
      <c r="F1126" t="s">
        <v>2025</v>
      </c>
      <c r="G1126" t="s">
        <v>1069</v>
      </c>
      <c r="H1126" t="s">
        <v>3411</v>
      </c>
      <c r="I1126" t="s">
        <v>1069</v>
      </c>
    </row>
    <row r="1127" spans="1:9">
      <c r="A1127" t="s">
        <v>3412</v>
      </c>
      <c r="B1127" t="s">
        <v>1143</v>
      </c>
      <c r="C1127" t="s">
        <v>1069</v>
      </c>
      <c r="D1127" t="s">
        <v>1234</v>
      </c>
      <c r="E1127" t="s">
        <v>1069</v>
      </c>
      <c r="F1127" t="s">
        <v>2398</v>
      </c>
      <c r="G1127" t="s">
        <v>1069</v>
      </c>
      <c r="H1127" t="s">
        <v>2836</v>
      </c>
      <c r="I1127" t="s">
        <v>1069</v>
      </c>
    </row>
    <row r="1128" spans="1:9">
      <c r="A1128" t="s">
        <v>3413</v>
      </c>
      <c r="B1128" t="s">
        <v>1255</v>
      </c>
      <c r="C1128" t="s">
        <v>1069</v>
      </c>
      <c r="D1128" t="s">
        <v>1436</v>
      </c>
      <c r="E1128" t="s">
        <v>1069</v>
      </c>
      <c r="F1128" t="s">
        <v>1404</v>
      </c>
      <c r="G1128" t="s">
        <v>1069</v>
      </c>
      <c r="H1128" t="s">
        <v>3414</v>
      </c>
      <c r="I1128" t="s">
        <v>1069</v>
      </c>
    </row>
    <row r="1129" spans="1:9">
      <c r="A1129" t="s">
        <v>3415</v>
      </c>
      <c r="B1129" t="s">
        <v>1288</v>
      </c>
      <c r="C1129" t="s">
        <v>1069</v>
      </c>
      <c r="D1129" t="s">
        <v>1310</v>
      </c>
      <c r="E1129" t="s">
        <v>1069</v>
      </c>
      <c r="F1129" t="s">
        <v>1192</v>
      </c>
      <c r="G1129" t="s">
        <v>1069</v>
      </c>
      <c r="H1129" t="s">
        <v>3416</v>
      </c>
      <c r="I1129" t="s">
        <v>1069</v>
      </c>
    </row>
    <row r="1130" spans="1:9">
      <c r="A1130" t="s">
        <v>3417</v>
      </c>
      <c r="B1130" t="s">
        <v>1293</v>
      </c>
      <c r="C1130" t="s">
        <v>1069</v>
      </c>
      <c r="D1130" t="s">
        <v>1310</v>
      </c>
      <c r="E1130" t="s">
        <v>1069</v>
      </c>
      <c r="F1130" t="s">
        <v>1163</v>
      </c>
      <c r="G1130" t="s">
        <v>1069</v>
      </c>
      <c r="H1130" t="s">
        <v>3418</v>
      </c>
      <c r="I1130" t="s">
        <v>1069</v>
      </c>
    </row>
    <row r="1131" spans="1:9">
      <c r="A1131" t="s">
        <v>3419</v>
      </c>
      <c r="B1131" t="s">
        <v>1152</v>
      </c>
      <c r="C1131" t="s">
        <v>1069</v>
      </c>
      <c r="D1131" t="s">
        <v>1276</v>
      </c>
      <c r="E1131" t="s">
        <v>1069</v>
      </c>
      <c r="F1131" t="s">
        <v>1228</v>
      </c>
      <c r="G1131" t="s">
        <v>1069</v>
      </c>
      <c r="H1131" t="s">
        <v>3420</v>
      </c>
      <c r="I1131" t="s">
        <v>1069</v>
      </c>
    </row>
    <row r="1132" spans="1:9">
      <c r="A1132" t="s">
        <v>3421</v>
      </c>
      <c r="B1132" t="s">
        <v>1143</v>
      </c>
      <c r="C1132" t="s">
        <v>1069</v>
      </c>
      <c r="D1132" t="s">
        <v>1266</v>
      </c>
      <c r="E1132" t="s">
        <v>1069</v>
      </c>
      <c r="F1132" t="s">
        <v>1357</v>
      </c>
      <c r="G1132" t="s">
        <v>1069</v>
      </c>
      <c r="H1132" t="s">
        <v>3422</v>
      </c>
      <c r="I1132" t="s">
        <v>1502</v>
      </c>
    </row>
    <row r="1133" spans="1:9">
      <c r="A1133" t="s">
        <v>3423</v>
      </c>
      <c r="B1133" t="s">
        <v>1113</v>
      </c>
      <c r="C1133" t="s">
        <v>1069</v>
      </c>
      <c r="D1133" t="s">
        <v>1320</v>
      </c>
      <c r="E1133" t="s">
        <v>1069</v>
      </c>
      <c r="F1133" t="s">
        <v>2558</v>
      </c>
      <c r="G1133" t="s">
        <v>1069</v>
      </c>
      <c r="H1133" t="s">
        <v>3424</v>
      </c>
      <c r="I1133" t="s">
        <v>1069</v>
      </c>
    </row>
    <row r="1134" spans="1:9">
      <c r="A1134" t="s">
        <v>3425</v>
      </c>
      <c r="B1134" t="s">
        <v>1113</v>
      </c>
      <c r="C1134" t="s">
        <v>1069</v>
      </c>
      <c r="D1134" t="s">
        <v>1122</v>
      </c>
      <c r="E1134" t="s">
        <v>1069</v>
      </c>
      <c r="F1134" t="s">
        <v>1535</v>
      </c>
      <c r="G1134" t="s">
        <v>1069</v>
      </c>
      <c r="H1134" t="s">
        <v>3426</v>
      </c>
      <c r="I1134" t="s">
        <v>1069</v>
      </c>
    </row>
    <row r="1135" spans="1:9">
      <c r="A1135" t="s">
        <v>3427</v>
      </c>
      <c r="B1135" t="s">
        <v>1139</v>
      </c>
      <c r="C1135" t="s">
        <v>1069</v>
      </c>
      <c r="D1135" t="s">
        <v>1075</v>
      </c>
      <c r="E1135" t="s">
        <v>1069</v>
      </c>
      <c r="F1135" t="s">
        <v>1199</v>
      </c>
      <c r="G1135" t="s">
        <v>1069</v>
      </c>
      <c r="H1135" t="s">
        <v>3428</v>
      </c>
      <c r="I1135" t="s">
        <v>1069</v>
      </c>
    </row>
    <row r="1136" spans="1:9">
      <c r="A1136" t="s">
        <v>3429</v>
      </c>
      <c r="B1136" t="s">
        <v>1140</v>
      </c>
      <c r="C1136" t="s">
        <v>1069</v>
      </c>
      <c r="D1136" t="s">
        <v>1534</v>
      </c>
      <c r="E1136" t="s">
        <v>1069</v>
      </c>
      <c r="F1136" t="s">
        <v>1296</v>
      </c>
      <c r="G1136" t="s">
        <v>1069</v>
      </c>
      <c r="H1136" t="s">
        <v>2041</v>
      </c>
      <c r="I1136" t="s">
        <v>1069</v>
      </c>
    </row>
    <row r="1137" spans="1:9">
      <c r="A1137" t="s">
        <v>3430</v>
      </c>
      <c r="B1137" t="s">
        <v>1580</v>
      </c>
      <c r="C1137" t="s">
        <v>1069</v>
      </c>
      <c r="D1137" t="s">
        <v>1552</v>
      </c>
      <c r="E1137" t="s">
        <v>1069</v>
      </c>
      <c r="F1137" t="s">
        <v>3431</v>
      </c>
      <c r="G1137" t="s">
        <v>1069</v>
      </c>
      <c r="H1137" t="s">
        <v>3432</v>
      </c>
      <c r="I1137" t="s">
        <v>1069</v>
      </c>
    </row>
    <row r="1138" spans="1:9">
      <c r="A1138" t="s">
        <v>3433</v>
      </c>
      <c r="B1138" t="s">
        <v>3266</v>
      </c>
      <c r="C1138" t="s">
        <v>1069</v>
      </c>
      <c r="D1138" t="s">
        <v>1375</v>
      </c>
      <c r="E1138" t="s">
        <v>1069</v>
      </c>
      <c r="F1138" t="s">
        <v>3434</v>
      </c>
      <c r="G1138" t="s">
        <v>1069</v>
      </c>
      <c r="H1138" t="s">
        <v>3435</v>
      </c>
      <c r="I1138" t="s">
        <v>1069</v>
      </c>
    </row>
    <row r="1139" spans="1:9">
      <c r="A1139" t="s">
        <v>3436</v>
      </c>
      <c r="B1139" t="s">
        <v>2013</v>
      </c>
      <c r="C1139" t="s">
        <v>1069</v>
      </c>
      <c r="D1139" t="s">
        <v>1998</v>
      </c>
      <c r="E1139" t="s">
        <v>1069</v>
      </c>
      <c r="F1139" t="s">
        <v>3437</v>
      </c>
      <c r="G1139" t="s">
        <v>1069</v>
      </c>
      <c r="H1139" t="s">
        <v>3438</v>
      </c>
      <c r="I1139" t="s">
        <v>1069</v>
      </c>
    </row>
    <row r="1140" spans="1:9">
      <c r="A1140" t="s">
        <v>3439</v>
      </c>
      <c r="B1140" t="s">
        <v>3440</v>
      </c>
      <c r="C1140" t="s">
        <v>1069</v>
      </c>
      <c r="D1140" t="s">
        <v>3441</v>
      </c>
      <c r="E1140" t="s">
        <v>1069</v>
      </c>
      <c r="F1140" t="s">
        <v>3442</v>
      </c>
      <c r="G1140" t="s">
        <v>1069</v>
      </c>
      <c r="H1140" t="s">
        <v>3443</v>
      </c>
      <c r="I1140" t="s">
        <v>1069</v>
      </c>
    </row>
    <row r="1141" spans="1:9">
      <c r="A1141" t="s">
        <v>3444</v>
      </c>
      <c r="B1141" t="s">
        <v>3445</v>
      </c>
      <c r="C1141" t="s">
        <v>1069</v>
      </c>
      <c r="D1141" t="s">
        <v>2380</v>
      </c>
      <c r="E1141" t="s">
        <v>1069</v>
      </c>
      <c r="F1141" t="s">
        <v>3446</v>
      </c>
      <c r="G1141" t="s">
        <v>1069</v>
      </c>
      <c r="H1141" t="s">
        <v>3447</v>
      </c>
      <c r="I1141" t="s">
        <v>1069</v>
      </c>
    </row>
    <row r="1142" spans="1:9">
      <c r="A1142" t="s">
        <v>3448</v>
      </c>
      <c r="B1142" t="s">
        <v>1980</v>
      </c>
      <c r="C1142" t="s">
        <v>1069</v>
      </c>
      <c r="D1142" t="s">
        <v>3449</v>
      </c>
      <c r="E1142" t="s">
        <v>1069</v>
      </c>
      <c r="F1142" t="s">
        <v>3450</v>
      </c>
      <c r="G1142" t="s">
        <v>1069</v>
      </c>
      <c r="H1142" t="s">
        <v>3451</v>
      </c>
      <c r="I1142" t="s">
        <v>1069</v>
      </c>
    </row>
    <row r="1143" spans="1:9">
      <c r="A1143" t="s">
        <v>3452</v>
      </c>
      <c r="B1143" t="s">
        <v>1353</v>
      </c>
      <c r="C1143" t="s">
        <v>1069</v>
      </c>
      <c r="D1143" t="s">
        <v>1965</v>
      </c>
      <c r="E1143" t="s">
        <v>1069</v>
      </c>
      <c r="F1143" t="s">
        <v>2630</v>
      </c>
      <c r="G1143" t="s">
        <v>1069</v>
      </c>
      <c r="H1143" t="s">
        <v>3453</v>
      </c>
      <c r="I1143" t="s">
        <v>1069</v>
      </c>
    </row>
    <row r="1144" spans="1:9">
      <c r="A1144" t="s">
        <v>3454</v>
      </c>
      <c r="B1144" t="s">
        <v>1374</v>
      </c>
      <c r="C1144" t="s">
        <v>1069</v>
      </c>
      <c r="D1144" t="s">
        <v>3455</v>
      </c>
      <c r="E1144" t="s">
        <v>1069</v>
      </c>
      <c r="F1144" t="s">
        <v>2385</v>
      </c>
      <c r="G1144" t="s">
        <v>1069</v>
      </c>
      <c r="H1144" t="s">
        <v>3456</v>
      </c>
      <c r="I1144" t="s">
        <v>1069</v>
      </c>
    </row>
    <row r="1145" spans="1:9">
      <c r="A1145" t="s">
        <v>3457</v>
      </c>
      <c r="B1145" t="s">
        <v>1531</v>
      </c>
      <c r="C1145" t="s">
        <v>1069</v>
      </c>
      <c r="D1145" t="s">
        <v>2399</v>
      </c>
      <c r="E1145" t="s">
        <v>1069</v>
      </c>
      <c r="F1145" t="s">
        <v>1342</v>
      </c>
      <c r="G1145" t="s">
        <v>1069</v>
      </c>
      <c r="H1145" t="s">
        <v>3458</v>
      </c>
      <c r="I1145" t="s">
        <v>1069</v>
      </c>
    </row>
    <row r="1146" spans="1:9">
      <c r="A1146" t="s">
        <v>3459</v>
      </c>
      <c r="B1146" t="s">
        <v>2176</v>
      </c>
      <c r="C1146" t="s">
        <v>1069</v>
      </c>
      <c r="D1146" t="s">
        <v>3460</v>
      </c>
      <c r="E1146" t="s">
        <v>1069</v>
      </c>
      <c r="F1146" t="s">
        <v>2594</v>
      </c>
      <c r="G1146" t="s">
        <v>1069</v>
      </c>
      <c r="H1146" t="s">
        <v>3461</v>
      </c>
      <c r="I1146" t="s">
        <v>1069</v>
      </c>
    </row>
    <row r="1147" spans="1:9">
      <c r="A1147" t="s">
        <v>3462</v>
      </c>
      <c r="B1147" t="s">
        <v>2577</v>
      </c>
      <c r="C1147" t="s">
        <v>1069</v>
      </c>
      <c r="D1147" t="s">
        <v>1334</v>
      </c>
      <c r="E1147" t="s">
        <v>1069</v>
      </c>
      <c r="F1147" t="s">
        <v>3463</v>
      </c>
      <c r="G1147" t="s">
        <v>1069</v>
      </c>
      <c r="H1147" t="s">
        <v>3464</v>
      </c>
      <c r="I1147" t="s">
        <v>1069</v>
      </c>
    </row>
    <row r="1148" spans="1:9">
      <c r="A1148" t="s">
        <v>3465</v>
      </c>
      <c r="B1148" t="s">
        <v>3466</v>
      </c>
      <c r="C1148" t="s">
        <v>1069</v>
      </c>
      <c r="D1148" t="s">
        <v>2383</v>
      </c>
      <c r="E1148" t="s">
        <v>1069</v>
      </c>
      <c r="F1148" t="s">
        <v>2599</v>
      </c>
      <c r="G1148" t="s">
        <v>1069</v>
      </c>
      <c r="H1148" t="s">
        <v>3467</v>
      </c>
      <c r="I1148" t="s">
        <v>1069</v>
      </c>
    </row>
    <row r="1149" spans="1:9">
      <c r="A1149" t="s">
        <v>3468</v>
      </c>
      <c r="B1149" t="s">
        <v>1351</v>
      </c>
      <c r="C1149" t="s">
        <v>1069</v>
      </c>
      <c r="D1149" t="s">
        <v>1539</v>
      </c>
      <c r="E1149" t="s">
        <v>1069</v>
      </c>
      <c r="F1149" t="s">
        <v>2221</v>
      </c>
      <c r="G1149" t="s">
        <v>1069</v>
      </c>
      <c r="H1149" t="s">
        <v>3469</v>
      </c>
      <c r="I1149" t="s">
        <v>1069</v>
      </c>
    </row>
    <row r="1150" spans="1:9">
      <c r="A1150" t="s">
        <v>3470</v>
      </c>
      <c r="B1150" t="s">
        <v>2558</v>
      </c>
      <c r="C1150" t="s">
        <v>1069</v>
      </c>
      <c r="D1150" t="s">
        <v>1983</v>
      </c>
      <c r="E1150" t="s">
        <v>1069</v>
      </c>
      <c r="F1150" t="s">
        <v>2021</v>
      </c>
      <c r="G1150" t="s">
        <v>1069</v>
      </c>
      <c r="H1150" t="s">
        <v>3471</v>
      </c>
      <c r="I1150" t="s">
        <v>1069</v>
      </c>
    </row>
    <row r="1151" spans="1:9">
      <c r="A1151" t="s">
        <v>3472</v>
      </c>
      <c r="B1151" t="s">
        <v>1200</v>
      </c>
      <c r="C1151" t="s">
        <v>1069</v>
      </c>
      <c r="D1151" t="s">
        <v>1217</v>
      </c>
      <c r="E1151" t="s">
        <v>1069</v>
      </c>
      <c r="F1151" t="s">
        <v>2025</v>
      </c>
      <c r="G1151" t="s">
        <v>1069</v>
      </c>
      <c r="H1151" t="s">
        <v>3473</v>
      </c>
      <c r="I1151" t="s">
        <v>1069</v>
      </c>
    </row>
    <row r="1152" spans="1:9">
      <c r="A1152" t="s">
        <v>3474</v>
      </c>
      <c r="B1152" t="s">
        <v>1187</v>
      </c>
      <c r="C1152" t="s">
        <v>1069</v>
      </c>
      <c r="D1152" t="s">
        <v>1224</v>
      </c>
      <c r="E1152" t="s">
        <v>1069</v>
      </c>
      <c r="F1152" t="s">
        <v>1574</v>
      </c>
      <c r="G1152" t="s">
        <v>1069</v>
      </c>
      <c r="H1152" t="s">
        <v>3475</v>
      </c>
      <c r="I1152" t="s">
        <v>1069</v>
      </c>
    </row>
    <row r="1153" spans="1:9">
      <c r="A1153" t="s">
        <v>3476</v>
      </c>
      <c r="B1153" t="s">
        <v>1317</v>
      </c>
      <c r="C1153" t="s">
        <v>1069</v>
      </c>
      <c r="D1153" t="s">
        <v>1187</v>
      </c>
      <c r="E1153" t="s">
        <v>1069</v>
      </c>
      <c r="F1153" t="s">
        <v>1188</v>
      </c>
      <c r="G1153" t="s">
        <v>1069</v>
      </c>
      <c r="H1153" t="s">
        <v>3477</v>
      </c>
      <c r="I1153" t="s">
        <v>1069</v>
      </c>
    </row>
    <row r="1154" spans="1:9">
      <c r="A1154" t="s">
        <v>3478</v>
      </c>
      <c r="B1154" t="s">
        <v>1191</v>
      </c>
      <c r="C1154" t="s">
        <v>1069</v>
      </c>
      <c r="D1154" t="s">
        <v>1527</v>
      </c>
      <c r="E1154" t="s">
        <v>1069</v>
      </c>
      <c r="F1154" t="s">
        <v>1606</v>
      </c>
      <c r="G1154" t="s">
        <v>1069</v>
      </c>
      <c r="H1154" t="s">
        <v>3479</v>
      </c>
      <c r="I1154" t="s">
        <v>1069</v>
      </c>
    </row>
    <row r="1155" spans="1:9">
      <c r="A1155" t="s">
        <v>3480</v>
      </c>
      <c r="B1155" t="s">
        <v>1163</v>
      </c>
      <c r="C1155" t="s">
        <v>1069</v>
      </c>
      <c r="D1155" t="s">
        <v>2649</v>
      </c>
      <c r="E1155" t="s">
        <v>1069</v>
      </c>
      <c r="F1155" t="s">
        <v>1395</v>
      </c>
      <c r="G1155" t="s">
        <v>1069</v>
      </c>
      <c r="H1155" t="s">
        <v>3481</v>
      </c>
      <c r="I1155" t="s">
        <v>1069</v>
      </c>
    </row>
    <row r="1156" spans="1:9">
      <c r="A1156" t="s">
        <v>3482</v>
      </c>
      <c r="B1156" t="s">
        <v>1573</v>
      </c>
      <c r="C1156" t="s">
        <v>1069</v>
      </c>
      <c r="D1156" t="s">
        <v>1235</v>
      </c>
      <c r="E1156" t="s">
        <v>1069</v>
      </c>
      <c r="F1156" t="s">
        <v>1395</v>
      </c>
      <c r="G1156" t="s">
        <v>1069</v>
      </c>
      <c r="H1156" t="s">
        <v>3483</v>
      </c>
      <c r="I1156" t="s">
        <v>1069</v>
      </c>
    </row>
    <row r="1157" spans="1:9">
      <c r="A1157" t="s">
        <v>3484</v>
      </c>
      <c r="B1157" t="s">
        <v>1400</v>
      </c>
      <c r="C1157" t="s">
        <v>1069</v>
      </c>
      <c r="D1157" t="s">
        <v>1535</v>
      </c>
      <c r="E1157" t="s">
        <v>1069</v>
      </c>
      <c r="F1157" t="s">
        <v>1387</v>
      </c>
      <c r="G1157" t="s">
        <v>1069</v>
      </c>
      <c r="H1157" t="s">
        <v>3485</v>
      </c>
      <c r="I1157" t="s">
        <v>1069</v>
      </c>
    </row>
    <row r="1158" spans="1:9">
      <c r="A1158" t="s">
        <v>3486</v>
      </c>
      <c r="B1158" t="s">
        <v>1296</v>
      </c>
      <c r="C1158" t="s">
        <v>1069</v>
      </c>
      <c r="D1158" t="s">
        <v>1217</v>
      </c>
      <c r="E1158" t="s">
        <v>1069</v>
      </c>
      <c r="F1158" t="s">
        <v>3487</v>
      </c>
      <c r="G1158" t="s">
        <v>1069</v>
      </c>
      <c r="H1158" t="s">
        <v>3488</v>
      </c>
      <c r="I1158" t="s">
        <v>1069</v>
      </c>
    </row>
    <row r="1159" spans="1:9">
      <c r="A1159" t="s">
        <v>3489</v>
      </c>
      <c r="B1159" t="s">
        <v>1518</v>
      </c>
      <c r="C1159" t="s">
        <v>1069</v>
      </c>
      <c r="D1159" t="s">
        <v>2049</v>
      </c>
      <c r="E1159" t="s">
        <v>1069</v>
      </c>
      <c r="F1159" t="s">
        <v>1404</v>
      </c>
      <c r="G1159" t="s">
        <v>1069</v>
      </c>
      <c r="H1159" t="s">
        <v>3490</v>
      </c>
      <c r="I1159" t="s">
        <v>1069</v>
      </c>
    </row>
    <row r="1160" spans="1:9">
      <c r="A1160" t="s">
        <v>3491</v>
      </c>
      <c r="B1160" t="s">
        <v>1223</v>
      </c>
      <c r="C1160" t="s">
        <v>1069</v>
      </c>
      <c r="D1160" t="s">
        <v>1247</v>
      </c>
      <c r="E1160" t="s">
        <v>1069</v>
      </c>
      <c r="F1160" t="s">
        <v>1203</v>
      </c>
      <c r="G1160" t="s">
        <v>1069</v>
      </c>
      <c r="H1160" t="s">
        <v>3492</v>
      </c>
      <c r="I1160" t="s">
        <v>1069</v>
      </c>
    </row>
    <row r="1161" spans="1:9">
      <c r="A1161" t="s">
        <v>3493</v>
      </c>
      <c r="B1161" t="s">
        <v>1285</v>
      </c>
      <c r="C1161" t="s">
        <v>1069</v>
      </c>
      <c r="D1161" t="s">
        <v>1261</v>
      </c>
      <c r="E1161" t="s">
        <v>1069</v>
      </c>
      <c r="F1161" t="s">
        <v>1414</v>
      </c>
      <c r="G1161" t="s">
        <v>1069</v>
      </c>
      <c r="H1161" t="s">
        <v>3494</v>
      </c>
      <c r="I1161" t="s">
        <v>1069</v>
      </c>
    </row>
    <row r="1162" spans="1:9">
      <c r="A1162" t="s">
        <v>3495</v>
      </c>
      <c r="B1162" t="s">
        <v>1238</v>
      </c>
      <c r="C1162" t="s">
        <v>1069</v>
      </c>
      <c r="D1162" t="s">
        <v>1171</v>
      </c>
      <c r="E1162" t="s">
        <v>1069</v>
      </c>
      <c r="F1162" t="s">
        <v>1212</v>
      </c>
      <c r="G1162" t="s">
        <v>1069</v>
      </c>
      <c r="H1162" t="s">
        <v>3496</v>
      </c>
      <c r="I1162" t="s">
        <v>1069</v>
      </c>
    </row>
    <row r="1163" spans="1:9">
      <c r="A1163" t="s">
        <v>3497</v>
      </c>
      <c r="B1163" t="s">
        <v>1071</v>
      </c>
      <c r="C1163" t="s">
        <v>1069</v>
      </c>
      <c r="D1163" t="s">
        <v>1231</v>
      </c>
      <c r="E1163" t="s">
        <v>1069</v>
      </c>
      <c r="F1163" t="s">
        <v>1199</v>
      </c>
      <c r="G1163" t="s">
        <v>1069</v>
      </c>
      <c r="H1163" t="s">
        <v>3498</v>
      </c>
      <c r="I1163" t="s">
        <v>1069</v>
      </c>
    </row>
    <row r="1164" spans="1:9">
      <c r="A1164" t="s">
        <v>3499</v>
      </c>
      <c r="B1164" t="s">
        <v>1162</v>
      </c>
      <c r="C1164" t="s">
        <v>1069</v>
      </c>
      <c r="D1164" t="s">
        <v>1166</v>
      </c>
      <c r="E1164" t="s">
        <v>1069</v>
      </c>
      <c r="F1164" t="s">
        <v>1199</v>
      </c>
      <c r="G1164" t="s">
        <v>1069</v>
      </c>
      <c r="H1164" t="s">
        <v>3500</v>
      </c>
      <c r="I1164" t="s">
        <v>1069</v>
      </c>
    </row>
    <row r="1165" spans="1:9">
      <c r="A1165" t="s">
        <v>3501</v>
      </c>
      <c r="B1165" t="s">
        <v>1242</v>
      </c>
      <c r="C1165" t="s">
        <v>1069</v>
      </c>
      <c r="D1165" t="s">
        <v>1223</v>
      </c>
      <c r="E1165" t="s">
        <v>1069</v>
      </c>
      <c r="F1165" t="s">
        <v>1195</v>
      </c>
      <c r="G1165" t="s">
        <v>1069</v>
      </c>
      <c r="H1165" t="s">
        <v>3502</v>
      </c>
      <c r="I1165" t="s">
        <v>1069</v>
      </c>
    </row>
    <row r="1166" spans="1:9">
      <c r="A1166" t="s">
        <v>3503</v>
      </c>
      <c r="B1166" t="s">
        <v>1070</v>
      </c>
      <c r="C1166" t="s">
        <v>1069</v>
      </c>
      <c r="D1166" t="s">
        <v>1242</v>
      </c>
      <c r="E1166" t="s">
        <v>1069</v>
      </c>
      <c r="F1166" t="s">
        <v>1179</v>
      </c>
      <c r="G1166" t="s">
        <v>1069</v>
      </c>
      <c r="H1166" t="s">
        <v>1368</v>
      </c>
      <c r="I1166" t="s">
        <v>1069</v>
      </c>
    </row>
    <row r="1167" spans="1:9">
      <c r="A1167" t="s">
        <v>3504</v>
      </c>
      <c r="B1167" t="s">
        <v>1079</v>
      </c>
      <c r="C1167" t="s">
        <v>1069</v>
      </c>
      <c r="D1167" t="s">
        <v>1276</v>
      </c>
      <c r="E1167" t="s">
        <v>1069</v>
      </c>
      <c r="F1167" t="s">
        <v>1285</v>
      </c>
      <c r="G1167" t="s">
        <v>1069</v>
      </c>
      <c r="H1167" t="s">
        <v>3505</v>
      </c>
      <c r="I1167" t="s">
        <v>1069</v>
      </c>
    </row>
    <row r="1168" spans="1:9">
      <c r="A1168" t="s">
        <v>3506</v>
      </c>
      <c r="B1168" t="s">
        <v>1116</v>
      </c>
      <c r="C1168" t="s">
        <v>1069</v>
      </c>
      <c r="D1168" t="s">
        <v>1074</v>
      </c>
      <c r="E1168" t="s">
        <v>1069</v>
      </c>
      <c r="F1168" t="s">
        <v>1104</v>
      </c>
      <c r="G1168" t="s">
        <v>1069</v>
      </c>
      <c r="H1168" t="s">
        <v>3507</v>
      </c>
      <c r="I1168" t="s">
        <v>1069</v>
      </c>
    </row>
    <row r="1169" spans="1:9">
      <c r="A1169" t="s">
        <v>3508</v>
      </c>
      <c r="B1169" t="s">
        <v>1116</v>
      </c>
      <c r="C1169" t="s">
        <v>1069</v>
      </c>
      <c r="D1169" t="s">
        <v>1068</v>
      </c>
      <c r="E1169" t="s">
        <v>1069</v>
      </c>
      <c r="F1169" t="s">
        <v>1095</v>
      </c>
      <c r="G1169" t="s">
        <v>1069</v>
      </c>
      <c r="H1169" t="s">
        <v>3509</v>
      </c>
      <c r="I1169" t="s">
        <v>1069</v>
      </c>
    </row>
    <row r="1170" spans="1:9">
      <c r="A1170" t="s">
        <v>3510</v>
      </c>
      <c r="B1170" t="s">
        <v>1121</v>
      </c>
      <c r="C1170" t="s">
        <v>1069</v>
      </c>
      <c r="D1170" t="s">
        <v>1113</v>
      </c>
      <c r="E1170" t="s">
        <v>1069</v>
      </c>
      <c r="F1170" t="s">
        <v>1085</v>
      </c>
      <c r="G1170" t="s">
        <v>1069</v>
      </c>
      <c r="H1170" t="s">
        <v>3511</v>
      </c>
      <c r="I1170" t="s">
        <v>1069</v>
      </c>
    </row>
    <row r="1171" spans="1:9">
      <c r="A1171" t="s">
        <v>3512</v>
      </c>
      <c r="B1171" t="s">
        <v>1121</v>
      </c>
      <c r="C1171" t="s">
        <v>1069</v>
      </c>
      <c r="D1171" t="s">
        <v>1113</v>
      </c>
      <c r="E1171" t="s">
        <v>1069</v>
      </c>
      <c r="F1171" t="s">
        <v>1095</v>
      </c>
      <c r="G1171" t="s">
        <v>1069</v>
      </c>
      <c r="H1171" t="s">
        <v>3513</v>
      </c>
      <c r="I1171" t="s">
        <v>1069</v>
      </c>
    </row>
    <row r="1172" spans="1:9">
      <c r="A1172" t="s">
        <v>3514</v>
      </c>
      <c r="B1172" t="s">
        <v>1136</v>
      </c>
      <c r="C1172" t="s">
        <v>1069</v>
      </c>
      <c r="D1172" t="s">
        <v>1129</v>
      </c>
      <c r="E1172" t="s">
        <v>1069</v>
      </c>
      <c r="F1172" t="s">
        <v>1242</v>
      </c>
      <c r="G1172" t="s">
        <v>1069</v>
      </c>
      <c r="H1172" t="s">
        <v>1160</v>
      </c>
      <c r="I1172" t="s">
        <v>1069</v>
      </c>
    </row>
    <row r="1173" spans="1:9">
      <c r="A1173" t="s">
        <v>3515</v>
      </c>
      <c r="B1173" t="s">
        <v>1284</v>
      </c>
      <c r="C1173" t="s">
        <v>1069</v>
      </c>
      <c r="D1173" t="s">
        <v>1102</v>
      </c>
      <c r="E1173" t="s">
        <v>1069</v>
      </c>
      <c r="F1173" t="s">
        <v>1140</v>
      </c>
      <c r="G1173" t="s">
        <v>1069</v>
      </c>
      <c r="H1173" t="s">
        <v>3516</v>
      </c>
      <c r="I1173" t="s">
        <v>1069</v>
      </c>
    </row>
    <row r="1174" spans="1:9">
      <c r="A1174" t="s">
        <v>3517</v>
      </c>
      <c r="B1174" t="s">
        <v>1284</v>
      </c>
      <c r="C1174" t="s">
        <v>1069</v>
      </c>
      <c r="D1174" t="s">
        <v>1102</v>
      </c>
      <c r="E1174" t="s">
        <v>1069</v>
      </c>
      <c r="F1174" t="s">
        <v>1140</v>
      </c>
      <c r="G1174" t="s">
        <v>1069</v>
      </c>
      <c r="H1174" t="s">
        <v>3518</v>
      </c>
      <c r="I1174" t="s">
        <v>1069</v>
      </c>
    </row>
    <row r="1175" spans="1:9">
      <c r="A1175" t="s">
        <v>3519</v>
      </c>
      <c r="B1175" t="s">
        <v>1152</v>
      </c>
      <c r="C1175" t="s">
        <v>1069</v>
      </c>
      <c r="D1175" t="s">
        <v>1260</v>
      </c>
      <c r="E1175" t="s">
        <v>1069</v>
      </c>
      <c r="F1175" t="s">
        <v>1144</v>
      </c>
      <c r="G1175" t="s">
        <v>1069</v>
      </c>
      <c r="H1175" t="s">
        <v>3090</v>
      </c>
      <c r="I1175" t="s">
        <v>1069</v>
      </c>
    </row>
    <row r="1176" spans="1:9">
      <c r="A1176" t="s">
        <v>3520</v>
      </c>
      <c r="B1176" t="s">
        <v>1149</v>
      </c>
      <c r="C1176" t="s">
        <v>1069</v>
      </c>
      <c r="D1176" t="s">
        <v>1143</v>
      </c>
      <c r="E1176" t="s">
        <v>1069</v>
      </c>
      <c r="F1176" t="s">
        <v>1098</v>
      </c>
      <c r="G1176" t="s">
        <v>1069</v>
      </c>
      <c r="H1176" t="s">
        <v>3521</v>
      </c>
      <c r="I1176" t="s">
        <v>1069</v>
      </c>
    </row>
    <row r="1177" spans="1:9">
      <c r="A1177" t="s">
        <v>3522</v>
      </c>
      <c r="B1177" t="s">
        <v>1152</v>
      </c>
      <c r="C1177" t="s">
        <v>1069</v>
      </c>
      <c r="D1177" t="s">
        <v>1128</v>
      </c>
      <c r="E1177" t="s">
        <v>1069</v>
      </c>
      <c r="F1177" t="s">
        <v>1068</v>
      </c>
      <c r="G1177" t="s">
        <v>1069</v>
      </c>
      <c r="H1177" t="s">
        <v>3523</v>
      </c>
      <c r="I1177" t="s">
        <v>1069</v>
      </c>
    </row>
    <row r="1178" spans="1:9">
      <c r="A1178" t="s">
        <v>3524</v>
      </c>
      <c r="B1178" t="s">
        <v>1255</v>
      </c>
      <c r="C1178" t="s">
        <v>1069</v>
      </c>
      <c r="D1178" t="s">
        <v>1136</v>
      </c>
      <c r="E1178" t="s">
        <v>1069</v>
      </c>
      <c r="F1178" t="s">
        <v>1068</v>
      </c>
      <c r="G1178" t="s">
        <v>1069</v>
      </c>
      <c r="H1178" t="s">
        <v>3525</v>
      </c>
      <c r="I1178" t="s">
        <v>1069</v>
      </c>
    </row>
    <row r="1179" spans="1:9">
      <c r="A1179" t="s">
        <v>3526</v>
      </c>
      <c r="B1179" t="s">
        <v>1121</v>
      </c>
      <c r="C1179" t="s">
        <v>1069</v>
      </c>
      <c r="D1179" t="s">
        <v>1116</v>
      </c>
      <c r="E1179" t="s">
        <v>1069</v>
      </c>
      <c r="F1179" t="s">
        <v>1075</v>
      </c>
      <c r="G1179" t="s">
        <v>1069</v>
      </c>
      <c r="H1179" t="s">
        <v>3527</v>
      </c>
      <c r="I1179" t="s">
        <v>1069</v>
      </c>
    </row>
    <row r="1180" spans="1:9">
      <c r="A1180" t="s">
        <v>3528</v>
      </c>
      <c r="B1180" t="s">
        <v>1107</v>
      </c>
      <c r="C1180" t="s">
        <v>1069</v>
      </c>
      <c r="D1180" t="s">
        <v>1089</v>
      </c>
      <c r="E1180" t="s">
        <v>1069</v>
      </c>
      <c r="F1180" t="s">
        <v>1266</v>
      </c>
      <c r="G1180" t="s">
        <v>1069</v>
      </c>
      <c r="H1180" t="s">
        <v>3529</v>
      </c>
      <c r="I1180" t="s">
        <v>1069</v>
      </c>
    </row>
    <row r="1181" spans="1:9">
      <c r="A1181" t="s">
        <v>3530</v>
      </c>
      <c r="B1181" t="s">
        <v>1107</v>
      </c>
      <c r="C1181" t="s">
        <v>1069</v>
      </c>
      <c r="D1181" t="s">
        <v>1068</v>
      </c>
      <c r="E1181" t="s">
        <v>1069</v>
      </c>
      <c r="F1181" t="s">
        <v>1104</v>
      </c>
      <c r="G1181" t="s">
        <v>1069</v>
      </c>
      <c r="H1181" t="s">
        <v>3531</v>
      </c>
      <c r="I1181" t="s">
        <v>1069</v>
      </c>
    </row>
    <row r="1182" spans="1:9">
      <c r="A1182" t="s">
        <v>3532</v>
      </c>
      <c r="B1182" t="s">
        <v>1260</v>
      </c>
      <c r="C1182" t="s">
        <v>1069</v>
      </c>
      <c r="D1182" t="s">
        <v>1310</v>
      </c>
      <c r="E1182" t="s">
        <v>1069</v>
      </c>
      <c r="F1182" t="s">
        <v>1159</v>
      </c>
      <c r="G1182" t="s">
        <v>1069</v>
      </c>
      <c r="H1182" t="s">
        <v>3533</v>
      </c>
      <c r="I1182" t="s">
        <v>1069</v>
      </c>
    </row>
    <row r="1183" spans="1:9">
      <c r="A1183" t="s">
        <v>3534</v>
      </c>
      <c r="B1183" t="s">
        <v>1260</v>
      </c>
      <c r="C1183" t="s">
        <v>1069</v>
      </c>
      <c r="D1183" t="s">
        <v>1068</v>
      </c>
      <c r="E1183" t="s">
        <v>1069</v>
      </c>
      <c r="F1183" t="s">
        <v>1279</v>
      </c>
      <c r="G1183" t="s">
        <v>1069</v>
      </c>
      <c r="H1183" t="s">
        <v>3535</v>
      </c>
      <c r="I1183" t="s">
        <v>1069</v>
      </c>
    </row>
    <row r="1184" spans="1:9">
      <c r="A1184" t="s">
        <v>3536</v>
      </c>
      <c r="B1184" t="s">
        <v>1143</v>
      </c>
      <c r="C1184" t="s">
        <v>1069</v>
      </c>
      <c r="D1184" t="s">
        <v>1089</v>
      </c>
      <c r="E1184" t="s">
        <v>1069</v>
      </c>
      <c r="F1184" t="s">
        <v>1223</v>
      </c>
      <c r="G1184" t="s">
        <v>1069</v>
      </c>
      <c r="H1184" t="s">
        <v>3537</v>
      </c>
      <c r="I1184" t="s">
        <v>1069</v>
      </c>
    </row>
    <row r="1185" spans="1:9">
      <c r="A1185" t="s">
        <v>3538</v>
      </c>
      <c r="B1185" t="s">
        <v>1107</v>
      </c>
      <c r="C1185" t="s">
        <v>1069</v>
      </c>
      <c r="D1185" t="s">
        <v>1068</v>
      </c>
      <c r="E1185" t="s">
        <v>1069</v>
      </c>
      <c r="F1185" t="s">
        <v>1279</v>
      </c>
      <c r="G1185" t="s">
        <v>1069</v>
      </c>
      <c r="H1185" t="s">
        <v>2027</v>
      </c>
      <c r="I1185" t="s">
        <v>1069</v>
      </c>
    </row>
    <row r="1186" spans="1:9">
      <c r="A1186" t="s">
        <v>3539</v>
      </c>
      <c r="B1186" t="s">
        <v>1310</v>
      </c>
      <c r="C1186" t="s">
        <v>1069</v>
      </c>
      <c r="D1186" t="s">
        <v>1090</v>
      </c>
      <c r="E1186" t="s">
        <v>1069</v>
      </c>
      <c r="F1186" t="s">
        <v>1256</v>
      </c>
      <c r="G1186" t="s">
        <v>1069</v>
      </c>
      <c r="H1186" t="s">
        <v>3540</v>
      </c>
      <c r="I1186" t="s">
        <v>1069</v>
      </c>
    </row>
    <row r="1187" spans="1:9">
      <c r="A1187" t="s">
        <v>3541</v>
      </c>
      <c r="B1187" t="s">
        <v>1103</v>
      </c>
      <c r="C1187" t="s">
        <v>1069</v>
      </c>
      <c r="D1187" t="s">
        <v>1085</v>
      </c>
      <c r="E1187" t="s">
        <v>1069</v>
      </c>
      <c r="F1187" t="s">
        <v>1235</v>
      </c>
      <c r="G1187" t="s">
        <v>1069</v>
      </c>
      <c r="H1187" t="s">
        <v>3542</v>
      </c>
      <c r="I1187" t="s">
        <v>1069</v>
      </c>
    </row>
    <row r="1188" spans="1:9">
      <c r="A1188" t="s">
        <v>3543</v>
      </c>
      <c r="B1188" t="s">
        <v>1098</v>
      </c>
      <c r="C1188" t="s">
        <v>1069</v>
      </c>
      <c r="D1188" t="s">
        <v>1104</v>
      </c>
      <c r="E1188" t="s">
        <v>1069</v>
      </c>
      <c r="F1188" t="s">
        <v>1199</v>
      </c>
      <c r="G1188" t="s">
        <v>1069</v>
      </c>
      <c r="H1188" t="s">
        <v>3544</v>
      </c>
      <c r="I1188" t="s">
        <v>1069</v>
      </c>
    </row>
    <row r="1189" spans="1:9">
      <c r="A1189" t="s">
        <v>3545</v>
      </c>
      <c r="B1189" t="s">
        <v>1436</v>
      </c>
      <c r="C1189" t="s">
        <v>1069</v>
      </c>
      <c r="D1189" t="s">
        <v>1266</v>
      </c>
      <c r="E1189" t="s">
        <v>1069</v>
      </c>
      <c r="F1189" t="s">
        <v>1518</v>
      </c>
      <c r="G1189" t="s">
        <v>1069</v>
      </c>
      <c r="H1189" t="s">
        <v>3546</v>
      </c>
      <c r="I1189" t="s">
        <v>1069</v>
      </c>
    </row>
    <row r="1190" spans="1:9">
      <c r="A1190" t="s">
        <v>3547</v>
      </c>
      <c r="B1190" t="s">
        <v>1085</v>
      </c>
      <c r="C1190" t="s">
        <v>1069</v>
      </c>
      <c r="D1190" t="s">
        <v>1076</v>
      </c>
      <c r="E1190" t="s">
        <v>1069</v>
      </c>
      <c r="F1190" t="s">
        <v>1964</v>
      </c>
      <c r="G1190" t="s">
        <v>1069</v>
      </c>
      <c r="H1190" t="s">
        <v>3338</v>
      </c>
      <c r="I1190" t="s">
        <v>1069</v>
      </c>
    </row>
    <row r="1191" spans="1:9">
      <c r="A1191" t="s">
        <v>3548</v>
      </c>
      <c r="B1191" t="s">
        <v>1279</v>
      </c>
      <c r="C1191" t="s">
        <v>1069</v>
      </c>
      <c r="D1191" t="s">
        <v>1317</v>
      </c>
      <c r="E1191" t="s">
        <v>1069</v>
      </c>
      <c r="F1191" t="s">
        <v>1388</v>
      </c>
      <c r="G1191" t="s">
        <v>1069</v>
      </c>
      <c r="H1191" t="s">
        <v>3549</v>
      </c>
      <c r="I1191" t="s">
        <v>1069</v>
      </c>
    </row>
    <row r="1192" spans="1:9">
      <c r="A1192" t="s">
        <v>3550</v>
      </c>
      <c r="B1192" t="s">
        <v>1168</v>
      </c>
      <c r="C1192" t="s">
        <v>1069</v>
      </c>
      <c r="D1192" t="s">
        <v>2703</v>
      </c>
      <c r="E1192" t="s">
        <v>1069</v>
      </c>
      <c r="F1192" t="s">
        <v>3551</v>
      </c>
      <c r="G1192" t="s">
        <v>1069</v>
      </c>
      <c r="H1192" t="s">
        <v>3552</v>
      </c>
      <c r="I1192" t="s">
        <v>1069</v>
      </c>
    </row>
    <row r="1193" spans="1:9">
      <c r="A1193" t="s">
        <v>3553</v>
      </c>
      <c r="B1193" t="s">
        <v>1213</v>
      </c>
      <c r="C1193" t="s">
        <v>1069</v>
      </c>
      <c r="D1193" t="s">
        <v>2398</v>
      </c>
      <c r="E1193" t="s">
        <v>1069</v>
      </c>
      <c r="F1193" t="s">
        <v>1991</v>
      </c>
      <c r="G1193" t="s">
        <v>1069</v>
      </c>
      <c r="H1193" t="s">
        <v>3554</v>
      </c>
      <c r="I1193" t="s">
        <v>1069</v>
      </c>
    </row>
    <row r="1194" spans="1:9">
      <c r="A1194" t="s">
        <v>3555</v>
      </c>
      <c r="B1194" t="s">
        <v>1911</v>
      </c>
      <c r="C1194" t="s">
        <v>1069</v>
      </c>
      <c r="D1194" t="s">
        <v>2703</v>
      </c>
      <c r="E1194" t="s">
        <v>1069</v>
      </c>
      <c r="F1194" t="s">
        <v>1362</v>
      </c>
      <c r="G1194" t="s">
        <v>1069</v>
      </c>
      <c r="H1194" t="s">
        <v>3556</v>
      </c>
      <c r="I1194" t="s">
        <v>1069</v>
      </c>
    </row>
    <row r="1195" spans="1:9">
      <c r="A1195" t="s">
        <v>3557</v>
      </c>
      <c r="B1195" t="s">
        <v>1256</v>
      </c>
      <c r="C1195" t="s">
        <v>1069</v>
      </c>
      <c r="D1195" t="s">
        <v>1527</v>
      </c>
      <c r="E1195" t="s">
        <v>1069</v>
      </c>
      <c r="F1195" t="s">
        <v>1603</v>
      </c>
      <c r="G1195" t="s">
        <v>1069</v>
      </c>
      <c r="H1195" t="s">
        <v>3558</v>
      </c>
      <c r="I1195" t="s">
        <v>1069</v>
      </c>
    </row>
    <row r="1196" spans="1:9">
      <c r="A1196" t="s">
        <v>3559</v>
      </c>
      <c r="B1196" t="s">
        <v>1171</v>
      </c>
      <c r="C1196" t="s">
        <v>1069</v>
      </c>
      <c r="D1196" t="s">
        <v>1176</v>
      </c>
      <c r="E1196" t="s">
        <v>1069</v>
      </c>
      <c r="F1196" t="s">
        <v>2138</v>
      </c>
      <c r="G1196" t="s">
        <v>1069</v>
      </c>
      <c r="H1196" t="s">
        <v>3560</v>
      </c>
      <c r="I1196" t="s">
        <v>1069</v>
      </c>
    </row>
    <row r="1197" spans="1:9">
      <c r="A1197" t="s">
        <v>3561</v>
      </c>
      <c r="B1197" t="s">
        <v>1534</v>
      </c>
      <c r="C1197" t="s">
        <v>1069</v>
      </c>
      <c r="D1197" t="s">
        <v>1261</v>
      </c>
      <c r="E1197" t="s">
        <v>1069</v>
      </c>
      <c r="F1197" t="s">
        <v>1976</v>
      </c>
      <c r="G1197" t="s">
        <v>1069</v>
      </c>
      <c r="H1197" t="s">
        <v>3562</v>
      </c>
      <c r="I1197" t="s">
        <v>1069</v>
      </c>
    </row>
    <row r="1198" spans="1:9">
      <c r="A1198" t="s">
        <v>3563</v>
      </c>
      <c r="B1198" t="s">
        <v>1266</v>
      </c>
      <c r="C1198" t="s">
        <v>1069</v>
      </c>
      <c r="D1198" t="s">
        <v>1166</v>
      </c>
      <c r="E1198" t="s">
        <v>1069</v>
      </c>
      <c r="F1198" t="s">
        <v>1200</v>
      </c>
      <c r="G1198" t="s">
        <v>1069</v>
      </c>
      <c r="H1198" t="s">
        <v>3564</v>
      </c>
      <c r="I1198" t="s">
        <v>1069</v>
      </c>
    </row>
    <row r="1199" spans="1:9">
      <c r="A1199" t="s">
        <v>3565</v>
      </c>
      <c r="B1199" t="s">
        <v>1276</v>
      </c>
      <c r="C1199" t="s">
        <v>1069</v>
      </c>
      <c r="D1199" t="s">
        <v>1162</v>
      </c>
      <c r="E1199" t="s">
        <v>1069</v>
      </c>
      <c r="F1199" t="s">
        <v>1403</v>
      </c>
      <c r="G1199" t="s">
        <v>1069</v>
      </c>
      <c r="H1199" t="s">
        <v>1315</v>
      </c>
      <c r="I1199" t="s">
        <v>1069</v>
      </c>
    </row>
    <row r="1200" spans="1:9">
      <c r="A1200" t="s">
        <v>3566</v>
      </c>
      <c r="B1200" t="s">
        <v>1504</v>
      </c>
      <c r="C1200" t="s">
        <v>1069</v>
      </c>
      <c r="D1200" t="s">
        <v>1534</v>
      </c>
      <c r="E1200" t="s">
        <v>1069</v>
      </c>
      <c r="F1200" t="s">
        <v>1551</v>
      </c>
      <c r="G1200" t="s">
        <v>1069</v>
      </c>
      <c r="H1200" t="s">
        <v>3567</v>
      </c>
      <c r="I1200" t="s">
        <v>1069</v>
      </c>
    </row>
    <row r="1201" spans="1:9">
      <c r="A1201" t="s">
        <v>3568</v>
      </c>
      <c r="B1201" t="s">
        <v>1089</v>
      </c>
      <c r="C1201" t="s">
        <v>1069</v>
      </c>
      <c r="D1201" t="s">
        <v>1080</v>
      </c>
      <c r="E1201" t="s">
        <v>1069</v>
      </c>
      <c r="F1201" t="s">
        <v>1163</v>
      </c>
      <c r="G1201" t="s">
        <v>1069</v>
      </c>
      <c r="H1201" t="s">
        <v>3569</v>
      </c>
      <c r="I1201" t="s">
        <v>1069</v>
      </c>
    </row>
    <row r="1202" spans="1:9">
      <c r="A1202" t="s">
        <v>3570</v>
      </c>
      <c r="B1202" t="s">
        <v>1310</v>
      </c>
      <c r="C1202" t="s">
        <v>1069</v>
      </c>
      <c r="D1202" t="s">
        <v>1080</v>
      </c>
      <c r="E1202" t="s">
        <v>1069</v>
      </c>
      <c r="F1202" t="s">
        <v>1216</v>
      </c>
      <c r="G1202" t="s">
        <v>1069</v>
      </c>
      <c r="H1202" t="s">
        <v>3571</v>
      </c>
      <c r="I1202" t="s">
        <v>1069</v>
      </c>
    </row>
    <row r="1203" spans="1:9">
      <c r="A1203" t="s">
        <v>3572</v>
      </c>
      <c r="B1203" t="s">
        <v>1068</v>
      </c>
      <c r="C1203" t="s">
        <v>1069</v>
      </c>
      <c r="D1203" t="s">
        <v>1276</v>
      </c>
      <c r="E1203" t="s">
        <v>1069</v>
      </c>
      <c r="F1203" t="s">
        <v>1247</v>
      </c>
      <c r="G1203" t="s">
        <v>1069</v>
      </c>
      <c r="H1203" t="s">
        <v>3573</v>
      </c>
      <c r="I1203" t="s">
        <v>1069</v>
      </c>
    </row>
    <row r="1204" spans="1:9">
      <c r="A1204" t="s">
        <v>3574</v>
      </c>
      <c r="B1204" t="s">
        <v>1079</v>
      </c>
      <c r="C1204" t="s">
        <v>1069</v>
      </c>
      <c r="D1204" t="s">
        <v>1276</v>
      </c>
      <c r="E1204" t="s">
        <v>1069</v>
      </c>
      <c r="F1204" t="s">
        <v>1595</v>
      </c>
      <c r="G1204" t="s">
        <v>1069</v>
      </c>
      <c r="H1204" t="s">
        <v>3575</v>
      </c>
      <c r="I1204" t="s">
        <v>1069</v>
      </c>
    </row>
    <row r="1205" spans="1:9">
      <c r="A1205" t="s">
        <v>3576</v>
      </c>
      <c r="B1205" t="s">
        <v>1094</v>
      </c>
      <c r="C1205" t="s">
        <v>1069</v>
      </c>
      <c r="D1205" t="s">
        <v>1122</v>
      </c>
      <c r="E1205" t="s">
        <v>1069</v>
      </c>
      <c r="F1205" t="s">
        <v>1227</v>
      </c>
      <c r="G1205" t="s">
        <v>1069</v>
      </c>
      <c r="H1205" t="s">
        <v>3577</v>
      </c>
      <c r="I1205" t="s">
        <v>1069</v>
      </c>
    </row>
    <row r="1206" spans="1:9">
      <c r="A1206" t="s">
        <v>3578</v>
      </c>
      <c r="B1206" t="s">
        <v>1094</v>
      </c>
      <c r="C1206" t="s">
        <v>1069</v>
      </c>
      <c r="D1206" t="s">
        <v>1085</v>
      </c>
      <c r="E1206" t="s">
        <v>1069</v>
      </c>
      <c r="F1206" t="s">
        <v>1285</v>
      </c>
      <c r="G1206" t="s">
        <v>1069</v>
      </c>
      <c r="H1206" t="s">
        <v>3131</v>
      </c>
      <c r="I1206" t="s">
        <v>1069</v>
      </c>
    </row>
    <row r="1207" spans="1:9">
      <c r="A1207" t="s">
        <v>3579</v>
      </c>
      <c r="B1207" t="s">
        <v>1098</v>
      </c>
      <c r="C1207" t="s">
        <v>1069</v>
      </c>
      <c r="D1207" t="s">
        <v>1122</v>
      </c>
      <c r="E1207" t="s">
        <v>1069</v>
      </c>
      <c r="F1207" t="s">
        <v>1534</v>
      </c>
      <c r="G1207" t="s">
        <v>1069</v>
      </c>
      <c r="H1207" t="s">
        <v>3580</v>
      </c>
      <c r="I1207" t="s">
        <v>1069</v>
      </c>
    </row>
    <row r="1208" spans="1:9">
      <c r="A1208" t="s">
        <v>3581</v>
      </c>
      <c r="B1208" t="s">
        <v>1436</v>
      </c>
      <c r="C1208" t="s">
        <v>1069</v>
      </c>
      <c r="D1208" t="s">
        <v>1080</v>
      </c>
      <c r="E1208" t="s">
        <v>1069</v>
      </c>
      <c r="F1208" t="s">
        <v>1238</v>
      </c>
      <c r="G1208" t="s">
        <v>1069</v>
      </c>
      <c r="H1208" t="s">
        <v>3575</v>
      </c>
      <c r="I1208" t="s">
        <v>1069</v>
      </c>
    </row>
    <row r="1209" spans="1:9">
      <c r="A1209" t="s">
        <v>3582</v>
      </c>
      <c r="B1209" t="s">
        <v>1098</v>
      </c>
      <c r="C1209" t="s">
        <v>1069</v>
      </c>
      <c r="D1209" t="s">
        <v>1075</v>
      </c>
      <c r="E1209" t="s">
        <v>1069</v>
      </c>
      <c r="F1209" t="s">
        <v>1285</v>
      </c>
      <c r="G1209" t="s">
        <v>1069</v>
      </c>
      <c r="H1209" t="s">
        <v>3583</v>
      </c>
      <c r="I1209" t="s">
        <v>1069</v>
      </c>
    </row>
    <row r="1210" spans="1:9">
      <c r="A1210" t="s">
        <v>3584</v>
      </c>
      <c r="B1210" t="s">
        <v>1116</v>
      </c>
      <c r="C1210" t="s">
        <v>1069</v>
      </c>
      <c r="D1210" t="s">
        <v>1068</v>
      </c>
      <c r="E1210" t="s">
        <v>1069</v>
      </c>
      <c r="F1210" t="s">
        <v>1075</v>
      </c>
      <c r="G1210" t="s">
        <v>1069</v>
      </c>
      <c r="H1210" t="s">
        <v>1445</v>
      </c>
      <c r="I1210" t="s">
        <v>1069</v>
      </c>
    </row>
    <row r="1211" spans="1:9">
      <c r="A1211" t="s">
        <v>3585</v>
      </c>
      <c r="B1211" t="s">
        <v>1310</v>
      </c>
      <c r="C1211" t="s">
        <v>1069</v>
      </c>
      <c r="D1211" t="s">
        <v>1436</v>
      </c>
      <c r="E1211" t="s">
        <v>1069</v>
      </c>
      <c r="F1211" t="s">
        <v>1104</v>
      </c>
      <c r="G1211" t="s">
        <v>1069</v>
      </c>
      <c r="H1211" t="s">
        <v>3586</v>
      </c>
      <c r="I1211" t="s">
        <v>1069</v>
      </c>
    </row>
    <row r="1212" spans="1:9">
      <c r="A1212" t="s">
        <v>3587</v>
      </c>
      <c r="B1212" t="s">
        <v>1084</v>
      </c>
      <c r="C1212" t="s">
        <v>1069</v>
      </c>
      <c r="D1212" t="s">
        <v>1090</v>
      </c>
      <c r="E1212" t="s">
        <v>1069</v>
      </c>
      <c r="F1212" t="s">
        <v>1242</v>
      </c>
      <c r="G1212" t="s">
        <v>1069</v>
      </c>
      <c r="H1212" t="s">
        <v>1150</v>
      </c>
      <c r="I1212" t="s">
        <v>1069</v>
      </c>
    </row>
    <row r="1213" spans="1:9">
      <c r="A1213" t="s">
        <v>3588</v>
      </c>
      <c r="B1213" t="s">
        <v>1436</v>
      </c>
      <c r="C1213" t="s">
        <v>1069</v>
      </c>
      <c r="D1213" t="s">
        <v>1504</v>
      </c>
      <c r="E1213" t="s">
        <v>1069</v>
      </c>
      <c r="F1213" t="s">
        <v>1223</v>
      </c>
      <c r="G1213" t="s">
        <v>1069</v>
      </c>
      <c r="H1213" t="s">
        <v>3589</v>
      </c>
      <c r="I1213" t="s">
        <v>1069</v>
      </c>
    </row>
    <row r="1214" spans="1:9">
      <c r="A1214" t="s">
        <v>3590</v>
      </c>
      <c r="B1214" t="s">
        <v>1103</v>
      </c>
      <c r="C1214" t="s">
        <v>1069</v>
      </c>
      <c r="D1214" t="s">
        <v>1090</v>
      </c>
      <c r="E1214" t="s">
        <v>1069</v>
      </c>
      <c r="F1214" t="s">
        <v>1595</v>
      </c>
      <c r="G1214" t="s">
        <v>1069</v>
      </c>
      <c r="H1214" t="s">
        <v>1137</v>
      </c>
      <c r="I1214" t="s">
        <v>1069</v>
      </c>
    </row>
    <row r="1215" spans="1:9">
      <c r="A1215" t="s">
        <v>3591</v>
      </c>
      <c r="B1215" t="s">
        <v>1089</v>
      </c>
      <c r="C1215" t="s">
        <v>1069</v>
      </c>
      <c r="D1215" t="s">
        <v>1098</v>
      </c>
      <c r="E1215" t="s">
        <v>1069</v>
      </c>
      <c r="F1215" t="s">
        <v>1427</v>
      </c>
      <c r="G1215" t="s">
        <v>1069</v>
      </c>
      <c r="H1215" t="s">
        <v>1772</v>
      </c>
      <c r="I1215" t="s">
        <v>1069</v>
      </c>
    </row>
    <row r="1216" spans="1:9">
      <c r="A1216" t="s">
        <v>3592</v>
      </c>
      <c r="B1216" t="s">
        <v>1116</v>
      </c>
      <c r="C1216" t="s">
        <v>1069</v>
      </c>
      <c r="D1216" t="s">
        <v>1074</v>
      </c>
      <c r="E1216" t="s">
        <v>1069</v>
      </c>
      <c r="F1216" t="s">
        <v>1075</v>
      </c>
      <c r="G1216" t="s">
        <v>1069</v>
      </c>
      <c r="H1216" t="s">
        <v>2415</v>
      </c>
      <c r="I1216" t="s">
        <v>1069</v>
      </c>
    </row>
    <row r="1217" spans="1:9">
      <c r="A1217" t="s">
        <v>3593</v>
      </c>
      <c r="B1217" t="s">
        <v>1113</v>
      </c>
      <c r="C1217" t="s">
        <v>1069</v>
      </c>
      <c r="D1217" t="s">
        <v>1103</v>
      </c>
      <c r="E1217" t="s">
        <v>1069</v>
      </c>
      <c r="F1217" t="s">
        <v>1099</v>
      </c>
      <c r="G1217" t="s">
        <v>1069</v>
      </c>
      <c r="H1217" t="s">
        <v>3594</v>
      </c>
      <c r="I1217" t="s">
        <v>1069</v>
      </c>
    </row>
    <row r="1218" spans="1:9">
      <c r="A1218" t="s">
        <v>3595</v>
      </c>
      <c r="B1218" t="s">
        <v>1113</v>
      </c>
      <c r="C1218" t="s">
        <v>1069</v>
      </c>
      <c r="D1218" t="s">
        <v>1103</v>
      </c>
      <c r="E1218" t="s">
        <v>1069</v>
      </c>
      <c r="F1218" t="s">
        <v>1110</v>
      </c>
      <c r="G1218" t="s">
        <v>1069</v>
      </c>
      <c r="H1218" t="s">
        <v>2475</v>
      </c>
      <c r="I1218" t="s">
        <v>1069</v>
      </c>
    </row>
    <row r="1219" spans="1:9">
      <c r="A1219" t="s">
        <v>3596</v>
      </c>
      <c r="B1219" t="s">
        <v>1260</v>
      </c>
      <c r="C1219" t="s">
        <v>1069</v>
      </c>
      <c r="D1219" t="s">
        <v>1310</v>
      </c>
      <c r="E1219" t="s">
        <v>1069</v>
      </c>
      <c r="F1219" t="s">
        <v>1504</v>
      </c>
      <c r="G1219" t="s">
        <v>1069</v>
      </c>
      <c r="H1219" t="s">
        <v>1117</v>
      </c>
      <c r="I1219" t="s">
        <v>1069</v>
      </c>
    </row>
    <row r="1220" spans="1:9">
      <c r="A1220" t="s">
        <v>3597</v>
      </c>
      <c r="B1220" t="s">
        <v>1093</v>
      </c>
      <c r="C1220" t="s">
        <v>1069</v>
      </c>
      <c r="D1220" t="s">
        <v>1079</v>
      </c>
      <c r="E1220" t="s">
        <v>1069</v>
      </c>
      <c r="F1220" t="s">
        <v>1095</v>
      </c>
      <c r="G1220" t="s">
        <v>1069</v>
      </c>
      <c r="H1220" t="s">
        <v>3598</v>
      </c>
      <c r="I1220" t="s">
        <v>1069</v>
      </c>
    </row>
    <row r="1221" spans="1:9">
      <c r="A1221" t="s">
        <v>3599</v>
      </c>
      <c r="B1221" t="s">
        <v>1122</v>
      </c>
      <c r="C1221" t="s">
        <v>1069</v>
      </c>
      <c r="D1221" t="s">
        <v>1234</v>
      </c>
      <c r="E1221" t="s">
        <v>1069</v>
      </c>
      <c r="F1221" t="s">
        <v>1171</v>
      </c>
      <c r="G1221" t="s">
        <v>1069</v>
      </c>
      <c r="H1221" t="s">
        <v>1852</v>
      </c>
      <c r="I1221" t="s">
        <v>1069</v>
      </c>
    </row>
    <row r="1222" spans="1:9">
      <c r="A1222" t="s">
        <v>3600</v>
      </c>
      <c r="B1222" t="s">
        <v>1427</v>
      </c>
      <c r="C1222" t="s">
        <v>1069</v>
      </c>
      <c r="D1222" t="s">
        <v>1175</v>
      </c>
      <c r="E1222" t="s">
        <v>1069</v>
      </c>
      <c r="F1222" t="s">
        <v>1573</v>
      </c>
      <c r="G1222" t="s">
        <v>1069</v>
      </c>
      <c r="H1222" t="s">
        <v>2441</v>
      </c>
      <c r="I1222" t="s">
        <v>1069</v>
      </c>
    </row>
    <row r="1223" spans="1:9">
      <c r="A1223" t="s">
        <v>3601</v>
      </c>
      <c r="B1223" t="s">
        <v>1076</v>
      </c>
      <c r="C1223" t="s">
        <v>1069</v>
      </c>
      <c r="D1223" t="s">
        <v>1261</v>
      </c>
      <c r="E1223" t="s">
        <v>1069</v>
      </c>
      <c r="F1223" t="s">
        <v>1323</v>
      </c>
      <c r="G1223" t="s">
        <v>1069</v>
      </c>
      <c r="H1223" t="s">
        <v>2250</v>
      </c>
      <c r="I1223" t="s">
        <v>1069</v>
      </c>
    </row>
    <row r="1224" spans="1:9">
      <c r="A1224" t="s">
        <v>3602</v>
      </c>
      <c r="B1224" t="s">
        <v>1099</v>
      </c>
      <c r="C1224" t="s">
        <v>1069</v>
      </c>
      <c r="D1224" t="s">
        <v>1076</v>
      </c>
      <c r="E1224" t="s">
        <v>1069</v>
      </c>
      <c r="F1224" t="s">
        <v>1518</v>
      </c>
      <c r="G1224" t="s">
        <v>1069</v>
      </c>
      <c r="H1224" t="s">
        <v>3603</v>
      </c>
      <c r="I1224" t="s">
        <v>1069</v>
      </c>
    </row>
    <row r="1225" spans="1:9">
      <c r="A1225" t="s">
        <v>3604</v>
      </c>
      <c r="B1225" t="s">
        <v>1234</v>
      </c>
      <c r="C1225" t="s">
        <v>1069</v>
      </c>
      <c r="D1225" t="s">
        <v>1595</v>
      </c>
      <c r="E1225" t="s">
        <v>1069</v>
      </c>
      <c r="F1225" t="s">
        <v>1579</v>
      </c>
      <c r="G1225" t="s">
        <v>1069</v>
      </c>
      <c r="H1225" t="s">
        <v>3605</v>
      </c>
      <c r="I1225" t="s">
        <v>1069</v>
      </c>
    </row>
    <row r="1226" spans="1:9">
      <c r="A1226" t="s">
        <v>3606</v>
      </c>
      <c r="B1226" t="s">
        <v>1427</v>
      </c>
      <c r="C1226" t="s">
        <v>1069</v>
      </c>
      <c r="D1226" t="s">
        <v>1076</v>
      </c>
      <c r="E1226" t="s">
        <v>1069</v>
      </c>
      <c r="F1226" t="s">
        <v>1317</v>
      </c>
      <c r="G1226" t="s">
        <v>1069</v>
      </c>
      <c r="H1226" t="s">
        <v>3607</v>
      </c>
      <c r="I1226" t="s">
        <v>1069</v>
      </c>
    </row>
    <row r="1227" spans="1:9">
      <c r="A1227" t="s">
        <v>3608</v>
      </c>
      <c r="B1227" t="s">
        <v>1227</v>
      </c>
      <c r="C1227" t="s">
        <v>1069</v>
      </c>
      <c r="D1227" t="s">
        <v>1180</v>
      </c>
      <c r="E1227" t="s">
        <v>1069</v>
      </c>
      <c r="F1227" t="s">
        <v>1181</v>
      </c>
      <c r="G1227" t="s">
        <v>1069</v>
      </c>
      <c r="H1227" t="s">
        <v>3609</v>
      </c>
      <c r="I1227" t="s">
        <v>1069</v>
      </c>
    </row>
    <row r="1228" spans="1:9">
      <c r="A1228" t="s">
        <v>3610</v>
      </c>
      <c r="B1228" t="s">
        <v>1328</v>
      </c>
      <c r="C1228" t="s">
        <v>1069</v>
      </c>
      <c r="D1228" t="s">
        <v>1163</v>
      </c>
      <c r="E1228" t="s">
        <v>1069</v>
      </c>
      <c r="F1228" t="s">
        <v>1323</v>
      </c>
      <c r="G1228" t="s">
        <v>1069</v>
      </c>
      <c r="H1228" t="s">
        <v>3611</v>
      </c>
      <c r="I1228" t="s">
        <v>1069</v>
      </c>
    </row>
    <row r="1229" spans="1:9">
      <c r="A1229" t="s">
        <v>3612</v>
      </c>
      <c r="B1229" t="s">
        <v>1247</v>
      </c>
      <c r="C1229" t="s">
        <v>1069</v>
      </c>
      <c r="D1229" t="s">
        <v>1195</v>
      </c>
      <c r="E1229" t="s">
        <v>1069</v>
      </c>
      <c r="F1229" t="s">
        <v>1208</v>
      </c>
      <c r="G1229" t="s">
        <v>1069</v>
      </c>
      <c r="H1229" t="s">
        <v>3613</v>
      </c>
      <c r="I1229" t="s">
        <v>1069</v>
      </c>
    </row>
    <row r="1230" spans="1:9">
      <c r="A1230" t="s">
        <v>3614</v>
      </c>
      <c r="B1230" t="s">
        <v>1180</v>
      </c>
      <c r="C1230" t="s">
        <v>1069</v>
      </c>
      <c r="D1230" t="s">
        <v>1573</v>
      </c>
      <c r="E1230" t="s">
        <v>1069</v>
      </c>
      <c r="F1230" t="s">
        <v>1200</v>
      </c>
      <c r="G1230" t="s">
        <v>1069</v>
      </c>
      <c r="H1230" t="s">
        <v>3195</v>
      </c>
      <c r="I1230" t="s">
        <v>1069</v>
      </c>
    </row>
    <row r="1231" spans="1:9">
      <c r="A1231" t="s">
        <v>3615</v>
      </c>
      <c r="B1231" t="s">
        <v>2649</v>
      </c>
      <c r="C1231" t="s">
        <v>1069</v>
      </c>
      <c r="D1231" t="s">
        <v>1192</v>
      </c>
      <c r="E1231" t="s">
        <v>1069</v>
      </c>
      <c r="F1231" t="s">
        <v>1395</v>
      </c>
      <c r="G1231" t="s">
        <v>1069</v>
      </c>
      <c r="H1231" t="s">
        <v>3616</v>
      </c>
      <c r="I1231" t="s">
        <v>1069</v>
      </c>
    </row>
    <row r="1232" spans="1:9">
      <c r="A1232" t="s">
        <v>3617</v>
      </c>
      <c r="B1232" t="s">
        <v>1220</v>
      </c>
      <c r="C1232" t="s">
        <v>1069</v>
      </c>
      <c r="D1232" t="s">
        <v>1209</v>
      </c>
      <c r="E1232" t="s">
        <v>1069</v>
      </c>
      <c r="F1232" t="s">
        <v>2144</v>
      </c>
      <c r="G1232" t="s">
        <v>1069</v>
      </c>
      <c r="H1232" t="s">
        <v>3618</v>
      </c>
      <c r="I1232" t="s">
        <v>1069</v>
      </c>
    </row>
    <row r="1233" spans="1:9">
      <c r="A1233" t="s">
        <v>3619</v>
      </c>
      <c r="B1233" t="s">
        <v>2040</v>
      </c>
      <c r="C1233" t="s">
        <v>1069</v>
      </c>
      <c r="D1233" t="s">
        <v>1387</v>
      </c>
      <c r="E1233" t="s">
        <v>1069</v>
      </c>
      <c r="F1233" t="s">
        <v>2561</v>
      </c>
      <c r="G1233" t="s">
        <v>1069</v>
      </c>
      <c r="H1233" t="s">
        <v>3620</v>
      </c>
      <c r="I1233" t="s">
        <v>1069</v>
      </c>
    </row>
    <row r="1234" spans="1:9">
      <c r="A1234" t="s">
        <v>3621</v>
      </c>
      <c r="B1234" t="s">
        <v>2005</v>
      </c>
      <c r="C1234" t="s">
        <v>1069</v>
      </c>
      <c r="D1234" t="s">
        <v>2021</v>
      </c>
      <c r="E1234" t="s">
        <v>1069</v>
      </c>
      <c r="F1234" t="s">
        <v>2190</v>
      </c>
      <c r="G1234" t="s">
        <v>1069</v>
      </c>
      <c r="H1234" t="s">
        <v>3622</v>
      </c>
      <c r="I1234" t="s">
        <v>1069</v>
      </c>
    </row>
    <row r="1235" spans="1:9">
      <c r="A1235" t="s">
        <v>3623</v>
      </c>
      <c r="B1235" t="s">
        <v>2383</v>
      </c>
      <c r="C1235" t="s">
        <v>1069</v>
      </c>
      <c r="D1235" t="s">
        <v>2384</v>
      </c>
      <c r="E1235" t="s">
        <v>1069</v>
      </c>
      <c r="F1235" t="s">
        <v>3624</v>
      </c>
      <c r="G1235" t="s">
        <v>1069</v>
      </c>
      <c r="H1235" t="s">
        <v>3625</v>
      </c>
      <c r="I1235" t="s">
        <v>1069</v>
      </c>
    </row>
    <row r="1236" spans="1:9">
      <c r="A1236" t="s">
        <v>3626</v>
      </c>
      <c r="B1236" t="s">
        <v>3463</v>
      </c>
      <c r="C1236" t="s">
        <v>1069</v>
      </c>
      <c r="D1236" t="s">
        <v>3627</v>
      </c>
      <c r="E1236" t="s">
        <v>1069</v>
      </c>
      <c r="F1236" t="s">
        <v>3628</v>
      </c>
      <c r="G1236" t="s">
        <v>1069</v>
      </c>
      <c r="H1236" t="s">
        <v>2386</v>
      </c>
      <c r="I1236" t="s">
        <v>1069</v>
      </c>
    </row>
    <row r="1237" spans="1:9">
      <c r="A1237" t="s">
        <v>3629</v>
      </c>
      <c r="B1237" t="s">
        <v>3630</v>
      </c>
      <c r="C1237" t="s">
        <v>1069</v>
      </c>
      <c r="D1237" t="s">
        <v>3631</v>
      </c>
      <c r="E1237" t="s">
        <v>1069</v>
      </c>
      <c r="F1237" t="s">
        <v>3632</v>
      </c>
      <c r="G1237" t="s">
        <v>1069</v>
      </c>
      <c r="H1237" t="s">
        <v>3633</v>
      </c>
      <c r="I1237" t="s">
        <v>1069</v>
      </c>
    </row>
    <row r="1238" spans="1:9">
      <c r="A1238" t="s">
        <v>3634</v>
      </c>
      <c r="B1238" t="s">
        <v>2621</v>
      </c>
      <c r="C1238" t="s">
        <v>1069</v>
      </c>
      <c r="D1238" t="s">
        <v>2200</v>
      </c>
      <c r="E1238" t="s">
        <v>1069</v>
      </c>
      <c r="F1238" t="s">
        <v>3635</v>
      </c>
      <c r="G1238" t="s">
        <v>1069</v>
      </c>
      <c r="H1238" t="s">
        <v>3636</v>
      </c>
      <c r="I1238" t="s">
        <v>1069</v>
      </c>
    </row>
    <row r="1239" spans="1:9">
      <c r="A1239" t="s">
        <v>3637</v>
      </c>
      <c r="B1239" t="s">
        <v>3638</v>
      </c>
      <c r="C1239" t="s">
        <v>1069</v>
      </c>
      <c r="D1239" t="s">
        <v>1339</v>
      </c>
      <c r="E1239" t="s">
        <v>1069</v>
      </c>
      <c r="F1239" t="s">
        <v>3639</v>
      </c>
      <c r="G1239" t="s">
        <v>1069</v>
      </c>
      <c r="H1239" t="s">
        <v>3640</v>
      </c>
      <c r="I1239" t="s">
        <v>1069</v>
      </c>
    </row>
    <row r="1240" spans="1:9">
      <c r="A1240" t="s">
        <v>3641</v>
      </c>
      <c r="B1240" t="s">
        <v>1380</v>
      </c>
      <c r="C1240" t="s">
        <v>1069</v>
      </c>
      <c r="D1240" t="s">
        <v>1375</v>
      </c>
      <c r="E1240" t="s">
        <v>1069</v>
      </c>
      <c r="F1240" t="s">
        <v>2563</v>
      </c>
      <c r="G1240" t="s">
        <v>1069</v>
      </c>
      <c r="H1240" t="s">
        <v>3642</v>
      </c>
      <c r="I1240" t="s">
        <v>1069</v>
      </c>
    </row>
    <row r="1241" spans="1:9">
      <c r="A1241" t="s">
        <v>3643</v>
      </c>
      <c r="B1241" t="s">
        <v>1991</v>
      </c>
      <c r="C1241" t="s">
        <v>1069</v>
      </c>
      <c r="D1241" t="s">
        <v>3644</v>
      </c>
      <c r="E1241" t="s">
        <v>1069</v>
      </c>
      <c r="F1241" t="s">
        <v>1960</v>
      </c>
      <c r="G1241" t="s">
        <v>1069</v>
      </c>
      <c r="H1241" t="s">
        <v>3645</v>
      </c>
      <c r="I1241" t="s">
        <v>1069</v>
      </c>
    </row>
    <row r="1242" spans="1:9">
      <c r="A1242" t="s">
        <v>3646</v>
      </c>
      <c r="B1242" t="s">
        <v>2221</v>
      </c>
      <c r="C1242" t="s">
        <v>1069</v>
      </c>
      <c r="D1242" t="s">
        <v>1965</v>
      </c>
      <c r="E1242" t="s">
        <v>1069</v>
      </c>
      <c r="F1242" t="s">
        <v>2578</v>
      </c>
      <c r="G1242" t="s">
        <v>1069</v>
      </c>
      <c r="H1242" t="s">
        <v>3647</v>
      </c>
      <c r="I1242" t="s">
        <v>1069</v>
      </c>
    </row>
    <row r="1243" spans="1:9">
      <c r="A1243" t="s">
        <v>3648</v>
      </c>
      <c r="B1243" t="s">
        <v>2013</v>
      </c>
      <c r="C1243" t="s">
        <v>1069</v>
      </c>
      <c r="D1243" t="s">
        <v>2221</v>
      </c>
      <c r="E1243" t="s">
        <v>1069</v>
      </c>
      <c r="F1243" t="s">
        <v>2380</v>
      </c>
      <c r="G1243" t="s">
        <v>1069</v>
      </c>
      <c r="H1243" t="s">
        <v>3649</v>
      </c>
      <c r="I1243" t="s">
        <v>1069</v>
      </c>
    </row>
    <row r="1244" spans="1:9">
      <c r="A1244" t="s">
        <v>3650</v>
      </c>
      <c r="B1244" t="s">
        <v>2017</v>
      </c>
      <c r="C1244" t="s">
        <v>1069</v>
      </c>
      <c r="D1244" t="s">
        <v>2010</v>
      </c>
      <c r="E1244" t="s">
        <v>1069</v>
      </c>
      <c r="F1244" t="s">
        <v>2563</v>
      </c>
      <c r="G1244" t="s">
        <v>1069</v>
      </c>
      <c r="H1244" t="s">
        <v>3651</v>
      </c>
      <c r="I1244" t="s">
        <v>1069</v>
      </c>
    </row>
    <row r="1245" spans="1:9">
      <c r="A1245" t="s">
        <v>3652</v>
      </c>
      <c r="B1245" t="s">
        <v>2180</v>
      </c>
      <c r="C1245" t="s">
        <v>1069</v>
      </c>
      <c r="D1245" t="s">
        <v>2585</v>
      </c>
      <c r="E1245" t="s">
        <v>1069</v>
      </c>
      <c r="F1245" t="s">
        <v>2606</v>
      </c>
      <c r="G1245" t="s">
        <v>1069</v>
      </c>
      <c r="H1245" t="s">
        <v>3653</v>
      </c>
      <c r="I1245" t="s">
        <v>1069</v>
      </c>
    </row>
    <row r="1246" spans="1:9">
      <c r="A1246" t="s">
        <v>3654</v>
      </c>
      <c r="B1246" t="s">
        <v>1370</v>
      </c>
      <c r="C1246" t="s">
        <v>1069</v>
      </c>
      <c r="D1246" t="s">
        <v>2203</v>
      </c>
      <c r="E1246" t="s">
        <v>1069</v>
      </c>
      <c r="F1246" t="s">
        <v>3644</v>
      </c>
      <c r="G1246" t="s">
        <v>1069</v>
      </c>
      <c r="H1246" t="s">
        <v>3655</v>
      </c>
      <c r="I1246" t="s">
        <v>1069</v>
      </c>
    </row>
    <row r="1247" spans="1:9">
      <c r="A1247" t="s">
        <v>3656</v>
      </c>
      <c r="B1247" t="s">
        <v>1379</v>
      </c>
      <c r="C1247" t="s">
        <v>1069</v>
      </c>
      <c r="D1247" t="s">
        <v>2176</v>
      </c>
      <c r="E1247" t="s">
        <v>1069</v>
      </c>
      <c r="F1247" t="s">
        <v>3466</v>
      </c>
      <c r="G1247" t="s">
        <v>1069</v>
      </c>
      <c r="H1247" t="s">
        <v>3657</v>
      </c>
      <c r="I1247" t="s">
        <v>1069</v>
      </c>
    </row>
    <row r="1248" spans="1:9">
      <c r="A1248" t="s">
        <v>3658</v>
      </c>
      <c r="B1248" t="s">
        <v>1358</v>
      </c>
      <c r="C1248" t="s">
        <v>1069</v>
      </c>
      <c r="D1248" t="s">
        <v>3659</v>
      </c>
      <c r="E1248" t="s">
        <v>1069</v>
      </c>
      <c r="F1248" t="s">
        <v>1366</v>
      </c>
      <c r="G1248" t="s">
        <v>1069</v>
      </c>
      <c r="H1248" t="s">
        <v>3660</v>
      </c>
      <c r="I1248" t="s">
        <v>1069</v>
      </c>
    </row>
    <row r="1249" spans="1:9">
      <c r="A1249" t="s">
        <v>3661</v>
      </c>
      <c r="B1249" t="s">
        <v>1580</v>
      </c>
      <c r="C1249" t="s">
        <v>1069</v>
      </c>
      <c r="D1249" t="s">
        <v>1356</v>
      </c>
      <c r="E1249" t="s">
        <v>1069</v>
      </c>
      <c r="F1249" t="s">
        <v>3551</v>
      </c>
      <c r="G1249" t="s">
        <v>1069</v>
      </c>
      <c r="H1249" t="s">
        <v>3662</v>
      </c>
      <c r="I1249" t="s">
        <v>1069</v>
      </c>
    </row>
    <row r="1250" spans="1:9">
      <c r="A1250" t="s">
        <v>3663</v>
      </c>
      <c r="B1250" t="s">
        <v>2052</v>
      </c>
      <c r="C1250" t="s">
        <v>1069</v>
      </c>
      <c r="D1250" t="s">
        <v>1535</v>
      </c>
      <c r="E1250" t="s">
        <v>1069</v>
      </c>
      <c r="F1250" t="s">
        <v>1574</v>
      </c>
      <c r="G1250" t="s">
        <v>1069</v>
      </c>
      <c r="H1250" t="s">
        <v>3664</v>
      </c>
      <c r="I1250" t="s">
        <v>1069</v>
      </c>
    </row>
    <row r="1251" spans="1:9">
      <c r="A1251" t="s">
        <v>3665</v>
      </c>
      <c r="B1251" t="s">
        <v>1883</v>
      </c>
      <c r="C1251" t="s">
        <v>1069</v>
      </c>
      <c r="D1251" t="s">
        <v>1535</v>
      </c>
      <c r="E1251" t="s">
        <v>1069</v>
      </c>
      <c r="F1251" t="s">
        <v>2558</v>
      </c>
      <c r="G1251" t="s">
        <v>1069</v>
      </c>
      <c r="H1251" t="s">
        <v>3666</v>
      </c>
      <c r="I1251" t="s">
        <v>1069</v>
      </c>
    </row>
    <row r="1252" spans="1:9">
      <c r="A1252" t="s">
        <v>3667</v>
      </c>
      <c r="B1252" t="s">
        <v>1200</v>
      </c>
      <c r="C1252" t="s">
        <v>1069</v>
      </c>
      <c r="D1252" t="s">
        <v>1583</v>
      </c>
      <c r="E1252" t="s">
        <v>1069</v>
      </c>
      <c r="F1252" t="s">
        <v>1357</v>
      </c>
      <c r="G1252" t="s">
        <v>1069</v>
      </c>
      <c r="H1252" t="s">
        <v>3668</v>
      </c>
      <c r="I1252" t="s">
        <v>1069</v>
      </c>
    </row>
    <row r="1253" spans="1:9">
      <c r="A1253" t="s">
        <v>3669</v>
      </c>
      <c r="B1253" t="s">
        <v>1208</v>
      </c>
      <c r="C1253" t="s">
        <v>1069</v>
      </c>
      <c r="D1253" t="s">
        <v>1196</v>
      </c>
      <c r="E1253" t="s">
        <v>1069</v>
      </c>
      <c r="F1253" t="s">
        <v>1213</v>
      </c>
      <c r="G1253" t="s">
        <v>1069</v>
      </c>
      <c r="H1253" t="s">
        <v>3670</v>
      </c>
      <c r="I1253" t="s">
        <v>1069</v>
      </c>
    </row>
    <row r="1254" spans="1:9">
      <c r="A1254" t="s">
        <v>3671</v>
      </c>
      <c r="B1254" t="s">
        <v>1179</v>
      </c>
      <c r="C1254" t="s">
        <v>1069</v>
      </c>
      <c r="D1254" t="s">
        <v>1180</v>
      </c>
      <c r="E1254" t="s">
        <v>1069</v>
      </c>
      <c r="F1254" t="s">
        <v>1239</v>
      </c>
      <c r="G1254" t="s">
        <v>1069</v>
      </c>
      <c r="H1254" t="s">
        <v>3672</v>
      </c>
      <c r="I1254" t="s">
        <v>1069</v>
      </c>
    </row>
    <row r="1255" spans="1:9">
      <c r="A1255" t="s">
        <v>3673</v>
      </c>
      <c r="B1255" t="s">
        <v>1104</v>
      </c>
      <c r="C1255" t="s">
        <v>1069</v>
      </c>
      <c r="D1255" t="s">
        <v>1162</v>
      </c>
      <c r="E1255" t="s">
        <v>1069</v>
      </c>
      <c r="F1255" t="s">
        <v>1231</v>
      </c>
      <c r="G1255" t="s">
        <v>1069</v>
      </c>
      <c r="H1255" t="s">
        <v>2488</v>
      </c>
      <c r="I1255" t="s">
        <v>1069</v>
      </c>
    </row>
    <row r="1256" spans="1:9">
      <c r="A1256" t="s">
        <v>3674</v>
      </c>
      <c r="B1256" t="s">
        <v>1094</v>
      </c>
      <c r="C1256" t="s">
        <v>1069</v>
      </c>
      <c r="D1256" t="s">
        <v>1080</v>
      </c>
      <c r="E1256" t="s">
        <v>1069</v>
      </c>
      <c r="F1256" t="s">
        <v>1086</v>
      </c>
      <c r="G1256" t="s">
        <v>1069</v>
      </c>
      <c r="H1256" t="s">
        <v>2351</v>
      </c>
      <c r="I1256" t="s">
        <v>1069</v>
      </c>
    </row>
    <row r="1257" spans="1:9">
      <c r="A1257" t="s">
        <v>3675</v>
      </c>
      <c r="B1257" t="s">
        <v>1075</v>
      </c>
      <c r="C1257" t="s">
        <v>1069</v>
      </c>
      <c r="D1257" t="s">
        <v>1242</v>
      </c>
      <c r="E1257" t="s">
        <v>1069</v>
      </c>
      <c r="F1257" t="s">
        <v>1285</v>
      </c>
      <c r="G1257" t="s">
        <v>1069</v>
      </c>
      <c r="H1257" t="s">
        <v>3676</v>
      </c>
      <c r="I1257" t="s">
        <v>1069</v>
      </c>
    </row>
    <row r="1258" spans="1:9">
      <c r="A1258" t="s">
        <v>3677</v>
      </c>
      <c r="B1258" t="s">
        <v>1095</v>
      </c>
      <c r="C1258" t="s">
        <v>1069</v>
      </c>
      <c r="D1258" t="s">
        <v>1534</v>
      </c>
      <c r="E1258" t="s">
        <v>1069</v>
      </c>
      <c r="F1258" t="s">
        <v>1179</v>
      </c>
      <c r="G1258" t="s">
        <v>1069</v>
      </c>
      <c r="H1258" t="s">
        <v>3678</v>
      </c>
      <c r="I1258" t="s">
        <v>1069</v>
      </c>
    </row>
    <row r="1259" spans="1:9">
      <c r="A1259" t="s">
        <v>3679</v>
      </c>
      <c r="B1259" t="s">
        <v>1090</v>
      </c>
      <c r="C1259" t="s">
        <v>1069</v>
      </c>
      <c r="D1259" t="s">
        <v>1122</v>
      </c>
      <c r="E1259" t="s">
        <v>1069</v>
      </c>
      <c r="F1259" t="s">
        <v>1071</v>
      </c>
      <c r="G1259" t="s">
        <v>1069</v>
      </c>
      <c r="H1259" t="s">
        <v>3680</v>
      </c>
      <c r="I1259" t="s">
        <v>1069</v>
      </c>
    </row>
    <row r="1260" spans="1:9">
      <c r="A1260" t="s">
        <v>3681</v>
      </c>
      <c r="B1260" t="s">
        <v>1093</v>
      </c>
      <c r="C1260" t="s">
        <v>1069</v>
      </c>
      <c r="D1260" t="s">
        <v>1103</v>
      </c>
      <c r="E1260" t="s">
        <v>1069</v>
      </c>
      <c r="F1260" t="s">
        <v>1080</v>
      </c>
      <c r="G1260" t="s">
        <v>1069</v>
      </c>
      <c r="H1260" t="s">
        <v>1100</v>
      </c>
      <c r="I1260" t="s">
        <v>1069</v>
      </c>
    </row>
    <row r="1261" spans="1:9">
      <c r="A1261" t="s">
        <v>3682</v>
      </c>
      <c r="B1261" t="s">
        <v>1136</v>
      </c>
      <c r="C1261" t="s">
        <v>1069</v>
      </c>
      <c r="D1261" t="s">
        <v>1139</v>
      </c>
      <c r="E1261" t="s">
        <v>1069</v>
      </c>
      <c r="F1261" t="s">
        <v>1075</v>
      </c>
      <c r="G1261" t="s">
        <v>1069</v>
      </c>
      <c r="H1261" t="s">
        <v>3683</v>
      </c>
      <c r="I1261" t="s">
        <v>1069</v>
      </c>
    </row>
    <row r="1262" spans="1:9">
      <c r="A1262" t="s">
        <v>3684</v>
      </c>
      <c r="B1262" t="s">
        <v>1116</v>
      </c>
      <c r="C1262" t="s">
        <v>1069</v>
      </c>
      <c r="D1262" t="s">
        <v>1079</v>
      </c>
      <c r="E1262" t="s">
        <v>1069</v>
      </c>
      <c r="F1262" t="s">
        <v>1104</v>
      </c>
      <c r="G1262" t="s">
        <v>1069</v>
      </c>
      <c r="H1262" t="s">
        <v>1419</v>
      </c>
      <c r="I1262" t="s">
        <v>1069</v>
      </c>
    </row>
    <row r="1263" spans="1:9">
      <c r="A1263" t="s">
        <v>3685</v>
      </c>
      <c r="B1263" t="s">
        <v>1068</v>
      </c>
      <c r="C1263" t="s">
        <v>1069</v>
      </c>
      <c r="D1263" t="s">
        <v>1140</v>
      </c>
      <c r="E1263" t="s">
        <v>1069</v>
      </c>
      <c r="F1263" t="s">
        <v>1427</v>
      </c>
      <c r="G1263" t="s">
        <v>1069</v>
      </c>
      <c r="H1263" t="s">
        <v>3686</v>
      </c>
      <c r="I1263" t="s">
        <v>1069</v>
      </c>
    </row>
    <row r="1264" spans="1:9">
      <c r="A1264" t="s">
        <v>3687</v>
      </c>
      <c r="B1264" t="s">
        <v>1139</v>
      </c>
      <c r="C1264" t="s">
        <v>1069</v>
      </c>
      <c r="D1264" t="s">
        <v>1436</v>
      </c>
      <c r="E1264" t="s">
        <v>1069</v>
      </c>
      <c r="F1264" t="s">
        <v>1266</v>
      </c>
      <c r="G1264" t="s">
        <v>1069</v>
      </c>
      <c r="H1264" t="s">
        <v>3688</v>
      </c>
      <c r="I1264" t="s">
        <v>1069</v>
      </c>
    </row>
    <row r="1265" spans="1:9">
      <c r="A1265" t="s">
        <v>3689</v>
      </c>
      <c r="B1265" t="s">
        <v>1139</v>
      </c>
      <c r="C1265" t="s">
        <v>1069</v>
      </c>
      <c r="D1265" t="s">
        <v>1094</v>
      </c>
      <c r="E1265" t="s">
        <v>1069</v>
      </c>
      <c r="F1265" t="s">
        <v>1099</v>
      </c>
      <c r="G1265" t="s">
        <v>1069</v>
      </c>
      <c r="H1265" t="s">
        <v>1615</v>
      </c>
      <c r="I1265" t="s">
        <v>1069</v>
      </c>
    </row>
    <row r="1266" spans="1:9">
      <c r="A1266" t="s">
        <v>3690</v>
      </c>
      <c r="B1266" t="s">
        <v>1116</v>
      </c>
      <c r="C1266" t="s">
        <v>1069</v>
      </c>
      <c r="D1266" t="s">
        <v>1144</v>
      </c>
      <c r="E1266" t="s">
        <v>1069</v>
      </c>
      <c r="F1266" t="s">
        <v>1081</v>
      </c>
      <c r="G1266" t="s">
        <v>1069</v>
      </c>
      <c r="H1266" t="s">
        <v>1621</v>
      </c>
      <c r="I1266" t="s">
        <v>1069</v>
      </c>
    </row>
    <row r="1267" spans="1:9">
      <c r="A1267" t="s">
        <v>3691</v>
      </c>
      <c r="B1267" t="s">
        <v>1260</v>
      </c>
      <c r="C1267" t="s">
        <v>1069</v>
      </c>
      <c r="D1267" t="s">
        <v>1094</v>
      </c>
      <c r="E1267" t="s">
        <v>1069</v>
      </c>
      <c r="F1267" t="s">
        <v>1086</v>
      </c>
      <c r="G1267" t="s">
        <v>1069</v>
      </c>
      <c r="H1267" t="s">
        <v>3692</v>
      </c>
      <c r="I1267" t="s">
        <v>1069</v>
      </c>
    </row>
    <row r="1268" spans="1:9">
      <c r="A1268" t="s">
        <v>3693</v>
      </c>
      <c r="B1268" t="s">
        <v>1260</v>
      </c>
      <c r="C1268" t="s">
        <v>1069</v>
      </c>
      <c r="D1268" t="s">
        <v>1144</v>
      </c>
      <c r="E1268" t="s">
        <v>1069</v>
      </c>
      <c r="F1268" t="s">
        <v>1247</v>
      </c>
      <c r="G1268" t="s">
        <v>1069</v>
      </c>
      <c r="H1268" t="s">
        <v>3694</v>
      </c>
      <c r="I1268" t="s">
        <v>1069</v>
      </c>
    </row>
    <row r="1269" spans="1:9">
      <c r="A1269" t="s">
        <v>3695</v>
      </c>
      <c r="B1269" t="s">
        <v>1102</v>
      </c>
      <c r="C1269" t="s">
        <v>1069</v>
      </c>
      <c r="D1269" t="s">
        <v>1140</v>
      </c>
      <c r="E1269" t="s">
        <v>1069</v>
      </c>
      <c r="F1269" t="s">
        <v>1166</v>
      </c>
      <c r="G1269" t="s">
        <v>1069</v>
      </c>
      <c r="H1269" t="s">
        <v>3696</v>
      </c>
      <c r="I1269" t="s">
        <v>1069</v>
      </c>
    </row>
    <row r="1270" spans="1:9">
      <c r="A1270" t="s">
        <v>3697</v>
      </c>
      <c r="B1270" t="s">
        <v>1260</v>
      </c>
      <c r="C1270" t="s">
        <v>1069</v>
      </c>
      <c r="D1270" t="s">
        <v>1144</v>
      </c>
      <c r="E1270" t="s">
        <v>1069</v>
      </c>
      <c r="F1270" t="s">
        <v>1223</v>
      </c>
      <c r="G1270" t="s">
        <v>1069</v>
      </c>
      <c r="H1270" t="s">
        <v>3698</v>
      </c>
      <c r="I1270" t="s">
        <v>1069</v>
      </c>
    </row>
    <row r="1271" spans="1:9">
      <c r="A1271" t="s">
        <v>3699</v>
      </c>
      <c r="B1271" t="s">
        <v>1143</v>
      </c>
      <c r="C1271" t="s">
        <v>1069</v>
      </c>
      <c r="D1271" t="s">
        <v>1094</v>
      </c>
      <c r="E1271" t="s">
        <v>1069</v>
      </c>
      <c r="F1271" t="s">
        <v>1285</v>
      </c>
      <c r="G1271" t="s">
        <v>1069</v>
      </c>
      <c r="H1271" t="s">
        <v>3700</v>
      </c>
      <c r="I1271" t="s">
        <v>1069</v>
      </c>
    </row>
    <row r="1272" spans="1:9">
      <c r="A1272" t="s">
        <v>3701</v>
      </c>
      <c r="B1272" t="s">
        <v>1136</v>
      </c>
      <c r="C1272" t="s">
        <v>1069</v>
      </c>
      <c r="D1272" t="s">
        <v>1436</v>
      </c>
      <c r="E1272" t="s">
        <v>1069</v>
      </c>
      <c r="F1272" t="s">
        <v>1179</v>
      </c>
      <c r="G1272" t="s">
        <v>1069</v>
      </c>
      <c r="H1272" t="s">
        <v>1304</v>
      </c>
      <c r="I1272" t="s">
        <v>1069</v>
      </c>
    </row>
    <row r="1273" spans="1:9">
      <c r="A1273" t="s">
        <v>3702</v>
      </c>
      <c r="B1273" t="s">
        <v>1284</v>
      </c>
      <c r="C1273" t="s">
        <v>1069</v>
      </c>
      <c r="D1273" t="s">
        <v>1103</v>
      </c>
      <c r="E1273" t="s">
        <v>1069</v>
      </c>
      <c r="F1273" t="s">
        <v>1086</v>
      </c>
      <c r="G1273" t="s">
        <v>1069</v>
      </c>
      <c r="H1273" t="s">
        <v>1692</v>
      </c>
      <c r="I1273" t="s">
        <v>1069</v>
      </c>
    </row>
    <row r="1274" spans="1:9">
      <c r="A1274" t="s">
        <v>3703</v>
      </c>
      <c r="B1274" t="s">
        <v>1265</v>
      </c>
      <c r="C1274" t="s">
        <v>1069</v>
      </c>
      <c r="D1274" t="s">
        <v>1068</v>
      </c>
      <c r="E1274" t="s">
        <v>1069</v>
      </c>
      <c r="F1274" t="s">
        <v>1162</v>
      </c>
      <c r="G1274" t="s">
        <v>1069</v>
      </c>
      <c r="H1274" t="s">
        <v>2163</v>
      </c>
      <c r="I1274" t="s">
        <v>1069</v>
      </c>
    </row>
    <row r="1275" spans="1:9">
      <c r="A1275" t="s">
        <v>3704</v>
      </c>
      <c r="B1275" t="s">
        <v>1121</v>
      </c>
      <c r="C1275" t="s">
        <v>1069</v>
      </c>
      <c r="D1275" t="s">
        <v>1079</v>
      </c>
      <c r="E1275" t="s">
        <v>1069</v>
      </c>
      <c r="F1275" t="s">
        <v>1071</v>
      </c>
      <c r="G1275" t="s">
        <v>1069</v>
      </c>
      <c r="H1275" t="s">
        <v>3705</v>
      </c>
      <c r="I1275" t="s">
        <v>1069</v>
      </c>
    </row>
    <row r="1276" spans="1:9">
      <c r="A1276" t="s">
        <v>3706</v>
      </c>
      <c r="B1276" t="s">
        <v>1136</v>
      </c>
      <c r="C1276" t="s">
        <v>1069</v>
      </c>
      <c r="D1276" t="s">
        <v>1079</v>
      </c>
      <c r="E1276" t="s">
        <v>1069</v>
      </c>
      <c r="F1276" t="s">
        <v>1071</v>
      </c>
      <c r="G1276" t="s">
        <v>1069</v>
      </c>
      <c r="H1276" t="s">
        <v>1308</v>
      </c>
      <c r="I1276" t="s">
        <v>1069</v>
      </c>
    </row>
    <row r="1277" spans="1:9">
      <c r="A1277" t="s">
        <v>3707</v>
      </c>
      <c r="B1277" t="s">
        <v>1284</v>
      </c>
      <c r="C1277" t="s">
        <v>1069</v>
      </c>
      <c r="D1277" t="s">
        <v>1074</v>
      </c>
      <c r="E1277" t="s">
        <v>1069</v>
      </c>
      <c r="F1277" t="s">
        <v>1071</v>
      </c>
      <c r="G1277" t="s">
        <v>1069</v>
      </c>
      <c r="H1277" t="s">
        <v>1134</v>
      </c>
      <c r="I1277" t="s">
        <v>1069</v>
      </c>
    </row>
    <row r="1278" spans="1:9">
      <c r="A1278" t="s">
        <v>3708</v>
      </c>
      <c r="B1278" t="s">
        <v>1265</v>
      </c>
      <c r="C1278" t="s">
        <v>1069</v>
      </c>
      <c r="D1278" t="s">
        <v>1068</v>
      </c>
      <c r="E1278" t="s">
        <v>1069</v>
      </c>
      <c r="F1278" t="s">
        <v>1162</v>
      </c>
      <c r="G1278" t="s">
        <v>1069</v>
      </c>
      <c r="H1278" t="s">
        <v>3709</v>
      </c>
      <c r="I1278" t="s">
        <v>1069</v>
      </c>
    </row>
    <row r="1279" spans="1:9">
      <c r="A1279" t="s">
        <v>3710</v>
      </c>
      <c r="B1279" t="s">
        <v>1152</v>
      </c>
      <c r="C1279" t="s">
        <v>1069</v>
      </c>
      <c r="D1279" t="s">
        <v>1068</v>
      </c>
      <c r="E1279" t="s">
        <v>1069</v>
      </c>
      <c r="F1279" t="s">
        <v>1427</v>
      </c>
      <c r="G1279" t="s">
        <v>1069</v>
      </c>
      <c r="H1279" t="s">
        <v>3711</v>
      </c>
      <c r="I1279" t="s">
        <v>1069</v>
      </c>
    </row>
    <row r="1280" spans="1:9">
      <c r="A1280" t="s">
        <v>3712</v>
      </c>
      <c r="B1280" t="s">
        <v>1149</v>
      </c>
      <c r="C1280" t="s">
        <v>1069</v>
      </c>
      <c r="D1280" t="s">
        <v>1089</v>
      </c>
      <c r="E1280" t="s">
        <v>1069</v>
      </c>
      <c r="F1280" t="s">
        <v>1175</v>
      </c>
      <c r="G1280" t="s">
        <v>1069</v>
      </c>
      <c r="H1280" t="s">
        <v>3060</v>
      </c>
      <c r="I1280" t="s">
        <v>1069</v>
      </c>
    </row>
    <row r="1281" spans="1:9">
      <c r="A1281" t="s">
        <v>3713</v>
      </c>
      <c r="B1281" t="s">
        <v>1270</v>
      </c>
      <c r="C1281" t="s">
        <v>1069</v>
      </c>
      <c r="D1281" t="s">
        <v>1129</v>
      </c>
      <c r="E1281" t="s">
        <v>1069</v>
      </c>
      <c r="F1281" t="s">
        <v>1238</v>
      </c>
      <c r="G1281" t="s">
        <v>1069</v>
      </c>
      <c r="H1281" t="s">
        <v>3714</v>
      </c>
      <c r="I1281" t="s">
        <v>1069</v>
      </c>
    </row>
    <row r="1282" spans="1:9">
      <c r="A1282" t="s">
        <v>3715</v>
      </c>
      <c r="B1282" t="s">
        <v>1270</v>
      </c>
      <c r="C1282" t="s">
        <v>1069</v>
      </c>
      <c r="D1282" t="s">
        <v>1093</v>
      </c>
      <c r="E1282" t="s">
        <v>1069</v>
      </c>
      <c r="F1282" t="s">
        <v>1085</v>
      </c>
      <c r="G1282" t="s">
        <v>1069</v>
      </c>
      <c r="H1282" t="s">
        <v>3716</v>
      </c>
      <c r="I1282" t="s">
        <v>1069</v>
      </c>
    </row>
    <row r="1283" spans="1:9">
      <c r="A1283" t="s">
        <v>3717</v>
      </c>
      <c r="B1283" t="s">
        <v>1152</v>
      </c>
      <c r="C1283" t="s">
        <v>1069</v>
      </c>
      <c r="D1283" t="s">
        <v>1113</v>
      </c>
      <c r="E1283" t="s">
        <v>1069</v>
      </c>
      <c r="F1283" t="s">
        <v>1110</v>
      </c>
      <c r="G1283" t="s">
        <v>1069</v>
      </c>
      <c r="H1283" t="s">
        <v>3718</v>
      </c>
      <c r="I1283" t="s">
        <v>1069</v>
      </c>
    </row>
    <row r="1284" spans="1:9">
      <c r="A1284" t="s">
        <v>3719</v>
      </c>
      <c r="B1284" t="s">
        <v>1265</v>
      </c>
      <c r="C1284" t="s">
        <v>1069</v>
      </c>
      <c r="D1284" t="s">
        <v>1093</v>
      </c>
      <c r="E1284" t="s">
        <v>1069</v>
      </c>
      <c r="F1284" t="s">
        <v>1234</v>
      </c>
      <c r="G1284" t="s">
        <v>1069</v>
      </c>
      <c r="H1284" t="s">
        <v>2264</v>
      </c>
      <c r="I1284" t="s">
        <v>1069</v>
      </c>
    </row>
    <row r="1285" spans="1:9">
      <c r="A1285" t="s">
        <v>3720</v>
      </c>
      <c r="B1285" t="s">
        <v>1149</v>
      </c>
      <c r="C1285" t="s">
        <v>1069</v>
      </c>
      <c r="D1285" t="s">
        <v>1116</v>
      </c>
      <c r="E1285" t="s">
        <v>1069</v>
      </c>
      <c r="F1285" t="s">
        <v>1234</v>
      </c>
      <c r="G1285" t="s">
        <v>1069</v>
      </c>
      <c r="H1285" t="s">
        <v>3721</v>
      </c>
      <c r="I1285" t="s">
        <v>1069</v>
      </c>
    </row>
    <row r="1286" spans="1:9">
      <c r="A1286" t="s">
        <v>3722</v>
      </c>
      <c r="B1286" t="s">
        <v>1149</v>
      </c>
      <c r="C1286" t="s">
        <v>1069</v>
      </c>
      <c r="D1286" t="s">
        <v>1107</v>
      </c>
      <c r="E1286" t="s">
        <v>1069</v>
      </c>
      <c r="F1286" t="s">
        <v>1080</v>
      </c>
      <c r="G1286" t="s">
        <v>1069</v>
      </c>
      <c r="H1286" t="s">
        <v>3723</v>
      </c>
      <c r="I1286" t="s">
        <v>1069</v>
      </c>
    </row>
    <row r="1287" spans="1:9">
      <c r="A1287" t="s">
        <v>3724</v>
      </c>
      <c r="B1287" t="s">
        <v>1152</v>
      </c>
      <c r="C1287" t="s">
        <v>1069</v>
      </c>
      <c r="D1287" t="s">
        <v>1107</v>
      </c>
      <c r="E1287" t="s">
        <v>1069</v>
      </c>
      <c r="F1287" t="s">
        <v>1276</v>
      </c>
      <c r="G1287" t="s">
        <v>1069</v>
      </c>
      <c r="H1287" t="s">
        <v>3725</v>
      </c>
      <c r="I1287" t="s">
        <v>1069</v>
      </c>
    </row>
    <row r="1288" spans="1:9">
      <c r="A1288" t="s">
        <v>3726</v>
      </c>
      <c r="B1288" t="s">
        <v>1149</v>
      </c>
      <c r="C1288" t="s">
        <v>1069</v>
      </c>
      <c r="D1288" t="s">
        <v>1107</v>
      </c>
      <c r="E1288" t="s">
        <v>1069</v>
      </c>
      <c r="F1288" t="s">
        <v>1504</v>
      </c>
      <c r="G1288" t="s">
        <v>1069</v>
      </c>
      <c r="H1288" t="s">
        <v>3727</v>
      </c>
      <c r="I1288" t="s">
        <v>1069</v>
      </c>
    </row>
    <row r="1289" spans="1:9">
      <c r="A1289" t="s">
        <v>3728</v>
      </c>
      <c r="B1289" t="s">
        <v>1152</v>
      </c>
      <c r="C1289" t="s">
        <v>1069</v>
      </c>
      <c r="D1289" t="s">
        <v>1116</v>
      </c>
      <c r="E1289" t="s">
        <v>1069</v>
      </c>
      <c r="F1289" t="s">
        <v>1080</v>
      </c>
      <c r="G1289" t="s">
        <v>1069</v>
      </c>
      <c r="H1289" t="s">
        <v>1712</v>
      </c>
      <c r="I1289" t="s">
        <v>1069</v>
      </c>
    </row>
    <row r="1290" spans="1:9">
      <c r="A1290" t="s">
        <v>3729</v>
      </c>
      <c r="B1290" t="s">
        <v>1136</v>
      </c>
      <c r="C1290" t="s">
        <v>1069</v>
      </c>
      <c r="D1290" t="s">
        <v>1068</v>
      </c>
      <c r="E1290" t="s">
        <v>1069</v>
      </c>
      <c r="F1290" t="s">
        <v>1266</v>
      </c>
      <c r="G1290" t="s">
        <v>1069</v>
      </c>
      <c r="H1290" t="s">
        <v>3730</v>
      </c>
      <c r="I1290" t="s">
        <v>1069</v>
      </c>
    </row>
    <row r="1291" spans="1:9">
      <c r="A1291" t="s">
        <v>3731</v>
      </c>
      <c r="B1291" t="s">
        <v>1107</v>
      </c>
      <c r="C1291" t="s">
        <v>1069</v>
      </c>
      <c r="D1291" t="s">
        <v>1436</v>
      </c>
      <c r="E1291" t="s">
        <v>1069</v>
      </c>
      <c r="F1291" t="s">
        <v>1076</v>
      </c>
      <c r="G1291" t="s">
        <v>1069</v>
      </c>
      <c r="H1291" t="s">
        <v>2353</v>
      </c>
      <c r="I1291" t="s">
        <v>1069</v>
      </c>
    </row>
    <row r="1292" spans="1:9">
      <c r="A1292" t="s">
        <v>3732</v>
      </c>
      <c r="B1292" t="s">
        <v>1125</v>
      </c>
      <c r="C1292" t="s">
        <v>1069</v>
      </c>
      <c r="D1292" t="s">
        <v>1089</v>
      </c>
      <c r="E1292" t="s">
        <v>1069</v>
      </c>
      <c r="F1292" t="s">
        <v>1159</v>
      </c>
      <c r="G1292" t="s">
        <v>1069</v>
      </c>
      <c r="H1292" t="s">
        <v>3733</v>
      </c>
      <c r="I1292" t="s">
        <v>1069</v>
      </c>
    </row>
    <row r="1293" spans="1:9">
      <c r="A1293" t="s">
        <v>3734</v>
      </c>
      <c r="B1293" t="s">
        <v>1149</v>
      </c>
      <c r="C1293" t="s">
        <v>1069</v>
      </c>
      <c r="D1293" t="s">
        <v>1116</v>
      </c>
      <c r="E1293" t="s">
        <v>1069</v>
      </c>
      <c r="F1293" t="s">
        <v>1140</v>
      </c>
      <c r="G1293" t="s">
        <v>1069</v>
      </c>
      <c r="H1293" t="s">
        <v>3735</v>
      </c>
      <c r="I1293" t="s">
        <v>1069</v>
      </c>
    </row>
    <row r="1294" spans="1:9">
      <c r="A1294" t="s">
        <v>3736</v>
      </c>
      <c r="B1294" t="s">
        <v>1259</v>
      </c>
      <c r="C1294" t="s">
        <v>1069</v>
      </c>
      <c r="D1294" t="s">
        <v>1128</v>
      </c>
      <c r="E1294" t="s">
        <v>1069</v>
      </c>
      <c r="F1294" t="s">
        <v>1103</v>
      </c>
      <c r="G1294" t="s">
        <v>1069</v>
      </c>
      <c r="H1294" t="s">
        <v>3737</v>
      </c>
      <c r="I1294" t="s">
        <v>1069</v>
      </c>
    </row>
    <row r="1295" spans="1:9">
      <c r="A1295" t="s">
        <v>3738</v>
      </c>
      <c r="B1295" t="s">
        <v>1488</v>
      </c>
      <c r="C1295" t="s">
        <v>1069</v>
      </c>
      <c r="D1295" t="s">
        <v>1136</v>
      </c>
      <c r="E1295" t="s">
        <v>1069</v>
      </c>
      <c r="F1295" t="s">
        <v>1103</v>
      </c>
      <c r="G1295" t="s">
        <v>1069</v>
      </c>
      <c r="H1295" t="s">
        <v>3739</v>
      </c>
      <c r="I1295" t="s">
        <v>1069</v>
      </c>
    </row>
    <row r="1296" spans="1:9">
      <c r="A1296" t="s">
        <v>3740</v>
      </c>
      <c r="B1296" t="s">
        <v>1270</v>
      </c>
      <c r="C1296" t="s">
        <v>1069</v>
      </c>
      <c r="D1296" t="s">
        <v>1102</v>
      </c>
      <c r="E1296" t="s">
        <v>1069</v>
      </c>
      <c r="F1296" t="s">
        <v>1140</v>
      </c>
      <c r="G1296" t="s">
        <v>1069</v>
      </c>
      <c r="H1296" t="s">
        <v>1686</v>
      </c>
      <c r="I1296" t="s">
        <v>1069</v>
      </c>
    </row>
    <row r="1297" spans="1:9">
      <c r="A1297" t="s">
        <v>3741</v>
      </c>
      <c r="B1297" t="s">
        <v>1136</v>
      </c>
      <c r="C1297" t="s">
        <v>1069</v>
      </c>
      <c r="D1297" t="s">
        <v>1129</v>
      </c>
      <c r="E1297" t="s">
        <v>1069</v>
      </c>
      <c r="F1297" t="s">
        <v>1122</v>
      </c>
      <c r="G1297" t="s">
        <v>1069</v>
      </c>
      <c r="H1297" t="s">
        <v>1294</v>
      </c>
      <c r="I1297" t="s">
        <v>1069</v>
      </c>
    </row>
    <row r="1298" spans="1:9">
      <c r="A1298" t="s">
        <v>3742</v>
      </c>
      <c r="B1298" t="s">
        <v>1265</v>
      </c>
      <c r="C1298" t="s">
        <v>1069</v>
      </c>
      <c r="D1298" t="s">
        <v>1102</v>
      </c>
      <c r="E1298" t="s">
        <v>1069</v>
      </c>
      <c r="F1298" t="s">
        <v>1140</v>
      </c>
      <c r="G1298" t="s">
        <v>1069</v>
      </c>
      <c r="H1298" t="s">
        <v>2732</v>
      </c>
      <c r="I1298" t="s">
        <v>1069</v>
      </c>
    </row>
    <row r="1299" spans="1:9">
      <c r="A1299" t="s">
        <v>3743</v>
      </c>
      <c r="B1299" t="s">
        <v>1293</v>
      </c>
      <c r="C1299" t="s">
        <v>1069</v>
      </c>
      <c r="D1299" t="s">
        <v>1121</v>
      </c>
      <c r="E1299" t="s">
        <v>1069</v>
      </c>
      <c r="F1299" t="s">
        <v>1074</v>
      </c>
      <c r="G1299" t="s">
        <v>1069</v>
      </c>
      <c r="H1299" t="s">
        <v>3744</v>
      </c>
      <c r="I1299" t="s">
        <v>1069</v>
      </c>
    </row>
    <row r="1300" spans="1:9">
      <c r="A1300" t="s">
        <v>3745</v>
      </c>
      <c r="B1300" t="s">
        <v>1265</v>
      </c>
      <c r="C1300" t="s">
        <v>1069</v>
      </c>
      <c r="D1300" t="s">
        <v>1116</v>
      </c>
      <c r="E1300" t="s">
        <v>1069</v>
      </c>
      <c r="F1300" t="s">
        <v>1090</v>
      </c>
      <c r="G1300" t="s">
        <v>1069</v>
      </c>
      <c r="H1300" t="s">
        <v>1657</v>
      </c>
      <c r="I1300" t="s">
        <v>1069</v>
      </c>
    </row>
    <row r="1301" spans="1:9">
      <c r="A1301" t="s">
        <v>3746</v>
      </c>
      <c r="B1301" t="s">
        <v>1107</v>
      </c>
      <c r="C1301" t="s">
        <v>1069</v>
      </c>
      <c r="D1301" t="s">
        <v>1074</v>
      </c>
      <c r="E1301" t="s">
        <v>1069</v>
      </c>
      <c r="F1301" t="s">
        <v>1266</v>
      </c>
      <c r="G1301" t="s">
        <v>1069</v>
      </c>
      <c r="H1301" t="s">
        <v>3747</v>
      </c>
      <c r="I1301" t="s">
        <v>1069</v>
      </c>
    </row>
    <row r="1302" spans="1:9">
      <c r="A1302" t="s">
        <v>3748</v>
      </c>
      <c r="B1302" t="s">
        <v>1102</v>
      </c>
      <c r="C1302" t="s">
        <v>1069</v>
      </c>
      <c r="D1302" t="s">
        <v>1074</v>
      </c>
      <c r="E1302" t="s">
        <v>1069</v>
      </c>
      <c r="F1302" t="s">
        <v>1104</v>
      </c>
      <c r="G1302" t="s">
        <v>1069</v>
      </c>
      <c r="H1302" t="s">
        <v>1718</v>
      </c>
      <c r="I1302" t="s">
        <v>1069</v>
      </c>
    </row>
    <row r="1303" spans="1:9">
      <c r="A1303" t="s">
        <v>3749</v>
      </c>
      <c r="B1303" t="s">
        <v>1113</v>
      </c>
      <c r="C1303" t="s">
        <v>1069</v>
      </c>
      <c r="D1303" t="s">
        <v>1103</v>
      </c>
      <c r="E1303" t="s">
        <v>1069</v>
      </c>
      <c r="F1303" t="s">
        <v>1266</v>
      </c>
      <c r="G1303" t="s">
        <v>1069</v>
      </c>
      <c r="H1303" t="s">
        <v>1659</v>
      </c>
      <c r="I1303" t="s">
        <v>1069</v>
      </c>
    </row>
    <row r="1304" spans="1:9">
      <c r="A1304" t="s">
        <v>3750</v>
      </c>
      <c r="B1304" t="s">
        <v>1116</v>
      </c>
      <c r="C1304" t="s">
        <v>1069</v>
      </c>
      <c r="D1304" t="s">
        <v>1079</v>
      </c>
      <c r="E1304" t="s">
        <v>1069</v>
      </c>
      <c r="F1304" t="s">
        <v>1320</v>
      </c>
      <c r="G1304" t="s">
        <v>1069</v>
      </c>
      <c r="H1304" t="s">
        <v>2950</v>
      </c>
      <c r="I1304" t="s">
        <v>1069</v>
      </c>
    </row>
    <row r="1305" spans="1:9">
      <c r="A1305" t="s">
        <v>3751</v>
      </c>
      <c r="B1305" t="s">
        <v>1089</v>
      </c>
      <c r="C1305" t="s">
        <v>1069</v>
      </c>
      <c r="D1305" t="s">
        <v>1090</v>
      </c>
      <c r="E1305" t="s">
        <v>1069</v>
      </c>
      <c r="F1305" t="s">
        <v>1223</v>
      </c>
      <c r="G1305" t="s">
        <v>1069</v>
      </c>
      <c r="H1305" t="s">
        <v>1816</v>
      </c>
      <c r="I1305" t="s">
        <v>1069</v>
      </c>
    </row>
    <row r="1306" spans="1:9">
      <c r="A1306" t="s">
        <v>3752</v>
      </c>
      <c r="B1306" t="s">
        <v>1074</v>
      </c>
      <c r="C1306" t="s">
        <v>1069</v>
      </c>
      <c r="D1306" t="s">
        <v>1090</v>
      </c>
      <c r="E1306" t="s">
        <v>1069</v>
      </c>
      <c r="F1306" t="s">
        <v>1234</v>
      </c>
      <c r="G1306" t="s">
        <v>1069</v>
      </c>
      <c r="H1306" t="s">
        <v>1716</v>
      </c>
      <c r="I1306" t="s">
        <v>1069</v>
      </c>
    </row>
    <row r="1307" spans="1:9">
      <c r="A1307" t="s">
        <v>3753</v>
      </c>
      <c r="B1307" t="s">
        <v>1276</v>
      </c>
      <c r="C1307" t="s">
        <v>1069</v>
      </c>
      <c r="D1307" t="s">
        <v>1320</v>
      </c>
      <c r="E1307" t="s">
        <v>1069</v>
      </c>
      <c r="F1307" t="s">
        <v>1595</v>
      </c>
      <c r="G1307" t="s">
        <v>1069</v>
      </c>
      <c r="H1307" t="s">
        <v>2269</v>
      </c>
      <c r="I1307" t="s">
        <v>1069</v>
      </c>
    </row>
    <row r="1308" spans="1:9">
      <c r="A1308" t="s">
        <v>3754</v>
      </c>
      <c r="B1308" t="s">
        <v>1104</v>
      </c>
      <c r="C1308" t="s">
        <v>1069</v>
      </c>
      <c r="D1308" t="s">
        <v>1427</v>
      </c>
      <c r="E1308" t="s">
        <v>1069</v>
      </c>
      <c r="F1308" t="s">
        <v>1167</v>
      </c>
      <c r="G1308" t="s">
        <v>1069</v>
      </c>
      <c r="H1308" t="s">
        <v>3755</v>
      </c>
      <c r="I1308" t="s">
        <v>1069</v>
      </c>
    </row>
    <row r="1309" spans="1:9">
      <c r="A1309" t="s">
        <v>3756</v>
      </c>
      <c r="B1309" t="s">
        <v>1090</v>
      </c>
      <c r="C1309" t="s">
        <v>1069</v>
      </c>
      <c r="D1309" t="s">
        <v>1104</v>
      </c>
      <c r="E1309" t="s">
        <v>1069</v>
      </c>
      <c r="F1309" t="s">
        <v>1086</v>
      </c>
      <c r="G1309" t="s">
        <v>1069</v>
      </c>
      <c r="H1309" t="s">
        <v>2506</v>
      </c>
      <c r="I1309" t="s">
        <v>1069</v>
      </c>
    </row>
    <row r="1310" spans="1:9">
      <c r="A1310" t="s">
        <v>3757</v>
      </c>
      <c r="B1310" t="s">
        <v>1075</v>
      </c>
      <c r="C1310" t="s">
        <v>1069</v>
      </c>
      <c r="D1310" t="s">
        <v>1320</v>
      </c>
      <c r="E1310" t="s">
        <v>1069</v>
      </c>
      <c r="F1310" t="s">
        <v>1238</v>
      </c>
      <c r="G1310" t="s">
        <v>1069</v>
      </c>
      <c r="H1310" t="s">
        <v>3758</v>
      </c>
      <c r="I1310" t="s">
        <v>1069</v>
      </c>
    </row>
    <row r="1311" spans="1:9">
      <c r="A1311" t="s">
        <v>3759</v>
      </c>
      <c r="B1311" t="s">
        <v>1070</v>
      </c>
      <c r="C1311" t="s">
        <v>1069</v>
      </c>
      <c r="D1311" t="s">
        <v>1242</v>
      </c>
      <c r="E1311" t="s">
        <v>1069</v>
      </c>
      <c r="F1311" t="s">
        <v>1238</v>
      </c>
      <c r="G1311" t="s">
        <v>1069</v>
      </c>
      <c r="H1311" t="s">
        <v>3760</v>
      </c>
      <c r="I1311" t="s">
        <v>1069</v>
      </c>
    </row>
    <row r="1312" spans="1:9">
      <c r="A1312" t="s">
        <v>3761</v>
      </c>
      <c r="B1312" t="s">
        <v>1070</v>
      </c>
      <c r="C1312" t="s">
        <v>1069</v>
      </c>
      <c r="D1312" t="s">
        <v>1095</v>
      </c>
      <c r="E1312" t="s">
        <v>1069</v>
      </c>
      <c r="F1312" t="s">
        <v>1231</v>
      </c>
      <c r="G1312" t="s">
        <v>1069</v>
      </c>
      <c r="H1312" t="s">
        <v>2170</v>
      </c>
      <c r="I1312" t="s">
        <v>1069</v>
      </c>
    </row>
    <row r="1313" spans="1:9">
      <c r="A1313" t="s">
        <v>3762</v>
      </c>
      <c r="B1313" t="s">
        <v>1122</v>
      </c>
      <c r="C1313" t="s">
        <v>1069</v>
      </c>
      <c r="D1313" t="s">
        <v>1071</v>
      </c>
      <c r="E1313" t="s">
        <v>1069</v>
      </c>
      <c r="F1313" t="s">
        <v>1191</v>
      </c>
      <c r="G1313" t="s">
        <v>1069</v>
      </c>
      <c r="H1313" t="s">
        <v>3093</v>
      </c>
      <c r="I1313" t="s">
        <v>1069</v>
      </c>
    </row>
    <row r="1314" spans="1:9">
      <c r="A1314" t="s">
        <v>3763</v>
      </c>
      <c r="B1314" t="s">
        <v>1085</v>
      </c>
      <c r="C1314" t="s">
        <v>1069</v>
      </c>
      <c r="D1314" t="s">
        <v>1071</v>
      </c>
      <c r="E1314" t="s">
        <v>1069</v>
      </c>
      <c r="F1314" t="s">
        <v>1579</v>
      </c>
      <c r="G1314" t="s">
        <v>1069</v>
      </c>
      <c r="H1314" t="s">
        <v>3764</v>
      </c>
      <c r="I1314" t="s">
        <v>1069</v>
      </c>
    </row>
    <row r="1315" spans="1:9">
      <c r="A1315" t="s">
        <v>3765</v>
      </c>
      <c r="B1315" t="s">
        <v>1504</v>
      </c>
      <c r="C1315" t="s">
        <v>1069</v>
      </c>
      <c r="D1315" t="s">
        <v>1095</v>
      </c>
      <c r="E1315" t="s">
        <v>1069</v>
      </c>
      <c r="F1315" t="s">
        <v>1086</v>
      </c>
      <c r="G1315" t="s">
        <v>1069</v>
      </c>
      <c r="H1315" t="s">
        <v>1111</v>
      </c>
      <c r="I1315" t="s">
        <v>1069</v>
      </c>
    </row>
    <row r="1316" spans="1:9">
      <c r="A1316" t="s">
        <v>3766</v>
      </c>
      <c r="B1316" t="s">
        <v>1068</v>
      </c>
      <c r="C1316" t="s">
        <v>1069</v>
      </c>
      <c r="D1316" t="s">
        <v>1144</v>
      </c>
      <c r="E1316" t="s">
        <v>1069</v>
      </c>
      <c r="F1316" t="s">
        <v>1104</v>
      </c>
      <c r="G1316" t="s">
        <v>1069</v>
      </c>
      <c r="H1316" t="s">
        <v>3767</v>
      </c>
      <c r="I1316" t="s">
        <v>1069</v>
      </c>
    </row>
    <row r="1317" spans="1:9">
      <c r="A1317" t="s">
        <v>3768</v>
      </c>
      <c r="B1317" t="s">
        <v>1090</v>
      </c>
      <c r="C1317" t="s">
        <v>1069</v>
      </c>
      <c r="D1317" t="s">
        <v>1110</v>
      </c>
      <c r="E1317" t="s">
        <v>1069</v>
      </c>
      <c r="F1317" t="s">
        <v>1166</v>
      </c>
      <c r="G1317" t="s">
        <v>1069</v>
      </c>
      <c r="H1317" t="s">
        <v>2283</v>
      </c>
      <c r="I1317" t="s">
        <v>1069</v>
      </c>
    </row>
    <row r="1318" spans="1:9">
      <c r="A1318" t="s">
        <v>3769</v>
      </c>
      <c r="B1318" t="s">
        <v>1110</v>
      </c>
      <c r="C1318" t="s">
        <v>1069</v>
      </c>
      <c r="D1318" t="s">
        <v>1162</v>
      </c>
      <c r="E1318" t="s">
        <v>1069</v>
      </c>
      <c r="F1318" t="s">
        <v>1231</v>
      </c>
      <c r="G1318" t="s">
        <v>1069</v>
      </c>
      <c r="H1318" t="s">
        <v>3770</v>
      </c>
      <c r="I1318" t="s">
        <v>1069</v>
      </c>
    </row>
    <row r="1319" spans="1:9">
      <c r="A1319" t="s">
        <v>3771</v>
      </c>
      <c r="B1319" t="s">
        <v>1162</v>
      </c>
      <c r="C1319" t="s">
        <v>1069</v>
      </c>
      <c r="D1319" t="s">
        <v>1285</v>
      </c>
      <c r="E1319" t="s">
        <v>1069</v>
      </c>
      <c r="F1319" t="s">
        <v>1180</v>
      </c>
      <c r="G1319" t="s">
        <v>1069</v>
      </c>
      <c r="H1319" t="s">
        <v>3772</v>
      </c>
      <c r="I1319" t="s">
        <v>1069</v>
      </c>
    </row>
    <row r="1320" spans="1:9">
      <c r="A1320" t="s">
        <v>3773</v>
      </c>
      <c r="B1320" t="s">
        <v>1234</v>
      </c>
      <c r="C1320" t="s">
        <v>1069</v>
      </c>
      <c r="D1320" t="s">
        <v>1238</v>
      </c>
      <c r="E1320" t="s">
        <v>1069</v>
      </c>
      <c r="F1320" t="s">
        <v>1227</v>
      </c>
      <c r="G1320" t="s">
        <v>1069</v>
      </c>
      <c r="H1320" t="s">
        <v>3774</v>
      </c>
      <c r="I1320" t="s">
        <v>1069</v>
      </c>
    </row>
    <row r="1321" spans="1:9">
      <c r="A1321" t="s">
        <v>3775</v>
      </c>
      <c r="B1321" t="s">
        <v>1110</v>
      </c>
      <c r="C1321" t="s">
        <v>1069</v>
      </c>
      <c r="D1321" t="s">
        <v>1234</v>
      </c>
      <c r="E1321" t="s">
        <v>1069</v>
      </c>
      <c r="F1321" t="s">
        <v>1595</v>
      </c>
      <c r="G1321" t="s">
        <v>1069</v>
      </c>
      <c r="H1321" t="s">
        <v>3776</v>
      </c>
      <c r="I1321" t="s">
        <v>1069</v>
      </c>
    </row>
    <row r="1322" spans="1:9">
      <c r="A1322" t="s">
        <v>3777</v>
      </c>
      <c r="B1322" t="s">
        <v>1242</v>
      </c>
      <c r="C1322" t="s">
        <v>1069</v>
      </c>
      <c r="D1322" t="s">
        <v>1534</v>
      </c>
      <c r="E1322" t="s">
        <v>1069</v>
      </c>
      <c r="F1322" t="s">
        <v>1261</v>
      </c>
      <c r="G1322" t="s">
        <v>1069</v>
      </c>
      <c r="H1322" t="s">
        <v>3778</v>
      </c>
      <c r="I1322" t="s">
        <v>1069</v>
      </c>
    </row>
    <row r="1323" spans="1:9">
      <c r="A1323" t="s">
        <v>3779</v>
      </c>
      <c r="B1323" t="s">
        <v>1223</v>
      </c>
      <c r="C1323" t="s">
        <v>1069</v>
      </c>
      <c r="D1323" t="s">
        <v>1227</v>
      </c>
      <c r="E1323" t="s">
        <v>1069</v>
      </c>
      <c r="F1323" t="s">
        <v>1573</v>
      </c>
      <c r="G1323" t="s">
        <v>1069</v>
      </c>
      <c r="H1323" t="s">
        <v>3780</v>
      </c>
      <c r="I1323" t="s">
        <v>1069</v>
      </c>
    </row>
    <row r="1324" spans="1:9">
      <c r="A1324" t="s">
        <v>3781</v>
      </c>
      <c r="B1324" t="s">
        <v>1279</v>
      </c>
      <c r="C1324" t="s">
        <v>1069</v>
      </c>
      <c r="D1324" t="s">
        <v>1086</v>
      </c>
      <c r="E1324" t="s">
        <v>1069</v>
      </c>
      <c r="F1324" t="s">
        <v>1216</v>
      </c>
      <c r="G1324" t="s">
        <v>1069</v>
      </c>
      <c r="H1324" t="s">
        <v>3782</v>
      </c>
      <c r="I1324" t="s">
        <v>1069</v>
      </c>
    </row>
    <row r="1325" spans="1:9">
      <c r="A1325" t="s">
        <v>3783</v>
      </c>
      <c r="B1325" t="s">
        <v>1095</v>
      </c>
      <c r="C1325" t="s">
        <v>1069</v>
      </c>
      <c r="D1325" t="s">
        <v>1238</v>
      </c>
      <c r="E1325" t="s">
        <v>1069</v>
      </c>
      <c r="F1325" t="s">
        <v>1328</v>
      </c>
      <c r="G1325" t="s">
        <v>1069</v>
      </c>
      <c r="H1325" t="s">
        <v>3784</v>
      </c>
      <c r="I1325" t="s">
        <v>1069</v>
      </c>
    </row>
    <row r="1326" spans="1:9">
      <c r="A1326" t="s">
        <v>3785</v>
      </c>
      <c r="B1326" t="s">
        <v>1071</v>
      </c>
      <c r="C1326" t="s">
        <v>1069</v>
      </c>
      <c r="D1326" t="s">
        <v>1231</v>
      </c>
      <c r="E1326" t="s">
        <v>1069</v>
      </c>
      <c r="F1326" t="s">
        <v>1403</v>
      </c>
      <c r="G1326" t="s">
        <v>1069</v>
      </c>
      <c r="H1326" t="s">
        <v>3678</v>
      </c>
      <c r="I1326" t="s">
        <v>1069</v>
      </c>
    </row>
    <row r="1327" spans="1:9">
      <c r="A1327" t="s">
        <v>3786</v>
      </c>
      <c r="B1327" t="s">
        <v>1595</v>
      </c>
      <c r="C1327" t="s">
        <v>1069</v>
      </c>
      <c r="D1327" t="s">
        <v>1247</v>
      </c>
      <c r="E1327" t="s">
        <v>1069</v>
      </c>
      <c r="F1327" t="s">
        <v>1208</v>
      </c>
      <c r="G1327" t="s">
        <v>1069</v>
      </c>
      <c r="H1327" t="s">
        <v>2413</v>
      </c>
      <c r="I1327" t="s">
        <v>1069</v>
      </c>
    </row>
    <row r="1328" spans="1:9">
      <c r="A1328" t="s">
        <v>3787</v>
      </c>
      <c r="B1328" t="s">
        <v>1076</v>
      </c>
      <c r="C1328" t="s">
        <v>1069</v>
      </c>
      <c r="D1328" t="s">
        <v>1261</v>
      </c>
      <c r="E1328" t="s">
        <v>1069</v>
      </c>
      <c r="F1328" t="s">
        <v>2049</v>
      </c>
      <c r="G1328" t="s">
        <v>1069</v>
      </c>
      <c r="H1328" t="s">
        <v>3788</v>
      </c>
      <c r="I1328" t="s">
        <v>1069</v>
      </c>
    </row>
    <row r="1329" spans="1:9">
      <c r="A1329" t="s">
        <v>3789</v>
      </c>
      <c r="B1329" t="s">
        <v>1279</v>
      </c>
      <c r="C1329" t="s">
        <v>1069</v>
      </c>
      <c r="D1329" t="s">
        <v>1175</v>
      </c>
      <c r="E1329" t="s">
        <v>1069</v>
      </c>
      <c r="F1329" t="s">
        <v>1191</v>
      </c>
      <c r="G1329" t="s">
        <v>1069</v>
      </c>
      <c r="H1329" t="s">
        <v>3790</v>
      </c>
      <c r="I1329" t="s">
        <v>1502</v>
      </c>
    </row>
    <row r="1330" spans="1:9">
      <c r="A1330" t="s">
        <v>3791</v>
      </c>
      <c r="B1330" t="s">
        <v>1099</v>
      </c>
      <c r="C1330" t="s">
        <v>1069</v>
      </c>
      <c r="D1330" t="s">
        <v>1595</v>
      </c>
      <c r="E1330" t="s">
        <v>1069</v>
      </c>
      <c r="F1330" t="s">
        <v>1167</v>
      </c>
      <c r="G1330" t="s">
        <v>1069</v>
      </c>
      <c r="H1330" t="s">
        <v>3518</v>
      </c>
      <c r="I1330" t="s">
        <v>1069</v>
      </c>
    </row>
    <row r="1331" spans="1:9">
      <c r="A1331" t="s">
        <v>3792</v>
      </c>
      <c r="B1331" t="s">
        <v>1223</v>
      </c>
      <c r="C1331" t="s">
        <v>1069</v>
      </c>
      <c r="D1331" t="s">
        <v>1081</v>
      </c>
      <c r="E1331" t="s">
        <v>1069</v>
      </c>
      <c r="F1331" t="s">
        <v>1207</v>
      </c>
      <c r="G1331" t="s">
        <v>1069</v>
      </c>
      <c r="H1331" t="s">
        <v>3793</v>
      </c>
      <c r="I1331" t="s">
        <v>1069</v>
      </c>
    </row>
    <row r="1332" spans="1:9">
      <c r="A1332" t="s">
        <v>3794</v>
      </c>
      <c r="B1332" t="s">
        <v>1166</v>
      </c>
      <c r="C1332" t="s">
        <v>1069</v>
      </c>
      <c r="D1332" t="s">
        <v>1171</v>
      </c>
      <c r="E1332" t="s">
        <v>1069</v>
      </c>
      <c r="F1332" t="s">
        <v>1163</v>
      </c>
      <c r="G1332" t="s">
        <v>1069</v>
      </c>
      <c r="H1332" t="s">
        <v>3795</v>
      </c>
      <c r="I1332" t="s">
        <v>1069</v>
      </c>
    </row>
    <row r="1333" spans="1:9">
      <c r="A1333" t="s">
        <v>3796</v>
      </c>
      <c r="B1333" t="s">
        <v>1231</v>
      </c>
      <c r="C1333" t="s">
        <v>1069</v>
      </c>
      <c r="D1333" t="s">
        <v>1167</v>
      </c>
      <c r="E1333" t="s">
        <v>1069</v>
      </c>
      <c r="F1333" t="s">
        <v>1172</v>
      </c>
      <c r="G1333" t="s">
        <v>1069</v>
      </c>
      <c r="H1333" t="s">
        <v>3797</v>
      </c>
      <c r="I1333" t="s">
        <v>1069</v>
      </c>
    </row>
    <row r="1334" spans="1:9">
      <c r="A1334" t="s">
        <v>3798</v>
      </c>
      <c r="B1334" t="s">
        <v>1086</v>
      </c>
      <c r="C1334" t="s">
        <v>1069</v>
      </c>
      <c r="D1334" t="s">
        <v>1171</v>
      </c>
      <c r="E1334" t="s">
        <v>1069</v>
      </c>
      <c r="F1334" t="s">
        <v>1579</v>
      </c>
      <c r="G1334" t="s">
        <v>1069</v>
      </c>
      <c r="H1334" t="s">
        <v>3799</v>
      </c>
      <c r="I1334" t="s">
        <v>1069</v>
      </c>
    </row>
    <row r="1335" spans="1:9">
      <c r="A1335" t="s">
        <v>3800</v>
      </c>
      <c r="B1335" t="s">
        <v>1285</v>
      </c>
      <c r="C1335" t="s">
        <v>1069</v>
      </c>
      <c r="D1335" t="s">
        <v>1086</v>
      </c>
      <c r="E1335" t="s">
        <v>1069</v>
      </c>
      <c r="F1335" t="s">
        <v>1247</v>
      </c>
      <c r="G1335" t="s">
        <v>1069</v>
      </c>
      <c r="H1335" t="s">
        <v>3801</v>
      </c>
      <c r="I1335" t="s">
        <v>1069</v>
      </c>
    </row>
    <row r="1336" spans="1:9">
      <c r="A1336" t="s">
        <v>3802</v>
      </c>
      <c r="B1336" t="s">
        <v>1159</v>
      </c>
      <c r="C1336" t="s">
        <v>1069</v>
      </c>
      <c r="D1336" t="s">
        <v>1427</v>
      </c>
      <c r="E1336" t="s">
        <v>1069</v>
      </c>
      <c r="F1336" t="s">
        <v>1595</v>
      </c>
      <c r="G1336" t="s">
        <v>1069</v>
      </c>
      <c r="H1336" t="s">
        <v>3803</v>
      </c>
      <c r="I1336" t="s">
        <v>1069</v>
      </c>
    </row>
    <row r="1337" spans="1:9">
      <c r="A1337" t="s">
        <v>3804</v>
      </c>
      <c r="B1337" t="s">
        <v>1242</v>
      </c>
      <c r="C1337" t="s">
        <v>1069</v>
      </c>
      <c r="D1337" t="s">
        <v>1234</v>
      </c>
      <c r="E1337" t="s">
        <v>1069</v>
      </c>
      <c r="F1337" t="s">
        <v>1279</v>
      </c>
      <c r="G1337" t="s">
        <v>1069</v>
      </c>
      <c r="H1337" t="s">
        <v>3805</v>
      </c>
      <c r="I1337" t="s">
        <v>1069</v>
      </c>
    </row>
    <row r="1338" spans="1:9">
      <c r="A1338" t="s">
        <v>3806</v>
      </c>
      <c r="B1338" t="s">
        <v>1266</v>
      </c>
      <c r="C1338" t="s">
        <v>1069</v>
      </c>
      <c r="D1338" t="s">
        <v>1234</v>
      </c>
      <c r="E1338" t="s">
        <v>1069</v>
      </c>
      <c r="F1338" t="s">
        <v>1285</v>
      </c>
      <c r="G1338" t="s">
        <v>1069</v>
      </c>
      <c r="H1338" t="s">
        <v>3807</v>
      </c>
      <c r="I1338" t="s">
        <v>1069</v>
      </c>
    </row>
    <row r="1339" spans="1:9">
      <c r="A1339" t="s">
        <v>3808</v>
      </c>
      <c r="B1339" t="s">
        <v>1163</v>
      </c>
      <c r="C1339" t="s">
        <v>1069</v>
      </c>
      <c r="D1339" t="s">
        <v>2649</v>
      </c>
      <c r="E1339" t="s">
        <v>1069</v>
      </c>
      <c r="F1339" t="s">
        <v>1606</v>
      </c>
      <c r="G1339" t="s">
        <v>1069</v>
      </c>
      <c r="H1339" t="s">
        <v>3809</v>
      </c>
      <c r="I1339" t="s">
        <v>1069</v>
      </c>
    </row>
    <row r="1340" spans="1:9">
      <c r="A1340" t="s">
        <v>3810</v>
      </c>
      <c r="B1340" t="s">
        <v>1911</v>
      </c>
      <c r="C1340" t="s">
        <v>1069</v>
      </c>
      <c r="D1340" t="s">
        <v>1551</v>
      </c>
      <c r="E1340" t="s">
        <v>1069</v>
      </c>
      <c r="F1340" t="s">
        <v>2153</v>
      </c>
      <c r="G1340" t="s">
        <v>1069</v>
      </c>
      <c r="H1340" t="s">
        <v>1459</v>
      </c>
      <c r="I1340" t="s">
        <v>1069</v>
      </c>
    </row>
    <row r="1341" spans="1:9">
      <c r="A1341" t="s">
        <v>3811</v>
      </c>
      <c r="B1341" t="s">
        <v>1122</v>
      </c>
      <c r="C1341" t="s">
        <v>1069</v>
      </c>
      <c r="D1341" t="s">
        <v>1095</v>
      </c>
      <c r="E1341" t="s">
        <v>1069</v>
      </c>
      <c r="F1341" t="s">
        <v>1534</v>
      </c>
      <c r="G1341" t="s">
        <v>1069</v>
      </c>
      <c r="H1341" t="s">
        <v>1445</v>
      </c>
      <c r="I1341" t="s">
        <v>1069</v>
      </c>
    </row>
    <row r="1342" spans="1:9">
      <c r="A1342" t="s">
        <v>3812</v>
      </c>
      <c r="B1342" t="s">
        <v>1074</v>
      </c>
      <c r="C1342" t="s">
        <v>1069</v>
      </c>
      <c r="D1342" t="s">
        <v>1098</v>
      </c>
      <c r="E1342" t="s">
        <v>1069</v>
      </c>
      <c r="F1342" t="s">
        <v>1104</v>
      </c>
      <c r="G1342" t="s">
        <v>1069</v>
      </c>
      <c r="H1342" t="s">
        <v>3813</v>
      </c>
      <c r="I1342" t="s">
        <v>1069</v>
      </c>
    </row>
    <row r="1343" spans="1:9">
      <c r="A1343" t="s">
        <v>3814</v>
      </c>
      <c r="B1343" t="s">
        <v>1139</v>
      </c>
      <c r="C1343" t="s">
        <v>1069</v>
      </c>
      <c r="D1343" t="s">
        <v>1068</v>
      </c>
      <c r="E1343" t="s">
        <v>1069</v>
      </c>
      <c r="F1343" t="s">
        <v>1094</v>
      </c>
      <c r="G1343" t="s">
        <v>1069</v>
      </c>
      <c r="H1343" t="s">
        <v>3815</v>
      </c>
      <c r="I1343" t="s">
        <v>1069</v>
      </c>
    </row>
    <row r="1344" spans="1:9">
      <c r="A1344" t="s">
        <v>3816</v>
      </c>
      <c r="B1344" t="s">
        <v>1107</v>
      </c>
      <c r="C1344" t="s">
        <v>1069</v>
      </c>
      <c r="D1344" t="s">
        <v>1113</v>
      </c>
      <c r="E1344" t="s">
        <v>1069</v>
      </c>
      <c r="F1344" t="s">
        <v>1310</v>
      </c>
      <c r="G1344" t="s">
        <v>1069</v>
      </c>
      <c r="H1344" t="s">
        <v>1768</v>
      </c>
      <c r="I1344" t="s">
        <v>1069</v>
      </c>
    </row>
    <row r="1345" spans="1:9">
      <c r="A1345" t="s">
        <v>3817</v>
      </c>
      <c r="B1345" t="s">
        <v>1125</v>
      </c>
      <c r="C1345" t="s">
        <v>1069</v>
      </c>
      <c r="D1345" t="s">
        <v>1136</v>
      </c>
      <c r="E1345" t="s">
        <v>1069</v>
      </c>
      <c r="F1345" t="s">
        <v>1107</v>
      </c>
      <c r="G1345" t="s">
        <v>1069</v>
      </c>
      <c r="H1345" t="s">
        <v>1105</v>
      </c>
      <c r="I1345" t="s">
        <v>1069</v>
      </c>
    </row>
    <row r="1346" spans="1:9">
      <c r="A1346" t="s">
        <v>3818</v>
      </c>
      <c r="B1346" t="s">
        <v>1265</v>
      </c>
      <c r="C1346" t="s">
        <v>1069</v>
      </c>
      <c r="D1346" t="s">
        <v>1121</v>
      </c>
      <c r="E1346" t="s">
        <v>1069</v>
      </c>
      <c r="F1346" t="s">
        <v>1113</v>
      </c>
      <c r="G1346" t="s">
        <v>1069</v>
      </c>
      <c r="H1346" t="s">
        <v>3819</v>
      </c>
      <c r="I1346" t="s">
        <v>1069</v>
      </c>
    </row>
    <row r="1347" spans="1:9">
      <c r="A1347" t="s">
        <v>3820</v>
      </c>
      <c r="B1347" t="s">
        <v>1259</v>
      </c>
      <c r="C1347" t="s">
        <v>1069</v>
      </c>
      <c r="D1347" t="s">
        <v>1149</v>
      </c>
      <c r="E1347" t="s">
        <v>1069</v>
      </c>
      <c r="F1347" t="s">
        <v>1102</v>
      </c>
      <c r="G1347" t="s">
        <v>1069</v>
      </c>
      <c r="H1347" t="s">
        <v>3821</v>
      </c>
      <c r="I1347" t="s">
        <v>1069</v>
      </c>
    </row>
    <row r="1348" spans="1:9">
      <c r="A1348" t="s">
        <v>3822</v>
      </c>
      <c r="B1348" t="s">
        <v>1293</v>
      </c>
      <c r="C1348" t="s">
        <v>1069</v>
      </c>
      <c r="D1348" t="s">
        <v>1149</v>
      </c>
      <c r="E1348" t="s">
        <v>1069</v>
      </c>
      <c r="F1348" t="s">
        <v>1107</v>
      </c>
      <c r="G1348" t="s">
        <v>1069</v>
      </c>
      <c r="H1348" t="s">
        <v>3823</v>
      </c>
      <c r="I1348" t="s">
        <v>1069</v>
      </c>
    </row>
    <row r="1349" spans="1:9">
      <c r="A1349" t="s">
        <v>3824</v>
      </c>
      <c r="B1349" t="s">
        <v>1149</v>
      </c>
      <c r="C1349" t="s">
        <v>1069</v>
      </c>
      <c r="D1349" t="s">
        <v>1284</v>
      </c>
      <c r="E1349" t="s">
        <v>1069</v>
      </c>
      <c r="F1349" t="s">
        <v>1121</v>
      </c>
      <c r="G1349" t="s">
        <v>1069</v>
      </c>
      <c r="H1349" t="s">
        <v>1077</v>
      </c>
      <c r="I1349" t="s">
        <v>1069</v>
      </c>
    </row>
    <row r="1350" spans="1:9">
      <c r="A1350" t="s">
        <v>3825</v>
      </c>
      <c r="B1350" t="s">
        <v>1284</v>
      </c>
      <c r="C1350" t="s">
        <v>1069</v>
      </c>
      <c r="D1350" t="s">
        <v>1128</v>
      </c>
      <c r="E1350" t="s">
        <v>1069</v>
      </c>
      <c r="F1350" t="s">
        <v>1139</v>
      </c>
      <c r="G1350" t="s">
        <v>1069</v>
      </c>
      <c r="H1350" t="s">
        <v>3826</v>
      </c>
      <c r="I1350" t="s">
        <v>1069</v>
      </c>
    </row>
    <row r="1351" spans="1:9">
      <c r="A1351" t="s">
        <v>3827</v>
      </c>
      <c r="B1351" t="s">
        <v>1284</v>
      </c>
      <c r="C1351" t="s">
        <v>1069</v>
      </c>
      <c r="D1351" t="s">
        <v>1136</v>
      </c>
      <c r="E1351" t="s">
        <v>1069</v>
      </c>
      <c r="F1351" t="s">
        <v>1093</v>
      </c>
      <c r="G1351" t="s">
        <v>1069</v>
      </c>
      <c r="H1351" t="s">
        <v>1858</v>
      </c>
      <c r="I1351" t="s">
        <v>1069</v>
      </c>
    </row>
    <row r="1352" spans="1:9">
      <c r="A1352" t="s">
        <v>3828</v>
      </c>
      <c r="B1352" t="s">
        <v>1265</v>
      </c>
      <c r="C1352" t="s">
        <v>1069</v>
      </c>
      <c r="D1352" t="s">
        <v>1136</v>
      </c>
      <c r="E1352" t="s">
        <v>1069</v>
      </c>
      <c r="F1352" t="s">
        <v>1129</v>
      </c>
      <c r="G1352" t="s">
        <v>1069</v>
      </c>
      <c r="H1352" t="s">
        <v>3829</v>
      </c>
      <c r="I1352" t="s">
        <v>1069</v>
      </c>
    </row>
    <row r="1353" spans="1:9">
      <c r="A1353" t="s">
        <v>3830</v>
      </c>
      <c r="B1353" t="s">
        <v>1152</v>
      </c>
      <c r="C1353" t="s">
        <v>1069</v>
      </c>
      <c r="D1353" t="s">
        <v>1125</v>
      </c>
      <c r="E1353" t="s">
        <v>1069</v>
      </c>
      <c r="F1353" t="s">
        <v>1102</v>
      </c>
      <c r="G1353" t="s">
        <v>1069</v>
      </c>
      <c r="H1353" t="s">
        <v>3297</v>
      </c>
      <c r="I1353" t="s">
        <v>1069</v>
      </c>
    </row>
    <row r="1354" spans="1:9">
      <c r="A1354" t="s">
        <v>3831</v>
      </c>
      <c r="B1354" t="s">
        <v>1265</v>
      </c>
      <c r="C1354" t="s">
        <v>1069</v>
      </c>
      <c r="D1354" t="s">
        <v>1121</v>
      </c>
      <c r="E1354" t="s">
        <v>1069</v>
      </c>
      <c r="F1354" t="s">
        <v>1113</v>
      </c>
      <c r="G1354" t="s">
        <v>1069</v>
      </c>
      <c r="H1354" t="s">
        <v>3083</v>
      </c>
      <c r="I1354" t="s">
        <v>1069</v>
      </c>
    </row>
    <row r="1355" spans="1:9">
      <c r="A1355" t="s">
        <v>3832</v>
      </c>
      <c r="B1355" t="s">
        <v>1265</v>
      </c>
      <c r="C1355" t="s">
        <v>1069</v>
      </c>
      <c r="D1355" t="s">
        <v>1121</v>
      </c>
      <c r="E1355" t="s">
        <v>1069</v>
      </c>
      <c r="F1355" t="s">
        <v>1116</v>
      </c>
      <c r="G1355" t="s">
        <v>1069</v>
      </c>
      <c r="H1355" t="s">
        <v>3833</v>
      </c>
      <c r="I1355" t="s">
        <v>1069</v>
      </c>
    </row>
    <row r="1356" spans="1:9">
      <c r="A1356" t="s">
        <v>3834</v>
      </c>
      <c r="B1356" t="s">
        <v>1265</v>
      </c>
      <c r="C1356" t="s">
        <v>1069</v>
      </c>
      <c r="D1356" t="s">
        <v>1121</v>
      </c>
      <c r="E1356" t="s">
        <v>1069</v>
      </c>
      <c r="F1356" t="s">
        <v>1103</v>
      </c>
      <c r="G1356" t="s">
        <v>1069</v>
      </c>
      <c r="H1356" t="s">
        <v>3523</v>
      </c>
      <c r="I1356" t="s">
        <v>1069</v>
      </c>
    </row>
    <row r="1357" spans="1:9">
      <c r="A1357" t="s">
        <v>3835</v>
      </c>
      <c r="B1357" t="s">
        <v>1121</v>
      </c>
      <c r="C1357" t="s">
        <v>1069</v>
      </c>
      <c r="D1357" t="s">
        <v>1260</v>
      </c>
      <c r="E1357" t="s">
        <v>1069</v>
      </c>
      <c r="F1357" t="s">
        <v>1084</v>
      </c>
      <c r="G1357" t="s">
        <v>1069</v>
      </c>
      <c r="H1357" t="s">
        <v>3836</v>
      </c>
      <c r="I1357" t="s">
        <v>1069</v>
      </c>
    </row>
    <row r="1358" spans="1:9">
      <c r="A1358" t="s">
        <v>3837</v>
      </c>
      <c r="B1358" t="s">
        <v>1107</v>
      </c>
      <c r="C1358" t="s">
        <v>1069</v>
      </c>
      <c r="D1358" t="s">
        <v>1113</v>
      </c>
      <c r="E1358" t="s">
        <v>1069</v>
      </c>
      <c r="F1358" t="s">
        <v>1074</v>
      </c>
      <c r="G1358" t="s">
        <v>1069</v>
      </c>
      <c r="H1358" t="s">
        <v>3838</v>
      </c>
      <c r="I1358" t="s">
        <v>1069</v>
      </c>
    </row>
    <row r="1359" spans="1:9">
      <c r="A1359" t="s">
        <v>3839</v>
      </c>
      <c r="B1359" t="s">
        <v>1143</v>
      </c>
      <c r="C1359" t="s">
        <v>1069</v>
      </c>
      <c r="D1359" t="s">
        <v>1102</v>
      </c>
      <c r="E1359" t="s">
        <v>1069</v>
      </c>
      <c r="F1359" t="s">
        <v>1089</v>
      </c>
      <c r="G1359" t="s">
        <v>1069</v>
      </c>
      <c r="H1359" t="s">
        <v>3840</v>
      </c>
      <c r="I1359" t="s">
        <v>1069</v>
      </c>
    </row>
    <row r="1360" spans="1:9">
      <c r="A1360" t="s">
        <v>3841</v>
      </c>
      <c r="B1360" t="s">
        <v>1260</v>
      </c>
      <c r="C1360" t="s">
        <v>1069</v>
      </c>
      <c r="D1360" t="s">
        <v>1116</v>
      </c>
      <c r="E1360" t="s">
        <v>1069</v>
      </c>
      <c r="F1360" t="s">
        <v>1089</v>
      </c>
      <c r="G1360" t="s">
        <v>1069</v>
      </c>
      <c r="H1360" t="s">
        <v>3842</v>
      </c>
      <c r="I1360" t="s">
        <v>1069</v>
      </c>
    </row>
    <row r="1361" spans="1:9">
      <c r="A1361" t="s">
        <v>3843</v>
      </c>
      <c r="B1361" t="s">
        <v>1093</v>
      </c>
      <c r="C1361" t="s">
        <v>1069</v>
      </c>
      <c r="D1361" t="s">
        <v>1068</v>
      </c>
      <c r="E1361" t="s">
        <v>1069</v>
      </c>
      <c r="F1361" t="s">
        <v>1070</v>
      </c>
      <c r="G1361" t="s">
        <v>1069</v>
      </c>
      <c r="H1361" t="s">
        <v>3844</v>
      </c>
      <c r="I1361" t="s">
        <v>1069</v>
      </c>
    </row>
    <row r="1362" spans="1:9">
      <c r="A1362" t="s">
        <v>3845</v>
      </c>
      <c r="B1362" t="s">
        <v>1310</v>
      </c>
      <c r="C1362" t="s">
        <v>1069</v>
      </c>
      <c r="D1362" t="s">
        <v>1079</v>
      </c>
      <c r="E1362" t="s">
        <v>1069</v>
      </c>
      <c r="F1362" t="s">
        <v>1276</v>
      </c>
      <c r="G1362" t="s">
        <v>1069</v>
      </c>
      <c r="H1362" t="s">
        <v>3846</v>
      </c>
      <c r="I1362" t="s">
        <v>1069</v>
      </c>
    </row>
    <row r="1363" spans="1:9">
      <c r="A1363" t="s">
        <v>3847</v>
      </c>
      <c r="B1363" t="s">
        <v>1129</v>
      </c>
      <c r="C1363" t="s">
        <v>1069</v>
      </c>
      <c r="D1363" t="s">
        <v>1074</v>
      </c>
      <c r="E1363" t="s">
        <v>1069</v>
      </c>
      <c r="F1363" t="s">
        <v>1140</v>
      </c>
      <c r="G1363" t="s">
        <v>1069</v>
      </c>
      <c r="H1363" t="s">
        <v>2851</v>
      </c>
      <c r="I1363" t="s">
        <v>1069</v>
      </c>
    </row>
    <row r="1364" spans="1:9">
      <c r="A1364" t="s">
        <v>3848</v>
      </c>
      <c r="B1364" t="s">
        <v>1116</v>
      </c>
      <c r="C1364" t="s">
        <v>1069</v>
      </c>
      <c r="D1364" t="s">
        <v>1129</v>
      </c>
      <c r="E1364" t="s">
        <v>1069</v>
      </c>
      <c r="F1364" t="s">
        <v>1084</v>
      </c>
      <c r="G1364" t="s">
        <v>1069</v>
      </c>
      <c r="H1364" t="s">
        <v>3849</v>
      </c>
      <c r="I1364" t="s">
        <v>1069</v>
      </c>
    </row>
    <row r="1365" spans="1:9">
      <c r="A1365" t="s">
        <v>3850</v>
      </c>
      <c r="B1365" t="s">
        <v>1129</v>
      </c>
      <c r="C1365" t="s">
        <v>1069</v>
      </c>
      <c r="D1365" t="s">
        <v>1074</v>
      </c>
      <c r="E1365" t="s">
        <v>1069</v>
      </c>
      <c r="F1365" t="s">
        <v>1266</v>
      </c>
      <c r="G1365" t="s">
        <v>1069</v>
      </c>
      <c r="H1365" t="s">
        <v>3851</v>
      </c>
      <c r="I1365" t="s">
        <v>1069</v>
      </c>
    </row>
    <row r="1366" spans="1:9">
      <c r="A1366" t="s">
        <v>3852</v>
      </c>
      <c r="B1366" t="s">
        <v>1090</v>
      </c>
      <c r="C1366" t="s">
        <v>1069</v>
      </c>
      <c r="D1366" t="s">
        <v>1080</v>
      </c>
      <c r="E1366" t="s">
        <v>1069</v>
      </c>
      <c r="F1366" t="s">
        <v>1534</v>
      </c>
      <c r="G1366" t="s">
        <v>1069</v>
      </c>
      <c r="H1366" t="s">
        <v>3853</v>
      </c>
      <c r="I1366" t="s">
        <v>1069</v>
      </c>
    </row>
    <row r="1367" spans="1:9">
      <c r="A1367" t="s">
        <v>3854</v>
      </c>
      <c r="B1367" t="s">
        <v>1068</v>
      </c>
      <c r="C1367" t="s">
        <v>1069</v>
      </c>
      <c r="D1367" t="s">
        <v>1436</v>
      </c>
      <c r="E1367" t="s">
        <v>1069</v>
      </c>
      <c r="F1367" t="s">
        <v>1085</v>
      </c>
      <c r="G1367" t="s">
        <v>1069</v>
      </c>
      <c r="H1367" t="s">
        <v>3855</v>
      </c>
      <c r="I1367" t="s">
        <v>1069</v>
      </c>
    </row>
    <row r="1368" spans="1:9">
      <c r="A1368" t="s">
        <v>3856</v>
      </c>
      <c r="B1368" t="s">
        <v>1074</v>
      </c>
      <c r="C1368" t="s">
        <v>1069</v>
      </c>
      <c r="D1368" t="s">
        <v>1436</v>
      </c>
      <c r="E1368" t="s">
        <v>1069</v>
      </c>
      <c r="F1368" t="s">
        <v>1070</v>
      </c>
      <c r="G1368" t="s">
        <v>1069</v>
      </c>
      <c r="H1368" t="s">
        <v>3857</v>
      </c>
      <c r="I1368" t="s">
        <v>1069</v>
      </c>
    </row>
    <row r="1369" spans="1:9">
      <c r="A1369" t="s">
        <v>3858</v>
      </c>
      <c r="B1369" t="s">
        <v>1068</v>
      </c>
      <c r="C1369" t="s">
        <v>1069</v>
      </c>
      <c r="D1369" t="s">
        <v>1084</v>
      </c>
      <c r="E1369" t="s">
        <v>1069</v>
      </c>
      <c r="F1369" t="s">
        <v>1080</v>
      </c>
      <c r="G1369" t="s">
        <v>1069</v>
      </c>
      <c r="H1369" t="s">
        <v>3859</v>
      </c>
      <c r="I1369" t="s">
        <v>1069</v>
      </c>
    </row>
    <row r="1370" spans="1:9">
      <c r="A1370" t="s">
        <v>3860</v>
      </c>
      <c r="B1370" t="s">
        <v>1103</v>
      </c>
      <c r="C1370" t="s">
        <v>1069</v>
      </c>
      <c r="D1370" t="s">
        <v>1144</v>
      </c>
      <c r="E1370" t="s">
        <v>1069</v>
      </c>
      <c r="F1370" t="s">
        <v>1320</v>
      </c>
      <c r="G1370" t="s">
        <v>1069</v>
      </c>
      <c r="H1370" t="s">
        <v>3861</v>
      </c>
      <c r="I1370" t="s">
        <v>1069</v>
      </c>
    </row>
    <row r="1371" spans="1:9">
      <c r="A1371" t="s">
        <v>3862</v>
      </c>
      <c r="B1371" t="s">
        <v>1080</v>
      </c>
      <c r="C1371" t="s">
        <v>1069</v>
      </c>
      <c r="D1371" t="s">
        <v>1242</v>
      </c>
      <c r="E1371" t="s">
        <v>1069</v>
      </c>
      <c r="F1371" t="s">
        <v>1328</v>
      </c>
      <c r="G1371" t="s">
        <v>1069</v>
      </c>
      <c r="H1371" t="s">
        <v>3863</v>
      </c>
      <c r="I1371" t="s">
        <v>1069</v>
      </c>
    </row>
    <row r="1372" spans="1:9">
      <c r="A1372" t="s">
        <v>3864</v>
      </c>
      <c r="B1372" t="s">
        <v>1159</v>
      </c>
      <c r="C1372" t="s">
        <v>1069</v>
      </c>
      <c r="D1372" t="s">
        <v>1279</v>
      </c>
      <c r="E1372" t="s">
        <v>1069</v>
      </c>
      <c r="F1372" t="s">
        <v>1179</v>
      </c>
      <c r="G1372" t="s">
        <v>1069</v>
      </c>
      <c r="H1372" t="s">
        <v>3865</v>
      </c>
      <c r="I1372" t="s">
        <v>1069</v>
      </c>
    </row>
    <row r="1373" spans="1:9">
      <c r="A1373" t="s">
        <v>3866</v>
      </c>
      <c r="B1373" t="s">
        <v>1276</v>
      </c>
      <c r="C1373" t="s">
        <v>1069</v>
      </c>
      <c r="D1373" t="s">
        <v>1085</v>
      </c>
      <c r="E1373" t="s">
        <v>1069</v>
      </c>
      <c r="F1373" t="s">
        <v>1238</v>
      </c>
      <c r="G1373" t="s">
        <v>1069</v>
      </c>
      <c r="H1373" t="s">
        <v>3867</v>
      </c>
      <c r="I1373" t="s">
        <v>1069</v>
      </c>
    </row>
    <row r="1374" spans="1:9">
      <c r="A1374" t="s">
        <v>3868</v>
      </c>
      <c r="B1374" t="s">
        <v>1084</v>
      </c>
      <c r="C1374" t="s">
        <v>1069</v>
      </c>
      <c r="D1374" t="s">
        <v>1140</v>
      </c>
      <c r="E1374" t="s">
        <v>1069</v>
      </c>
      <c r="F1374" t="s">
        <v>1095</v>
      </c>
      <c r="G1374" t="s">
        <v>1069</v>
      </c>
      <c r="H1374" t="s">
        <v>3869</v>
      </c>
      <c r="I1374" t="s">
        <v>1069</v>
      </c>
    </row>
    <row r="1375" spans="1:9">
      <c r="A1375" t="s">
        <v>3870</v>
      </c>
      <c r="B1375" t="s">
        <v>1436</v>
      </c>
      <c r="C1375" t="s">
        <v>1069</v>
      </c>
      <c r="D1375" t="s">
        <v>1276</v>
      </c>
      <c r="E1375" t="s">
        <v>1069</v>
      </c>
      <c r="F1375" t="s">
        <v>1427</v>
      </c>
      <c r="G1375" t="s">
        <v>1069</v>
      </c>
      <c r="H1375" t="s">
        <v>3871</v>
      </c>
      <c r="I1375" t="s">
        <v>1069</v>
      </c>
    </row>
    <row r="1376" spans="1:9">
      <c r="A1376" t="s">
        <v>3872</v>
      </c>
      <c r="B1376" t="s">
        <v>1068</v>
      </c>
      <c r="C1376" t="s">
        <v>1069</v>
      </c>
      <c r="D1376" t="s">
        <v>1098</v>
      </c>
      <c r="E1376" t="s">
        <v>1069</v>
      </c>
      <c r="F1376" t="s">
        <v>1279</v>
      </c>
      <c r="G1376" t="s">
        <v>1069</v>
      </c>
      <c r="H1376" t="s">
        <v>3181</v>
      </c>
      <c r="I1376" t="s">
        <v>1069</v>
      </c>
    </row>
    <row r="1377" spans="1:9">
      <c r="A1377" t="s">
        <v>3873</v>
      </c>
      <c r="B1377" t="s">
        <v>1079</v>
      </c>
      <c r="C1377" t="s">
        <v>1069</v>
      </c>
      <c r="D1377" t="s">
        <v>1090</v>
      </c>
      <c r="E1377" t="s">
        <v>1069</v>
      </c>
      <c r="F1377" t="s">
        <v>1175</v>
      </c>
      <c r="G1377" t="s">
        <v>1069</v>
      </c>
      <c r="H1377" t="s">
        <v>3874</v>
      </c>
      <c r="I1377" t="s">
        <v>1069</v>
      </c>
    </row>
    <row r="1378" spans="1:9">
      <c r="A1378" t="s">
        <v>3875</v>
      </c>
      <c r="B1378" t="s">
        <v>1098</v>
      </c>
      <c r="C1378" t="s">
        <v>1069</v>
      </c>
      <c r="D1378" t="s">
        <v>1080</v>
      </c>
      <c r="E1378" t="s">
        <v>1069</v>
      </c>
      <c r="F1378" t="s">
        <v>1227</v>
      </c>
      <c r="G1378" t="s">
        <v>1069</v>
      </c>
      <c r="H1378" t="s">
        <v>3876</v>
      </c>
      <c r="I1378" t="s">
        <v>1069</v>
      </c>
    </row>
    <row r="1379" spans="1:9">
      <c r="A1379" t="s">
        <v>3877</v>
      </c>
      <c r="B1379" t="s">
        <v>1068</v>
      </c>
      <c r="C1379" t="s">
        <v>1069</v>
      </c>
      <c r="D1379" t="s">
        <v>1144</v>
      </c>
      <c r="E1379" t="s">
        <v>1069</v>
      </c>
      <c r="F1379" t="s">
        <v>1223</v>
      </c>
      <c r="G1379" t="s">
        <v>1069</v>
      </c>
      <c r="H1379" t="s">
        <v>3878</v>
      </c>
      <c r="I1379" t="s">
        <v>1069</v>
      </c>
    </row>
    <row r="1380" spans="1:9">
      <c r="A1380" t="s">
        <v>3879</v>
      </c>
      <c r="B1380" t="s">
        <v>1090</v>
      </c>
      <c r="C1380" t="s">
        <v>1069</v>
      </c>
      <c r="D1380" t="s">
        <v>1266</v>
      </c>
      <c r="E1380" t="s">
        <v>1069</v>
      </c>
      <c r="F1380" t="s">
        <v>1328</v>
      </c>
      <c r="G1380" t="s">
        <v>1069</v>
      </c>
      <c r="H1380" t="s">
        <v>3880</v>
      </c>
      <c r="I1380" t="s">
        <v>1069</v>
      </c>
    </row>
    <row r="1381" spans="1:9">
      <c r="A1381" t="s">
        <v>3881</v>
      </c>
      <c r="B1381" t="s">
        <v>1094</v>
      </c>
      <c r="C1381" t="s">
        <v>1069</v>
      </c>
      <c r="D1381" t="s">
        <v>1085</v>
      </c>
      <c r="E1381" t="s">
        <v>1069</v>
      </c>
      <c r="F1381" t="s">
        <v>1081</v>
      </c>
      <c r="G1381" t="s">
        <v>1069</v>
      </c>
      <c r="H1381" t="s">
        <v>3882</v>
      </c>
      <c r="I1381" t="s">
        <v>1069</v>
      </c>
    </row>
    <row r="1382" spans="1:9">
      <c r="A1382" t="s">
        <v>3883</v>
      </c>
      <c r="B1382" t="s">
        <v>1504</v>
      </c>
      <c r="C1382" t="s">
        <v>1069</v>
      </c>
      <c r="D1382" t="s">
        <v>1242</v>
      </c>
      <c r="E1382" t="s">
        <v>1069</v>
      </c>
      <c r="F1382" t="s">
        <v>1207</v>
      </c>
      <c r="G1382" t="s">
        <v>1069</v>
      </c>
      <c r="H1382" t="s">
        <v>3884</v>
      </c>
      <c r="I1382" t="s">
        <v>1069</v>
      </c>
    </row>
    <row r="1383" spans="1:9">
      <c r="A1383" t="s">
        <v>3885</v>
      </c>
      <c r="B1383" t="s">
        <v>1085</v>
      </c>
      <c r="C1383" t="s">
        <v>1069</v>
      </c>
      <c r="D1383" t="s">
        <v>1099</v>
      </c>
      <c r="E1383" t="s">
        <v>1069</v>
      </c>
      <c r="F1383" t="s">
        <v>1224</v>
      </c>
      <c r="G1383" t="s">
        <v>1069</v>
      </c>
      <c r="H1383" t="s">
        <v>3886</v>
      </c>
      <c r="I1383" t="s">
        <v>1069</v>
      </c>
    </row>
    <row r="1384" spans="1:9">
      <c r="A1384" t="s">
        <v>3887</v>
      </c>
      <c r="B1384" t="s">
        <v>1079</v>
      </c>
      <c r="C1384" t="s">
        <v>1069</v>
      </c>
      <c r="D1384" t="s">
        <v>1276</v>
      </c>
      <c r="E1384" t="s">
        <v>1069</v>
      </c>
      <c r="F1384" t="s">
        <v>1171</v>
      </c>
      <c r="G1384" t="s">
        <v>1069</v>
      </c>
      <c r="H1384" t="s">
        <v>3531</v>
      </c>
      <c r="I1384" t="s">
        <v>1069</v>
      </c>
    </row>
    <row r="1385" spans="1:9">
      <c r="A1385" t="s">
        <v>3888</v>
      </c>
      <c r="B1385" t="s">
        <v>1310</v>
      </c>
      <c r="C1385" t="s">
        <v>1069</v>
      </c>
      <c r="D1385" t="s">
        <v>1094</v>
      </c>
      <c r="E1385" t="s">
        <v>1069</v>
      </c>
      <c r="F1385" t="s">
        <v>1256</v>
      </c>
      <c r="G1385" t="s">
        <v>1069</v>
      </c>
      <c r="H1385" t="s">
        <v>2665</v>
      </c>
      <c r="I1385" t="s">
        <v>1069</v>
      </c>
    </row>
    <row r="1386" spans="1:9">
      <c r="A1386" t="s">
        <v>3889</v>
      </c>
      <c r="B1386" t="s">
        <v>1068</v>
      </c>
      <c r="C1386" t="s">
        <v>1069</v>
      </c>
      <c r="D1386" t="s">
        <v>1090</v>
      </c>
      <c r="E1386" t="s">
        <v>1069</v>
      </c>
      <c r="F1386" t="s">
        <v>1247</v>
      </c>
      <c r="G1386" t="s">
        <v>1069</v>
      </c>
      <c r="H1386" t="s">
        <v>3890</v>
      </c>
      <c r="I1386" t="s">
        <v>1069</v>
      </c>
    </row>
    <row r="1387" spans="1:9">
      <c r="A1387" t="s">
        <v>3891</v>
      </c>
      <c r="B1387" t="s">
        <v>1436</v>
      </c>
      <c r="C1387" t="s">
        <v>1069</v>
      </c>
      <c r="D1387" t="s">
        <v>1080</v>
      </c>
      <c r="E1387" t="s">
        <v>1069</v>
      </c>
      <c r="F1387" t="s">
        <v>1216</v>
      </c>
      <c r="G1387" t="s">
        <v>1069</v>
      </c>
      <c r="H1387" t="s">
        <v>3788</v>
      </c>
      <c r="I1387" t="s">
        <v>1069</v>
      </c>
    </row>
    <row r="1388" spans="1:9">
      <c r="A1388" t="s">
        <v>3892</v>
      </c>
      <c r="B1388" t="s">
        <v>1098</v>
      </c>
      <c r="C1388" t="s">
        <v>1069</v>
      </c>
      <c r="D1388" t="s">
        <v>1104</v>
      </c>
      <c r="E1388" t="s">
        <v>1069</v>
      </c>
      <c r="F1388" t="s">
        <v>1323</v>
      </c>
      <c r="G1388" t="s">
        <v>1069</v>
      </c>
      <c r="H1388" t="s">
        <v>3893</v>
      </c>
      <c r="I1388" t="s">
        <v>1069</v>
      </c>
    </row>
    <row r="1389" spans="1:9">
      <c r="A1389" t="s">
        <v>3894</v>
      </c>
      <c r="B1389" t="s">
        <v>1504</v>
      </c>
      <c r="C1389" t="s">
        <v>1069</v>
      </c>
      <c r="D1389" t="s">
        <v>1234</v>
      </c>
      <c r="E1389" t="s">
        <v>1069</v>
      </c>
      <c r="F1389" t="s">
        <v>1208</v>
      </c>
      <c r="G1389" t="s">
        <v>1069</v>
      </c>
      <c r="H1389" t="s">
        <v>3895</v>
      </c>
      <c r="I1389" t="s">
        <v>1069</v>
      </c>
    </row>
    <row r="1390" spans="1:9">
      <c r="A1390" t="s">
        <v>3896</v>
      </c>
      <c r="B1390" t="s">
        <v>1080</v>
      </c>
      <c r="C1390" t="s">
        <v>1069</v>
      </c>
      <c r="D1390" t="s">
        <v>1071</v>
      </c>
      <c r="E1390" t="s">
        <v>1069</v>
      </c>
      <c r="F1390" t="s">
        <v>1228</v>
      </c>
      <c r="G1390" t="s">
        <v>1069</v>
      </c>
      <c r="H1390" t="s">
        <v>3897</v>
      </c>
      <c r="I1390" t="s">
        <v>1069</v>
      </c>
    </row>
    <row r="1391" spans="1:9">
      <c r="A1391" t="s">
        <v>3898</v>
      </c>
      <c r="B1391" t="s">
        <v>1080</v>
      </c>
      <c r="C1391" t="s">
        <v>1069</v>
      </c>
      <c r="D1391" t="s">
        <v>1279</v>
      </c>
      <c r="E1391" t="s">
        <v>1069</v>
      </c>
      <c r="F1391" t="s">
        <v>1204</v>
      </c>
      <c r="G1391" t="s">
        <v>1069</v>
      </c>
      <c r="H1391" t="s">
        <v>3899</v>
      </c>
      <c r="I1391" t="s">
        <v>1069</v>
      </c>
    </row>
    <row r="1392" spans="1:9">
      <c r="A1392" t="s">
        <v>3900</v>
      </c>
      <c r="B1392" t="s">
        <v>1076</v>
      </c>
      <c r="C1392" t="s">
        <v>1069</v>
      </c>
      <c r="D1392" t="s">
        <v>1207</v>
      </c>
      <c r="E1392" t="s">
        <v>1069</v>
      </c>
      <c r="F1392" t="s">
        <v>2009</v>
      </c>
      <c r="G1392" t="s">
        <v>1069</v>
      </c>
      <c r="H1392" t="s">
        <v>3901</v>
      </c>
      <c r="I1392" t="s">
        <v>1069</v>
      </c>
    </row>
    <row r="1393" spans="1:9">
      <c r="A1393" t="s">
        <v>3902</v>
      </c>
      <c r="B1393" t="s">
        <v>1285</v>
      </c>
      <c r="C1393" t="s">
        <v>1069</v>
      </c>
      <c r="D1393" t="s">
        <v>1168</v>
      </c>
      <c r="E1393" t="s">
        <v>1069</v>
      </c>
      <c r="F1393" t="s">
        <v>1991</v>
      </c>
      <c r="G1393" t="s">
        <v>1069</v>
      </c>
      <c r="H1393" t="s">
        <v>3903</v>
      </c>
      <c r="I1393" t="s">
        <v>1069</v>
      </c>
    </row>
    <row r="1394" spans="1:9">
      <c r="A1394" t="s">
        <v>3904</v>
      </c>
      <c r="B1394" t="s">
        <v>1098</v>
      </c>
      <c r="C1394" t="s">
        <v>1069</v>
      </c>
      <c r="D1394" t="s">
        <v>1099</v>
      </c>
      <c r="E1394" t="s">
        <v>1069</v>
      </c>
      <c r="F1394" t="s">
        <v>2162</v>
      </c>
      <c r="G1394" t="s">
        <v>1069</v>
      </c>
      <c r="H1394" t="s">
        <v>3905</v>
      </c>
      <c r="I1394" t="s">
        <v>1069</v>
      </c>
    </row>
    <row r="1395" spans="1:9">
      <c r="A1395" t="s">
        <v>3906</v>
      </c>
      <c r="B1395" t="s">
        <v>1436</v>
      </c>
      <c r="C1395" t="s">
        <v>1069</v>
      </c>
      <c r="D1395" t="s">
        <v>1320</v>
      </c>
      <c r="E1395" t="s">
        <v>1069</v>
      </c>
      <c r="F1395" t="s">
        <v>1883</v>
      </c>
      <c r="G1395" t="s">
        <v>1069</v>
      </c>
      <c r="H1395" t="s">
        <v>3907</v>
      </c>
      <c r="I1395" t="s">
        <v>1069</v>
      </c>
    </row>
    <row r="1396" spans="1:9">
      <c r="A1396" t="s">
        <v>3908</v>
      </c>
      <c r="B1396" t="s">
        <v>1079</v>
      </c>
      <c r="C1396" t="s">
        <v>1069</v>
      </c>
      <c r="D1396" t="s">
        <v>1122</v>
      </c>
      <c r="E1396" t="s">
        <v>1069</v>
      </c>
      <c r="F1396" t="s">
        <v>1208</v>
      </c>
      <c r="G1396" t="s">
        <v>1069</v>
      </c>
      <c r="H1396" t="s">
        <v>3909</v>
      </c>
      <c r="I1396" t="s">
        <v>1069</v>
      </c>
    </row>
    <row r="1397" spans="1:9">
      <c r="A1397" t="s">
        <v>3910</v>
      </c>
      <c r="B1397" t="s">
        <v>1102</v>
      </c>
      <c r="C1397" t="s">
        <v>1069</v>
      </c>
      <c r="D1397" t="s">
        <v>1140</v>
      </c>
      <c r="E1397" t="s">
        <v>1069</v>
      </c>
      <c r="F1397" t="s">
        <v>1888</v>
      </c>
      <c r="G1397" t="s">
        <v>1069</v>
      </c>
      <c r="H1397" t="s">
        <v>3809</v>
      </c>
      <c r="I1397" t="s">
        <v>1069</v>
      </c>
    </row>
    <row r="1398" spans="1:9">
      <c r="A1398" t="s">
        <v>3911</v>
      </c>
      <c r="B1398" t="s">
        <v>1152</v>
      </c>
      <c r="C1398" t="s">
        <v>1069</v>
      </c>
      <c r="D1398" t="s">
        <v>1310</v>
      </c>
      <c r="E1398" t="s">
        <v>1069</v>
      </c>
      <c r="F1398" t="s">
        <v>1551</v>
      </c>
      <c r="G1398" t="s">
        <v>1069</v>
      </c>
      <c r="H1398" t="s">
        <v>3912</v>
      </c>
      <c r="I1398" t="s">
        <v>1069</v>
      </c>
    </row>
    <row r="1399" spans="1:9">
      <c r="A1399" t="s">
        <v>3913</v>
      </c>
      <c r="B1399" t="s">
        <v>1259</v>
      </c>
      <c r="C1399" t="s">
        <v>1069</v>
      </c>
      <c r="D1399" t="s">
        <v>1136</v>
      </c>
      <c r="E1399" t="s">
        <v>1069</v>
      </c>
      <c r="F1399" t="s">
        <v>1099</v>
      </c>
      <c r="G1399" t="s">
        <v>1069</v>
      </c>
      <c r="H1399" t="s">
        <v>3914</v>
      </c>
      <c r="I1399" t="s">
        <v>1069</v>
      </c>
    </row>
    <row r="1400" spans="1:9">
      <c r="A1400" t="s">
        <v>3915</v>
      </c>
      <c r="B1400" t="s">
        <v>1259</v>
      </c>
      <c r="C1400" t="s">
        <v>1069</v>
      </c>
      <c r="D1400" t="s">
        <v>1136</v>
      </c>
      <c r="E1400" t="s">
        <v>1069</v>
      </c>
      <c r="F1400" t="s">
        <v>1427</v>
      </c>
      <c r="G1400" t="s">
        <v>1069</v>
      </c>
      <c r="H1400" t="s">
        <v>1439</v>
      </c>
      <c r="I1400" t="s">
        <v>1069</v>
      </c>
    </row>
    <row r="1401" spans="1:9">
      <c r="A1401" t="s">
        <v>3916</v>
      </c>
      <c r="B1401" t="s">
        <v>1288</v>
      </c>
      <c r="C1401" t="s">
        <v>1069</v>
      </c>
      <c r="D1401" t="s">
        <v>1284</v>
      </c>
      <c r="E1401" t="s">
        <v>1069</v>
      </c>
      <c r="F1401" t="s">
        <v>1595</v>
      </c>
      <c r="G1401" t="s">
        <v>1069</v>
      </c>
      <c r="H1401" t="s">
        <v>3917</v>
      </c>
      <c r="I1401" t="s">
        <v>1069</v>
      </c>
    </row>
    <row r="1402" spans="1:9">
      <c r="A1402" t="s">
        <v>3918</v>
      </c>
      <c r="B1402" t="s">
        <v>1259</v>
      </c>
      <c r="C1402" t="s">
        <v>1069</v>
      </c>
      <c r="D1402" t="s">
        <v>1284</v>
      </c>
      <c r="E1402" t="s">
        <v>1069</v>
      </c>
      <c r="F1402" t="s">
        <v>1122</v>
      </c>
      <c r="G1402" t="s">
        <v>1069</v>
      </c>
      <c r="H1402" t="s">
        <v>3919</v>
      </c>
      <c r="I1402" t="s">
        <v>1069</v>
      </c>
    </row>
    <row r="1403" spans="1:9">
      <c r="A1403" t="s">
        <v>3920</v>
      </c>
      <c r="B1403" t="s">
        <v>1265</v>
      </c>
      <c r="C1403" t="s">
        <v>1069</v>
      </c>
      <c r="D1403" t="s">
        <v>1116</v>
      </c>
      <c r="E1403" t="s">
        <v>1069</v>
      </c>
      <c r="F1403" t="s">
        <v>1534</v>
      </c>
      <c r="G1403" t="s">
        <v>1069</v>
      </c>
      <c r="H1403" t="s">
        <v>3205</v>
      </c>
      <c r="I1403" t="s">
        <v>1069</v>
      </c>
    </row>
    <row r="1404" spans="1:9">
      <c r="A1404" t="s">
        <v>3921</v>
      </c>
      <c r="B1404" t="s">
        <v>1143</v>
      </c>
      <c r="C1404" t="s">
        <v>1069</v>
      </c>
      <c r="D1404" t="s">
        <v>1074</v>
      </c>
      <c r="E1404" t="s">
        <v>1069</v>
      </c>
      <c r="F1404" t="s">
        <v>1191</v>
      </c>
      <c r="G1404" t="s">
        <v>1069</v>
      </c>
      <c r="H1404" t="s">
        <v>3922</v>
      </c>
      <c r="I1404" t="s">
        <v>1069</v>
      </c>
    </row>
    <row r="1405" spans="1:9">
      <c r="A1405" t="s">
        <v>3923</v>
      </c>
      <c r="B1405" t="s">
        <v>1149</v>
      </c>
      <c r="C1405" t="s">
        <v>1069</v>
      </c>
      <c r="D1405" t="s">
        <v>1116</v>
      </c>
      <c r="E1405" t="s">
        <v>1069</v>
      </c>
      <c r="F1405" t="s">
        <v>1518</v>
      </c>
      <c r="G1405" t="s">
        <v>1069</v>
      </c>
      <c r="H1405" t="s">
        <v>3924</v>
      </c>
      <c r="I1405" t="s">
        <v>1069</v>
      </c>
    </row>
    <row r="1406" spans="1:9">
      <c r="A1406" t="s">
        <v>3925</v>
      </c>
      <c r="B1406" t="s">
        <v>1293</v>
      </c>
      <c r="C1406" t="s">
        <v>1069</v>
      </c>
      <c r="D1406" t="s">
        <v>1136</v>
      </c>
      <c r="E1406" t="s">
        <v>1069</v>
      </c>
      <c r="F1406" t="s">
        <v>1095</v>
      </c>
      <c r="G1406" t="s">
        <v>1069</v>
      </c>
      <c r="H1406" t="s">
        <v>1832</v>
      </c>
      <c r="I1406" t="s">
        <v>1069</v>
      </c>
    </row>
    <row r="1407" spans="1:9">
      <c r="A1407" t="s">
        <v>3926</v>
      </c>
      <c r="B1407" t="s">
        <v>1476</v>
      </c>
      <c r="C1407" t="s">
        <v>1069</v>
      </c>
      <c r="D1407" t="s">
        <v>1149</v>
      </c>
      <c r="E1407" t="s">
        <v>1069</v>
      </c>
      <c r="F1407" t="s">
        <v>1504</v>
      </c>
      <c r="G1407" t="s">
        <v>1069</v>
      </c>
      <c r="H1407" t="s">
        <v>3927</v>
      </c>
      <c r="I1407" t="s">
        <v>1069</v>
      </c>
    </row>
    <row r="1408" spans="1:9">
      <c r="A1408" t="s">
        <v>3928</v>
      </c>
      <c r="B1408" t="s">
        <v>1476</v>
      </c>
      <c r="C1408" t="s">
        <v>1069</v>
      </c>
      <c r="D1408" t="s">
        <v>1265</v>
      </c>
      <c r="E1408" t="s">
        <v>1069</v>
      </c>
      <c r="F1408" t="s">
        <v>1166</v>
      </c>
      <c r="G1408" t="s">
        <v>1069</v>
      </c>
      <c r="H1408" t="s">
        <v>3929</v>
      </c>
      <c r="I1408" t="s">
        <v>1069</v>
      </c>
    </row>
    <row r="1409" spans="1:9">
      <c r="A1409" t="s">
        <v>3930</v>
      </c>
      <c r="B1409" t="s">
        <v>1288</v>
      </c>
      <c r="C1409" t="s">
        <v>1069</v>
      </c>
      <c r="D1409" t="s">
        <v>1265</v>
      </c>
      <c r="E1409" t="s">
        <v>1069</v>
      </c>
      <c r="F1409" t="s">
        <v>1076</v>
      </c>
      <c r="G1409" t="s">
        <v>1069</v>
      </c>
      <c r="H1409" t="s">
        <v>3931</v>
      </c>
      <c r="I1409" t="s">
        <v>1069</v>
      </c>
    </row>
    <row r="1410" spans="1:9">
      <c r="A1410" t="s">
        <v>3932</v>
      </c>
      <c r="B1410" t="s">
        <v>1264</v>
      </c>
      <c r="C1410" t="s">
        <v>1069</v>
      </c>
      <c r="D1410" t="s">
        <v>1255</v>
      </c>
      <c r="E1410" t="s">
        <v>1069</v>
      </c>
      <c r="F1410" t="s">
        <v>1079</v>
      </c>
      <c r="G1410" t="s">
        <v>1069</v>
      </c>
      <c r="H1410" t="s">
        <v>3933</v>
      </c>
      <c r="I1410" t="s">
        <v>1069</v>
      </c>
    </row>
    <row r="1411" spans="1:9">
      <c r="A1411" t="s">
        <v>3934</v>
      </c>
      <c r="B1411" t="s">
        <v>1288</v>
      </c>
      <c r="C1411" t="s">
        <v>1069</v>
      </c>
      <c r="D1411" t="s">
        <v>1149</v>
      </c>
      <c r="E1411" t="s">
        <v>1069</v>
      </c>
      <c r="F1411" t="s">
        <v>1084</v>
      </c>
      <c r="G1411" t="s">
        <v>1069</v>
      </c>
      <c r="H1411" t="s">
        <v>1706</v>
      </c>
      <c r="I1411" t="s">
        <v>1069</v>
      </c>
    </row>
    <row r="1412" spans="1:9">
      <c r="A1412" t="s">
        <v>3935</v>
      </c>
      <c r="B1412" t="s">
        <v>1259</v>
      </c>
      <c r="C1412" t="s">
        <v>1069</v>
      </c>
      <c r="D1412" t="s">
        <v>1284</v>
      </c>
      <c r="E1412" t="s">
        <v>1069</v>
      </c>
      <c r="F1412" t="s">
        <v>1094</v>
      </c>
      <c r="G1412" t="s">
        <v>1069</v>
      </c>
      <c r="H1412" t="s">
        <v>3700</v>
      </c>
      <c r="I1412" t="s">
        <v>1069</v>
      </c>
    </row>
    <row r="1413" spans="1:9">
      <c r="A1413" t="s">
        <v>3936</v>
      </c>
      <c r="B1413" t="s">
        <v>1061</v>
      </c>
      <c r="C1413" t="s">
        <v>3937</v>
      </c>
      <c r="D1413" t="s">
        <v>1061</v>
      </c>
      <c r="E1413" t="s">
        <v>3937</v>
      </c>
      <c r="F1413" t="s">
        <v>1061</v>
      </c>
      <c r="G1413" t="s">
        <v>3937</v>
      </c>
      <c r="H1413" t="s">
        <v>1061</v>
      </c>
      <c r="I1413" t="s">
        <v>3937</v>
      </c>
    </row>
    <row r="1414" spans="1:9">
      <c r="A1414" t="s">
        <v>3938</v>
      </c>
      <c r="B1414" t="s">
        <v>1061</v>
      </c>
      <c r="C1414" t="s">
        <v>3937</v>
      </c>
      <c r="D1414" t="s">
        <v>1061</v>
      </c>
      <c r="E1414" t="s">
        <v>3937</v>
      </c>
      <c r="F1414" t="s">
        <v>1061</v>
      </c>
      <c r="G1414" t="s">
        <v>3937</v>
      </c>
      <c r="H1414" t="s">
        <v>1061</v>
      </c>
      <c r="I1414" t="s">
        <v>3937</v>
      </c>
    </row>
    <row r="1415" spans="1:9">
      <c r="A1415" t="s">
        <v>3939</v>
      </c>
      <c r="B1415" t="s">
        <v>1061</v>
      </c>
      <c r="C1415" t="s">
        <v>3937</v>
      </c>
      <c r="D1415" t="s">
        <v>1061</v>
      </c>
      <c r="E1415" t="s">
        <v>3937</v>
      </c>
      <c r="F1415" t="s">
        <v>1061</v>
      </c>
      <c r="G1415" t="s">
        <v>3937</v>
      </c>
      <c r="H1415" t="s">
        <v>1061</v>
      </c>
      <c r="I1415" t="s">
        <v>3937</v>
      </c>
    </row>
    <row r="1416" spans="1:9">
      <c r="A1416" t="s">
        <v>3940</v>
      </c>
      <c r="B1416" t="s">
        <v>1061</v>
      </c>
      <c r="C1416" t="s">
        <v>3937</v>
      </c>
      <c r="D1416" t="s">
        <v>1061</v>
      </c>
      <c r="E1416" t="s">
        <v>3937</v>
      </c>
      <c r="F1416" t="s">
        <v>1061</v>
      </c>
      <c r="G1416" t="s">
        <v>3937</v>
      </c>
      <c r="H1416" t="s">
        <v>1061</v>
      </c>
      <c r="I1416" t="s">
        <v>3937</v>
      </c>
    </row>
    <row r="1417" spans="1:9">
      <c r="A1417" t="s">
        <v>3941</v>
      </c>
      <c r="B1417" t="s">
        <v>1061</v>
      </c>
      <c r="C1417" t="s">
        <v>3937</v>
      </c>
      <c r="D1417" t="s">
        <v>1061</v>
      </c>
      <c r="E1417" t="s">
        <v>3937</v>
      </c>
      <c r="F1417" t="s">
        <v>1061</v>
      </c>
      <c r="G1417" t="s">
        <v>3937</v>
      </c>
      <c r="H1417" t="s">
        <v>1061</v>
      </c>
      <c r="I1417" t="s">
        <v>3937</v>
      </c>
    </row>
    <row r="1418" spans="1:9">
      <c r="A1418" t="s">
        <v>3942</v>
      </c>
      <c r="B1418" t="s">
        <v>1061</v>
      </c>
      <c r="C1418" t="s">
        <v>3937</v>
      </c>
      <c r="D1418" t="s">
        <v>1061</v>
      </c>
      <c r="E1418" t="s">
        <v>3937</v>
      </c>
      <c r="F1418" t="s">
        <v>1061</v>
      </c>
      <c r="G1418" t="s">
        <v>3937</v>
      </c>
      <c r="H1418" t="s">
        <v>1061</v>
      </c>
      <c r="I1418" t="s">
        <v>3937</v>
      </c>
    </row>
    <row r="1419" spans="1:9">
      <c r="A1419" t="s">
        <v>3943</v>
      </c>
      <c r="B1419" t="s">
        <v>1061</v>
      </c>
      <c r="C1419" t="s">
        <v>3937</v>
      </c>
      <c r="D1419" t="s">
        <v>1061</v>
      </c>
      <c r="E1419" t="s">
        <v>3937</v>
      </c>
      <c r="F1419" t="s">
        <v>1061</v>
      </c>
      <c r="G1419" t="s">
        <v>3937</v>
      </c>
      <c r="H1419" t="s">
        <v>1061</v>
      </c>
      <c r="I1419" t="s">
        <v>3937</v>
      </c>
    </row>
    <row r="1420" spans="1:9">
      <c r="A1420" t="s">
        <v>3944</v>
      </c>
      <c r="B1420" t="s">
        <v>1061</v>
      </c>
      <c r="C1420" t="s">
        <v>3937</v>
      </c>
      <c r="D1420" t="s">
        <v>1061</v>
      </c>
      <c r="E1420" t="s">
        <v>3937</v>
      </c>
      <c r="F1420" t="s">
        <v>1061</v>
      </c>
      <c r="G1420" t="s">
        <v>3937</v>
      </c>
      <c r="H1420" t="s">
        <v>1061</v>
      </c>
      <c r="I1420" t="s">
        <v>3937</v>
      </c>
    </row>
    <row r="1421" spans="1:9">
      <c r="A1421" t="s">
        <v>3945</v>
      </c>
      <c r="B1421" t="s">
        <v>1061</v>
      </c>
      <c r="C1421" t="s">
        <v>3937</v>
      </c>
      <c r="D1421" t="s">
        <v>1061</v>
      </c>
      <c r="E1421" t="s">
        <v>3937</v>
      </c>
      <c r="F1421" t="s">
        <v>1061</v>
      </c>
      <c r="G1421" t="s">
        <v>3937</v>
      </c>
      <c r="H1421" t="s">
        <v>1061</v>
      </c>
      <c r="I1421" t="s">
        <v>3937</v>
      </c>
    </row>
    <row r="1422" spans="1:9">
      <c r="A1422" t="s">
        <v>3946</v>
      </c>
      <c r="B1422" t="s">
        <v>1061</v>
      </c>
      <c r="C1422" t="s">
        <v>3937</v>
      </c>
      <c r="D1422" t="s">
        <v>1061</v>
      </c>
      <c r="E1422" t="s">
        <v>3937</v>
      </c>
      <c r="F1422" t="s">
        <v>1061</v>
      </c>
      <c r="G1422" t="s">
        <v>3937</v>
      </c>
      <c r="H1422" t="s">
        <v>1061</v>
      </c>
      <c r="I1422" t="s">
        <v>3937</v>
      </c>
    </row>
    <row r="1423" spans="1:9">
      <c r="A1423" t="s">
        <v>3947</v>
      </c>
      <c r="B1423" t="s">
        <v>1061</v>
      </c>
      <c r="C1423" t="s">
        <v>3937</v>
      </c>
      <c r="D1423" t="s">
        <v>1061</v>
      </c>
      <c r="E1423" t="s">
        <v>3937</v>
      </c>
      <c r="F1423" t="s">
        <v>1061</v>
      </c>
      <c r="G1423" t="s">
        <v>3937</v>
      </c>
      <c r="H1423" t="s">
        <v>1061</v>
      </c>
      <c r="I1423" t="s">
        <v>3937</v>
      </c>
    </row>
    <row r="1424" spans="1:9">
      <c r="A1424" t="s">
        <v>3948</v>
      </c>
      <c r="B1424" t="s">
        <v>1061</v>
      </c>
      <c r="C1424" t="s">
        <v>3937</v>
      </c>
      <c r="D1424" t="s">
        <v>1061</v>
      </c>
      <c r="E1424" t="s">
        <v>3937</v>
      </c>
      <c r="F1424" t="s">
        <v>1061</v>
      </c>
      <c r="G1424" t="s">
        <v>3937</v>
      </c>
      <c r="H1424" t="s">
        <v>1061</v>
      </c>
      <c r="I1424" t="s">
        <v>3937</v>
      </c>
    </row>
    <row r="1425" spans="1:9">
      <c r="A1425" t="s">
        <v>3949</v>
      </c>
      <c r="B1425" t="s">
        <v>1061</v>
      </c>
      <c r="C1425" t="s">
        <v>3937</v>
      </c>
      <c r="D1425" t="s">
        <v>1061</v>
      </c>
      <c r="E1425" t="s">
        <v>3937</v>
      </c>
      <c r="F1425" t="s">
        <v>1061</v>
      </c>
      <c r="G1425" t="s">
        <v>3937</v>
      </c>
      <c r="H1425" t="s">
        <v>1061</v>
      </c>
      <c r="I1425" t="s">
        <v>3937</v>
      </c>
    </row>
    <row r="1426" spans="1:9">
      <c r="A1426" t="s">
        <v>3950</v>
      </c>
      <c r="B1426" t="s">
        <v>1061</v>
      </c>
      <c r="C1426" t="s">
        <v>3937</v>
      </c>
      <c r="D1426" t="s">
        <v>1061</v>
      </c>
      <c r="E1426" t="s">
        <v>3937</v>
      </c>
      <c r="F1426" t="s">
        <v>1061</v>
      </c>
      <c r="G1426" t="s">
        <v>3937</v>
      </c>
      <c r="H1426" t="s">
        <v>1061</v>
      </c>
      <c r="I1426" t="s">
        <v>3937</v>
      </c>
    </row>
    <row r="1427" spans="1:9">
      <c r="A1427" t="s">
        <v>3951</v>
      </c>
      <c r="B1427" t="s">
        <v>1061</v>
      </c>
      <c r="C1427" t="s">
        <v>3937</v>
      </c>
      <c r="D1427" t="s">
        <v>1061</v>
      </c>
      <c r="E1427" t="s">
        <v>3937</v>
      </c>
      <c r="F1427" t="s">
        <v>1061</v>
      </c>
      <c r="G1427" t="s">
        <v>3937</v>
      </c>
      <c r="H1427" t="s">
        <v>1061</v>
      </c>
      <c r="I1427" t="s">
        <v>3937</v>
      </c>
    </row>
    <row r="1428" spans="1:9">
      <c r="A1428" t="s">
        <v>3952</v>
      </c>
      <c r="B1428" t="s">
        <v>1061</v>
      </c>
      <c r="C1428" t="s">
        <v>3937</v>
      </c>
      <c r="D1428" t="s">
        <v>1061</v>
      </c>
      <c r="E1428" t="s">
        <v>3937</v>
      </c>
      <c r="F1428" t="s">
        <v>1061</v>
      </c>
      <c r="G1428" t="s">
        <v>3937</v>
      </c>
      <c r="H1428" t="s">
        <v>1061</v>
      </c>
      <c r="I1428" t="s">
        <v>3937</v>
      </c>
    </row>
    <row r="1429" spans="1:9">
      <c r="A1429" t="s">
        <v>3953</v>
      </c>
      <c r="B1429" t="s">
        <v>1061</v>
      </c>
      <c r="C1429" t="s">
        <v>3937</v>
      </c>
      <c r="D1429" t="s">
        <v>1061</v>
      </c>
      <c r="E1429" t="s">
        <v>3937</v>
      </c>
      <c r="F1429" t="s">
        <v>1061</v>
      </c>
      <c r="G1429" t="s">
        <v>3937</v>
      </c>
      <c r="H1429" t="s">
        <v>1061</v>
      </c>
      <c r="I1429" t="s">
        <v>3937</v>
      </c>
    </row>
    <row r="1430" spans="1:9">
      <c r="A1430" t="s">
        <v>3954</v>
      </c>
      <c r="B1430" t="s">
        <v>1061</v>
      </c>
      <c r="C1430" t="s">
        <v>3937</v>
      </c>
      <c r="D1430" t="s">
        <v>1061</v>
      </c>
      <c r="E1430" t="s">
        <v>3937</v>
      </c>
      <c r="F1430" t="s">
        <v>1061</v>
      </c>
      <c r="G1430" t="s">
        <v>3937</v>
      </c>
      <c r="H1430" t="s">
        <v>1061</v>
      </c>
      <c r="I1430" t="s">
        <v>3937</v>
      </c>
    </row>
    <row r="1431" spans="1:9">
      <c r="A1431" t="s">
        <v>3955</v>
      </c>
      <c r="B1431" t="s">
        <v>1061</v>
      </c>
      <c r="C1431" t="s">
        <v>3937</v>
      </c>
      <c r="D1431" t="s">
        <v>1061</v>
      </c>
      <c r="E1431" t="s">
        <v>3937</v>
      </c>
      <c r="F1431" t="s">
        <v>1061</v>
      </c>
      <c r="G1431" t="s">
        <v>3937</v>
      </c>
      <c r="H1431" t="s">
        <v>1061</v>
      </c>
      <c r="I1431" t="s">
        <v>3937</v>
      </c>
    </row>
    <row r="1432" spans="1:9">
      <c r="A1432" t="s">
        <v>3956</v>
      </c>
      <c r="B1432" t="s">
        <v>1061</v>
      </c>
      <c r="C1432" t="s">
        <v>3937</v>
      </c>
      <c r="D1432" t="s">
        <v>1061</v>
      </c>
      <c r="E1432" t="s">
        <v>3937</v>
      </c>
      <c r="F1432" t="s">
        <v>1061</v>
      </c>
      <c r="G1432" t="s">
        <v>3937</v>
      </c>
      <c r="H1432" t="s">
        <v>1061</v>
      </c>
      <c r="I1432" t="s">
        <v>3937</v>
      </c>
    </row>
    <row r="1433" spans="1:9">
      <c r="A1433" t="s">
        <v>3957</v>
      </c>
      <c r="B1433" t="s">
        <v>1061</v>
      </c>
      <c r="C1433" t="s">
        <v>3937</v>
      </c>
      <c r="D1433" t="s">
        <v>1061</v>
      </c>
      <c r="E1433" t="s">
        <v>3937</v>
      </c>
      <c r="F1433" t="s">
        <v>1061</v>
      </c>
      <c r="G1433" t="s">
        <v>3937</v>
      </c>
      <c r="H1433" t="s">
        <v>1061</v>
      </c>
      <c r="I1433" t="s">
        <v>3937</v>
      </c>
    </row>
    <row r="1434" spans="1:9">
      <c r="A1434" t="s">
        <v>3958</v>
      </c>
      <c r="B1434" t="s">
        <v>1061</v>
      </c>
      <c r="C1434" t="s">
        <v>3937</v>
      </c>
      <c r="D1434" t="s">
        <v>1061</v>
      </c>
      <c r="E1434" t="s">
        <v>3937</v>
      </c>
      <c r="F1434" t="s">
        <v>1061</v>
      </c>
      <c r="G1434" t="s">
        <v>3937</v>
      </c>
      <c r="H1434" t="s">
        <v>1061</v>
      </c>
      <c r="I1434" t="s">
        <v>3937</v>
      </c>
    </row>
    <row r="1435" spans="1:9">
      <c r="A1435" t="s">
        <v>3959</v>
      </c>
      <c r="B1435" t="s">
        <v>1061</v>
      </c>
      <c r="C1435" t="s">
        <v>3937</v>
      </c>
      <c r="D1435" t="s">
        <v>1061</v>
      </c>
      <c r="E1435" t="s">
        <v>3937</v>
      </c>
      <c r="F1435" t="s">
        <v>1061</v>
      </c>
      <c r="G1435" t="s">
        <v>3937</v>
      </c>
      <c r="H1435" t="s">
        <v>1061</v>
      </c>
      <c r="I1435" t="s">
        <v>3937</v>
      </c>
    </row>
    <row r="1436" spans="1:9">
      <c r="A1436" t="s">
        <v>3960</v>
      </c>
      <c r="B1436" t="s">
        <v>1061</v>
      </c>
      <c r="C1436" t="s">
        <v>3937</v>
      </c>
      <c r="D1436" t="s">
        <v>1061</v>
      </c>
      <c r="E1436" t="s">
        <v>3937</v>
      </c>
      <c r="F1436" t="s">
        <v>1061</v>
      </c>
      <c r="G1436" t="s">
        <v>3937</v>
      </c>
      <c r="H1436" t="s">
        <v>1061</v>
      </c>
      <c r="I1436" t="s">
        <v>3937</v>
      </c>
    </row>
    <row r="1437" spans="1:9">
      <c r="A1437" t="s">
        <v>3961</v>
      </c>
      <c r="B1437" t="s">
        <v>1061</v>
      </c>
      <c r="C1437" t="s">
        <v>3937</v>
      </c>
      <c r="D1437" t="s">
        <v>1061</v>
      </c>
      <c r="E1437" t="s">
        <v>3937</v>
      </c>
      <c r="F1437" t="s">
        <v>1061</v>
      </c>
      <c r="G1437" t="s">
        <v>3937</v>
      </c>
      <c r="H1437" t="s">
        <v>1061</v>
      </c>
      <c r="I1437" t="s">
        <v>3937</v>
      </c>
    </row>
    <row r="1438" spans="1:9">
      <c r="A1438" t="s">
        <v>3962</v>
      </c>
      <c r="B1438" t="s">
        <v>1061</v>
      </c>
      <c r="C1438" t="s">
        <v>3937</v>
      </c>
      <c r="D1438" t="s">
        <v>1061</v>
      </c>
      <c r="E1438" t="s">
        <v>3937</v>
      </c>
      <c r="F1438" t="s">
        <v>1061</v>
      </c>
      <c r="G1438" t="s">
        <v>3937</v>
      </c>
      <c r="H1438" t="s">
        <v>1061</v>
      </c>
      <c r="I1438" t="s">
        <v>3937</v>
      </c>
    </row>
    <row r="1439" spans="1:9">
      <c r="A1439" t="s">
        <v>3963</v>
      </c>
      <c r="B1439" t="s">
        <v>1061</v>
      </c>
      <c r="C1439" t="s">
        <v>3937</v>
      </c>
      <c r="D1439" t="s">
        <v>1061</v>
      </c>
      <c r="E1439" t="s">
        <v>3937</v>
      </c>
      <c r="F1439" t="s">
        <v>1061</v>
      </c>
      <c r="G1439" t="s">
        <v>3937</v>
      </c>
      <c r="H1439" t="s">
        <v>1061</v>
      </c>
      <c r="I1439" t="s">
        <v>3937</v>
      </c>
    </row>
    <row r="1440" spans="1:9">
      <c r="A1440" t="s">
        <v>3964</v>
      </c>
      <c r="B1440" t="s">
        <v>1061</v>
      </c>
      <c r="C1440" t="s">
        <v>3937</v>
      </c>
      <c r="D1440" t="s">
        <v>1061</v>
      </c>
      <c r="E1440" t="s">
        <v>3937</v>
      </c>
      <c r="F1440" t="s">
        <v>1061</v>
      </c>
      <c r="G1440" t="s">
        <v>3937</v>
      </c>
      <c r="H1440" t="s">
        <v>1061</v>
      </c>
      <c r="I1440" t="s">
        <v>3937</v>
      </c>
    </row>
    <row r="1441" spans="1:9">
      <c r="A1441" t="s">
        <v>3965</v>
      </c>
      <c r="B1441" t="s">
        <v>1061</v>
      </c>
      <c r="C1441" t="s">
        <v>3937</v>
      </c>
      <c r="D1441" t="s">
        <v>1061</v>
      </c>
      <c r="E1441" t="s">
        <v>3937</v>
      </c>
      <c r="F1441" t="s">
        <v>1061</v>
      </c>
      <c r="G1441" t="s">
        <v>3937</v>
      </c>
      <c r="H1441" t="s">
        <v>1061</v>
      </c>
      <c r="I1441" t="s">
        <v>3937</v>
      </c>
    </row>
    <row r="1442" spans="1:9">
      <c r="A1442" t="s">
        <v>3966</v>
      </c>
      <c r="B1442" t="s">
        <v>1061</v>
      </c>
      <c r="C1442" t="s">
        <v>3937</v>
      </c>
      <c r="D1442" t="s">
        <v>1061</v>
      </c>
      <c r="E1442" t="s">
        <v>3937</v>
      </c>
      <c r="F1442" t="s">
        <v>1061</v>
      </c>
      <c r="G1442" t="s">
        <v>3937</v>
      </c>
      <c r="H1442" t="s">
        <v>1061</v>
      </c>
      <c r="I1442" t="s">
        <v>3937</v>
      </c>
    </row>
    <row r="1443" spans="1:9">
      <c r="A1443" t="s">
        <v>3967</v>
      </c>
      <c r="B1443" t="s">
        <v>1061</v>
      </c>
      <c r="C1443" t="s">
        <v>3937</v>
      </c>
      <c r="D1443" t="s">
        <v>1061</v>
      </c>
      <c r="E1443" t="s">
        <v>3937</v>
      </c>
      <c r="F1443" t="s">
        <v>1061</v>
      </c>
      <c r="G1443" t="s">
        <v>3937</v>
      </c>
      <c r="H1443" t="s">
        <v>1061</v>
      </c>
      <c r="I1443" t="s">
        <v>3937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ADA1-CA07-48FA-8AF6-27FCA76EDEAD}">
  <dimension ref="A1:H1347"/>
  <sheetViews>
    <sheetView workbookViewId="0">
      <selection activeCell="L11" sqref="L11"/>
    </sheetView>
  </sheetViews>
  <sheetFormatPr defaultColWidth="11.42578125" defaultRowHeight="14.25"/>
  <cols>
    <col min="1" max="1" width="21.42578125" bestFit="1" customWidth="1"/>
    <col min="2" max="5" width="11.42578125" style="1"/>
    <col min="6" max="6" width="13" style="1" customWidth="1"/>
    <col min="7" max="7" width="13.85546875" style="1" customWidth="1"/>
    <col min="8" max="8" width="13.7109375" style="1" customWidth="1"/>
  </cols>
  <sheetData>
    <row r="1" spans="1:8">
      <c r="A1" t="s">
        <v>1062</v>
      </c>
      <c r="B1" s="1" t="s">
        <v>1</v>
      </c>
      <c r="C1" s="1" t="s">
        <v>2</v>
      </c>
      <c r="D1" s="1" t="s">
        <v>3</v>
      </c>
      <c r="F1" s="1" t="s">
        <v>1063</v>
      </c>
      <c r="G1" s="1" t="s">
        <v>1064</v>
      </c>
      <c r="H1" s="1" t="s">
        <v>3968</v>
      </c>
    </row>
    <row r="2" spans="1:8">
      <c r="A2" t="s">
        <v>1290</v>
      </c>
      <c r="B2" s="1">
        <v>1.9366666666666601</v>
      </c>
      <c r="C2" s="1">
        <v>2.6766666666666601</v>
      </c>
      <c r="D2" s="1">
        <v>3.8233333333333301</v>
      </c>
      <c r="F2" s="1">
        <v>1.9</v>
      </c>
      <c r="G2" s="1">
        <v>2.9</v>
      </c>
      <c r="H2" s="1">
        <v>6.2</v>
      </c>
    </row>
    <row r="3" spans="1:8">
      <c r="A3" t="s">
        <v>1292</v>
      </c>
      <c r="B3" s="1">
        <v>2.1599999999999899</v>
      </c>
      <c r="C3" s="1">
        <v>3.1566666666666601</v>
      </c>
      <c r="D3" s="1">
        <v>4.8966666666666603</v>
      </c>
      <c r="F3" s="1">
        <v>2</v>
      </c>
      <c r="G3" s="1">
        <v>3.2</v>
      </c>
      <c r="H3" s="1">
        <v>8.9</v>
      </c>
    </row>
    <row r="4" spans="1:8">
      <c r="A4" t="s">
        <v>1295</v>
      </c>
      <c r="B4" s="1">
        <v>1.5599999999999901</v>
      </c>
      <c r="C4" s="1">
        <v>2.1733333333333298</v>
      </c>
      <c r="D4" s="1">
        <v>2.86666666666666</v>
      </c>
      <c r="F4" s="1">
        <v>2.2000000000000002</v>
      </c>
      <c r="G4" s="1">
        <v>4.3</v>
      </c>
      <c r="H4" s="1">
        <v>13.2</v>
      </c>
    </row>
    <row r="5" spans="1:8">
      <c r="A5" t="s">
        <v>1298</v>
      </c>
      <c r="B5" s="1">
        <v>1.59666666666666</v>
      </c>
      <c r="C5" s="1">
        <v>2.1566666666666601</v>
      </c>
      <c r="D5" s="1">
        <v>2.7566666666666602</v>
      </c>
      <c r="F5" s="1">
        <v>2</v>
      </c>
      <c r="G5" s="1">
        <v>3</v>
      </c>
      <c r="H5" s="1">
        <v>7.8</v>
      </c>
    </row>
    <row r="6" spans="1:8">
      <c r="A6" t="s">
        <v>1300</v>
      </c>
      <c r="B6" s="1">
        <v>1.4299999999999899</v>
      </c>
      <c r="C6" s="1">
        <v>1.97</v>
      </c>
      <c r="D6" s="1">
        <v>2.6533333333333302</v>
      </c>
      <c r="F6" s="1">
        <v>2.2000000000000002</v>
      </c>
      <c r="G6" s="1">
        <v>3</v>
      </c>
      <c r="H6" s="1">
        <v>5.5</v>
      </c>
    </row>
    <row r="7" spans="1:8">
      <c r="A7" t="s">
        <v>1302</v>
      </c>
      <c r="B7" s="1">
        <v>2.2966666666666602</v>
      </c>
      <c r="C7" s="1">
        <v>3.1566666666666601</v>
      </c>
      <c r="D7" s="1">
        <v>4.1366666666666596</v>
      </c>
      <c r="F7" s="1">
        <v>2.2999999999999998</v>
      </c>
      <c r="G7" s="1">
        <v>3.1</v>
      </c>
      <c r="H7" s="1">
        <v>5.6</v>
      </c>
    </row>
    <row r="8" spans="1:8">
      <c r="A8" t="s">
        <v>1303</v>
      </c>
      <c r="B8" s="1">
        <v>2.2000000000000002</v>
      </c>
      <c r="C8" s="1">
        <v>3.0933333333333302</v>
      </c>
      <c r="D8" s="1">
        <v>4.2033333333333296</v>
      </c>
      <c r="F8" s="1">
        <v>2.6</v>
      </c>
      <c r="G8" s="1">
        <v>3.4</v>
      </c>
      <c r="H8" s="1">
        <v>5.5</v>
      </c>
    </row>
    <row r="9" spans="1:8">
      <c r="A9" t="s">
        <v>1305</v>
      </c>
      <c r="B9" s="1">
        <v>2.99</v>
      </c>
      <c r="C9" s="1">
        <v>3.9466666666666601</v>
      </c>
      <c r="D9" s="1">
        <v>5.45</v>
      </c>
      <c r="F9" s="1">
        <v>2.8</v>
      </c>
      <c r="G9" s="1">
        <v>3.6</v>
      </c>
      <c r="H9" s="1">
        <v>5.9</v>
      </c>
    </row>
    <row r="10" spans="1:8">
      <c r="A10" t="s">
        <v>1307</v>
      </c>
      <c r="B10" s="1">
        <v>3.2266666666666599</v>
      </c>
      <c r="C10" s="1">
        <v>4.7699999999999898</v>
      </c>
      <c r="D10" s="1">
        <v>6.3066666666666604</v>
      </c>
      <c r="F10" s="1">
        <v>3.7</v>
      </c>
      <c r="G10" s="1">
        <v>4.9000000000000004</v>
      </c>
      <c r="H10" s="1">
        <v>8.9</v>
      </c>
    </row>
    <row r="11" spans="1:8">
      <c r="A11" t="s">
        <v>1309</v>
      </c>
      <c r="B11" s="1">
        <v>2.4966666666666599</v>
      </c>
      <c r="C11" s="1">
        <v>3.79</v>
      </c>
      <c r="D11" s="1">
        <v>4.7633333333333301</v>
      </c>
      <c r="F11" s="1">
        <v>4</v>
      </c>
      <c r="G11" s="1">
        <v>5</v>
      </c>
      <c r="H11" s="1">
        <v>8.1999999999999993</v>
      </c>
    </row>
    <row r="12" spans="1:8">
      <c r="A12" t="s">
        <v>1312</v>
      </c>
      <c r="B12" s="1">
        <v>2.78</v>
      </c>
      <c r="C12" s="1">
        <v>3.5733333333333301</v>
      </c>
      <c r="D12" s="1">
        <v>4.72</v>
      </c>
      <c r="F12" s="1">
        <v>4.3</v>
      </c>
      <c r="G12" s="1">
        <v>5.2</v>
      </c>
      <c r="H12" s="1">
        <v>7.9</v>
      </c>
    </row>
    <row r="13" spans="1:8">
      <c r="A13" t="s">
        <v>1314</v>
      </c>
      <c r="B13" s="1">
        <v>2.8133333333333299</v>
      </c>
      <c r="C13" s="1">
        <v>3.8966666666666598</v>
      </c>
      <c r="D13" s="1">
        <v>4.7</v>
      </c>
      <c r="F13" s="1">
        <v>4.5</v>
      </c>
      <c r="G13" s="1">
        <v>5.6</v>
      </c>
      <c r="H13" s="1">
        <v>8.9</v>
      </c>
    </row>
    <row r="14" spans="1:8">
      <c r="A14" t="s">
        <v>1316</v>
      </c>
      <c r="B14" s="1">
        <v>3.0933333333333302</v>
      </c>
      <c r="C14" s="1">
        <v>4.1933333333333298</v>
      </c>
      <c r="D14" s="1">
        <v>4.9366666666666603</v>
      </c>
      <c r="F14" s="1">
        <v>5</v>
      </c>
      <c r="G14" s="1">
        <v>6.1</v>
      </c>
      <c r="H14" s="1">
        <v>9.5</v>
      </c>
    </row>
    <row r="15" spans="1:8">
      <c r="A15" t="s">
        <v>1319</v>
      </c>
      <c r="B15" s="1">
        <v>4.66</v>
      </c>
      <c r="C15" s="1">
        <v>5.7433333333333296</v>
      </c>
      <c r="D15" s="1">
        <v>7.39333333333333</v>
      </c>
      <c r="F15" s="1">
        <v>6.3</v>
      </c>
      <c r="G15" s="1">
        <v>7.5</v>
      </c>
      <c r="H15" s="1">
        <v>11.6</v>
      </c>
    </row>
    <row r="16" spans="1:8">
      <c r="A16" t="s">
        <v>1322</v>
      </c>
      <c r="B16" s="1">
        <v>4.0533333333333301</v>
      </c>
      <c r="C16" s="1">
        <v>6.3566666666666602</v>
      </c>
      <c r="D16" s="1">
        <v>8.18333333333333</v>
      </c>
      <c r="F16" s="1">
        <v>6.9</v>
      </c>
      <c r="G16" s="1">
        <v>8.1999999999999993</v>
      </c>
      <c r="H16" s="1">
        <v>12</v>
      </c>
    </row>
    <row r="17" spans="1:8">
      <c r="A17" t="s">
        <v>1325</v>
      </c>
      <c r="B17" s="1">
        <v>3.55</v>
      </c>
      <c r="C17" s="1">
        <v>4.5466666666666598</v>
      </c>
      <c r="D17" s="1">
        <v>5.8233333333333297</v>
      </c>
      <c r="F17" s="1">
        <v>6.6</v>
      </c>
      <c r="G17" s="1">
        <v>7.9</v>
      </c>
      <c r="H17" s="1">
        <v>12.1</v>
      </c>
    </row>
    <row r="18" spans="1:8">
      <c r="A18" t="s">
        <v>1327</v>
      </c>
      <c r="B18" s="1">
        <v>12.0966666666666</v>
      </c>
      <c r="C18" s="1">
        <v>15.646666666666601</v>
      </c>
      <c r="D18" s="1">
        <v>17.716666666666601</v>
      </c>
      <c r="F18" s="1">
        <v>9</v>
      </c>
      <c r="G18" s="1">
        <v>10.6</v>
      </c>
      <c r="H18" s="1">
        <v>15.6</v>
      </c>
    </row>
    <row r="19" spans="1:8">
      <c r="A19" t="s">
        <v>1331</v>
      </c>
      <c r="B19" s="1">
        <v>15.29</v>
      </c>
      <c r="C19" s="1">
        <v>19.559999999999999</v>
      </c>
      <c r="D19" s="1">
        <v>22.093333333333302</v>
      </c>
      <c r="F19" s="1">
        <v>19.8</v>
      </c>
      <c r="G19" s="1">
        <v>21.9</v>
      </c>
      <c r="H19" s="1">
        <v>29.3</v>
      </c>
    </row>
    <row r="20" spans="1:8">
      <c r="A20" t="s">
        <v>1336</v>
      </c>
      <c r="B20" s="1">
        <v>16.1533333333333</v>
      </c>
      <c r="C20" s="1">
        <v>20.216666666666601</v>
      </c>
      <c r="D20" s="1">
        <v>25.266666666666602</v>
      </c>
      <c r="F20" s="1">
        <v>25.6</v>
      </c>
      <c r="G20" s="1">
        <v>27.2</v>
      </c>
      <c r="H20" s="1">
        <v>31.1</v>
      </c>
    </row>
    <row r="21" spans="1:8">
      <c r="A21" t="s">
        <v>1341</v>
      </c>
      <c r="B21" s="1">
        <v>15.81</v>
      </c>
      <c r="C21" s="1">
        <v>19.8533333333333</v>
      </c>
      <c r="D21" s="1">
        <v>22.893333333333299</v>
      </c>
      <c r="F21" s="1">
        <v>27.2</v>
      </c>
      <c r="G21" s="1">
        <v>29</v>
      </c>
      <c r="H21" s="1">
        <v>34.4</v>
      </c>
    </row>
    <row r="22" spans="1:8">
      <c r="A22" t="s">
        <v>1345</v>
      </c>
      <c r="B22" s="1">
        <v>14.9466666666666</v>
      </c>
      <c r="C22" s="1">
        <v>19.119999999999902</v>
      </c>
      <c r="D22" s="1">
        <v>23.399999999999899</v>
      </c>
      <c r="F22" s="1">
        <v>24.9</v>
      </c>
      <c r="G22" s="1">
        <v>26.6</v>
      </c>
      <c r="H22" s="1">
        <v>32</v>
      </c>
    </row>
    <row r="23" spans="1:8">
      <c r="A23" t="s">
        <v>1350</v>
      </c>
      <c r="B23" s="1">
        <v>9.3833333333333293</v>
      </c>
      <c r="C23" s="1">
        <v>12.466666666666599</v>
      </c>
      <c r="D23" s="1">
        <v>14.55</v>
      </c>
      <c r="F23" s="1">
        <v>19.2</v>
      </c>
      <c r="G23" s="1">
        <v>20.6</v>
      </c>
      <c r="H23" s="1">
        <v>23.8</v>
      </c>
    </row>
    <row r="24" spans="1:8">
      <c r="A24" t="s">
        <v>1355</v>
      </c>
      <c r="B24" s="1">
        <v>11.3233333333333</v>
      </c>
      <c r="C24" s="1">
        <v>14.8499999999999</v>
      </c>
      <c r="D24" s="1">
        <v>18.259999999999899</v>
      </c>
      <c r="F24" s="1">
        <v>15.3</v>
      </c>
      <c r="G24" s="1">
        <v>16.5</v>
      </c>
      <c r="H24" s="1">
        <v>19.3</v>
      </c>
    </row>
    <row r="25" spans="1:8">
      <c r="A25" t="s">
        <v>1360</v>
      </c>
      <c r="B25" s="1">
        <v>14.4266666666666</v>
      </c>
      <c r="C25" s="1">
        <v>17.849999999999898</v>
      </c>
      <c r="D25" s="1">
        <v>21.759999999999899</v>
      </c>
      <c r="F25" s="1">
        <v>18.7</v>
      </c>
      <c r="G25" s="1">
        <v>20.100000000000001</v>
      </c>
      <c r="H25" s="1">
        <v>24.3</v>
      </c>
    </row>
    <row r="26" spans="1:8">
      <c r="A26" t="s">
        <v>1365</v>
      </c>
      <c r="B26" s="1">
        <v>14.76</v>
      </c>
      <c r="C26" s="1">
        <v>18.323333333333299</v>
      </c>
      <c r="D26" s="1">
        <v>20.973333333333301</v>
      </c>
      <c r="F26" s="1">
        <v>22.8</v>
      </c>
      <c r="G26" s="1">
        <v>24.3</v>
      </c>
      <c r="H26" s="1">
        <v>27.7</v>
      </c>
    </row>
    <row r="27" spans="1:8">
      <c r="A27" t="s">
        <v>1369</v>
      </c>
      <c r="B27" s="1">
        <v>14.08</v>
      </c>
      <c r="C27" s="1">
        <v>18.286666666666601</v>
      </c>
      <c r="D27" s="1">
        <v>20.523333333333301</v>
      </c>
      <c r="F27" s="1">
        <v>23.4</v>
      </c>
      <c r="G27" s="1">
        <v>24.9</v>
      </c>
      <c r="H27" s="1">
        <v>27.7</v>
      </c>
    </row>
    <row r="28" spans="1:8">
      <c r="A28" t="s">
        <v>1372</v>
      </c>
      <c r="B28" s="1">
        <v>14.283333333333299</v>
      </c>
      <c r="C28" s="1">
        <v>18.046666666666599</v>
      </c>
      <c r="D28" s="1">
        <v>21.033333333333299</v>
      </c>
      <c r="F28" s="1">
        <v>21.6</v>
      </c>
      <c r="G28" s="1">
        <v>23.1</v>
      </c>
      <c r="H28" s="1">
        <v>25.7</v>
      </c>
    </row>
    <row r="29" spans="1:8">
      <c r="A29" t="s">
        <v>1377</v>
      </c>
      <c r="B29" s="1">
        <v>14.223333333333301</v>
      </c>
      <c r="C29" s="1">
        <v>18.78</v>
      </c>
      <c r="D29" s="1">
        <v>23.336666666666599</v>
      </c>
      <c r="F29" s="1">
        <v>20.9</v>
      </c>
      <c r="G29" s="1">
        <v>22.1</v>
      </c>
      <c r="H29" s="1">
        <v>24.5</v>
      </c>
    </row>
    <row r="30" spans="1:8">
      <c r="A30" t="s">
        <v>1382</v>
      </c>
      <c r="B30" s="1">
        <v>11.3433333333333</v>
      </c>
      <c r="C30" s="1">
        <v>14.2866666666666</v>
      </c>
      <c r="D30" s="1">
        <v>16.633333333333301</v>
      </c>
      <c r="F30" s="1">
        <v>20.5</v>
      </c>
      <c r="G30" s="1">
        <v>21.7</v>
      </c>
      <c r="H30" s="1">
        <v>24.9</v>
      </c>
    </row>
    <row r="31" spans="1:8">
      <c r="A31" t="s">
        <v>1386</v>
      </c>
      <c r="B31" s="1">
        <v>12.6133333333333</v>
      </c>
      <c r="C31" s="1">
        <v>16.77</v>
      </c>
      <c r="D31" s="1">
        <v>20.806666666666601</v>
      </c>
      <c r="F31" s="1">
        <v>17.7</v>
      </c>
      <c r="G31" s="1">
        <v>18.899999999999999</v>
      </c>
      <c r="H31" s="1">
        <v>21.7</v>
      </c>
    </row>
    <row r="32" spans="1:8">
      <c r="A32" t="s">
        <v>1390</v>
      </c>
      <c r="B32" s="1">
        <v>11.3799999999999</v>
      </c>
      <c r="C32" s="1">
        <v>14.0966666666666</v>
      </c>
      <c r="D32" s="1">
        <v>16.309999999999999</v>
      </c>
      <c r="F32" s="1">
        <v>18.399999999999999</v>
      </c>
      <c r="G32" s="1">
        <v>19.7</v>
      </c>
      <c r="H32" s="1">
        <v>21.9</v>
      </c>
    </row>
    <row r="33" spans="1:8">
      <c r="A33" t="s">
        <v>1394</v>
      </c>
      <c r="B33" s="1">
        <v>9.66</v>
      </c>
      <c r="C33" s="1">
        <v>12.5833333333333</v>
      </c>
      <c r="D33" s="1">
        <v>17.48</v>
      </c>
      <c r="F33" s="1">
        <v>15.2</v>
      </c>
      <c r="G33" s="1">
        <v>16.2</v>
      </c>
      <c r="H33" s="1">
        <v>18.100000000000001</v>
      </c>
    </row>
    <row r="34" spans="1:8">
      <c r="A34" t="s">
        <v>1399</v>
      </c>
      <c r="B34" s="1">
        <v>7.4666666666666597</v>
      </c>
      <c r="C34" s="1">
        <v>9.5633333333333308</v>
      </c>
      <c r="D34" s="1">
        <v>11.2899999999999</v>
      </c>
      <c r="F34" s="1">
        <v>12.8</v>
      </c>
      <c r="G34" s="1">
        <v>13.7</v>
      </c>
      <c r="H34" s="1">
        <v>15.3</v>
      </c>
    </row>
    <row r="35" spans="1:8">
      <c r="A35" t="s">
        <v>1402</v>
      </c>
      <c r="B35" s="1">
        <v>5.9866666666666601</v>
      </c>
      <c r="C35" s="1">
        <v>7.7066666666666599</v>
      </c>
      <c r="D35" s="1">
        <v>8.7966666666666598</v>
      </c>
      <c r="F35" s="1">
        <v>10.8</v>
      </c>
      <c r="G35" s="1">
        <v>11.7</v>
      </c>
      <c r="H35" s="1">
        <v>13.8</v>
      </c>
    </row>
    <row r="36" spans="1:8">
      <c r="A36" t="s">
        <v>1406</v>
      </c>
      <c r="B36" s="1">
        <v>6.7266666666666604</v>
      </c>
      <c r="C36" s="1">
        <v>8.8466666666666605</v>
      </c>
      <c r="D36" s="1">
        <v>11.713333333333299</v>
      </c>
      <c r="F36" s="1">
        <v>9.1</v>
      </c>
      <c r="G36" s="1">
        <v>10</v>
      </c>
      <c r="H36" s="1">
        <v>12</v>
      </c>
    </row>
    <row r="37" spans="1:8">
      <c r="A37" t="s">
        <v>1408</v>
      </c>
      <c r="B37" s="1">
        <v>7.2166666666666597</v>
      </c>
      <c r="C37" s="1">
        <v>9.4533333333333296</v>
      </c>
      <c r="D37" s="1">
        <v>11.063333333333301</v>
      </c>
      <c r="F37" s="1">
        <v>9.8000000000000007</v>
      </c>
      <c r="G37" s="1">
        <v>10.6</v>
      </c>
      <c r="H37" s="1">
        <v>11.7</v>
      </c>
    </row>
    <row r="38" spans="1:8">
      <c r="A38" t="s">
        <v>1410</v>
      </c>
      <c r="B38" s="1">
        <v>6.68333333333333</v>
      </c>
      <c r="C38" s="1">
        <v>9.17</v>
      </c>
      <c r="D38" s="1">
        <v>10.2866666666666</v>
      </c>
      <c r="F38" s="1">
        <v>10.9</v>
      </c>
      <c r="G38" s="1">
        <v>11.7</v>
      </c>
      <c r="H38" s="1">
        <v>13</v>
      </c>
    </row>
    <row r="39" spans="1:8">
      <c r="A39" t="s">
        <v>1413</v>
      </c>
      <c r="B39" s="1">
        <v>6.2233333333333301</v>
      </c>
      <c r="C39" s="1">
        <v>8.1766666666666605</v>
      </c>
      <c r="D39" s="1">
        <v>10.386666666666599</v>
      </c>
      <c r="F39" s="1">
        <v>9.3000000000000007</v>
      </c>
      <c r="G39" s="1">
        <v>10</v>
      </c>
      <c r="H39" s="1">
        <v>11</v>
      </c>
    </row>
    <row r="40" spans="1:8">
      <c r="A40" t="s">
        <v>1416</v>
      </c>
      <c r="B40" s="1">
        <v>4.9433333333333298</v>
      </c>
      <c r="C40" s="1">
        <v>6.36666666666666</v>
      </c>
      <c r="D40" s="1">
        <v>7.5966666666666596</v>
      </c>
      <c r="F40" s="1">
        <v>8.3000000000000007</v>
      </c>
      <c r="G40" s="1">
        <v>9</v>
      </c>
      <c r="H40" s="1">
        <v>9.9</v>
      </c>
    </row>
    <row r="41" spans="1:8">
      <c r="A41" t="s">
        <v>1418</v>
      </c>
      <c r="B41" s="1">
        <v>4.2766666666666602</v>
      </c>
      <c r="C41" s="1">
        <v>5.4466666666666601</v>
      </c>
      <c r="D41" s="1">
        <v>6.4866666666666601</v>
      </c>
      <c r="F41" s="1">
        <v>7.1</v>
      </c>
      <c r="G41" s="1">
        <v>7.7</v>
      </c>
      <c r="H41" s="1">
        <v>8.5</v>
      </c>
    </row>
    <row r="42" spans="1:8">
      <c r="A42" t="s">
        <v>1420</v>
      </c>
      <c r="B42" s="1">
        <v>3.86666666666666</v>
      </c>
      <c r="C42" s="1">
        <v>5.32666666666666</v>
      </c>
      <c r="D42" s="1">
        <v>6.1133333333333297</v>
      </c>
      <c r="F42" s="1">
        <v>6.4</v>
      </c>
      <c r="G42" s="1">
        <v>6.9</v>
      </c>
      <c r="H42" s="1">
        <v>7.7</v>
      </c>
    </row>
    <row r="43" spans="1:8">
      <c r="A43" t="s">
        <v>1422</v>
      </c>
      <c r="B43" s="1">
        <v>3.12333333333333</v>
      </c>
      <c r="C43" s="1">
        <v>3.66333333333333</v>
      </c>
      <c r="D43" s="1">
        <v>4.0033333333333303</v>
      </c>
      <c r="F43" s="1">
        <v>5.9</v>
      </c>
      <c r="G43" s="1">
        <v>6.4</v>
      </c>
      <c r="H43" s="1">
        <v>7.2</v>
      </c>
    </row>
    <row r="44" spans="1:8">
      <c r="A44" t="s">
        <v>1424</v>
      </c>
      <c r="B44" s="1">
        <v>2.91</v>
      </c>
      <c r="C44" s="1">
        <v>3.7366666666666601</v>
      </c>
      <c r="D44" s="1">
        <v>4.8599999999999897</v>
      </c>
      <c r="F44" s="1">
        <v>4.9000000000000004</v>
      </c>
      <c r="G44" s="1">
        <v>5.5</v>
      </c>
      <c r="H44" s="1">
        <v>6.4</v>
      </c>
    </row>
    <row r="45" spans="1:8">
      <c r="A45" t="s">
        <v>1426</v>
      </c>
      <c r="B45" s="1">
        <v>3.88</v>
      </c>
      <c r="C45" s="1">
        <v>4.7366666666666601</v>
      </c>
      <c r="D45" s="1">
        <v>5.6266666666666598</v>
      </c>
      <c r="F45" s="1">
        <v>5.0999999999999996</v>
      </c>
      <c r="G45" s="1">
        <v>5.7</v>
      </c>
      <c r="H45" s="1">
        <v>7</v>
      </c>
    </row>
    <row r="46" spans="1:8">
      <c r="A46" t="s">
        <v>1429</v>
      </c>
      <c r="B46" s="1">
        <v>2.48</v>
      </c>
      <c r="C46" s="1">
        <v>3.62</v>
      </c>
      <c r="D46" s="1">
        <v>4.2633333333333301</v>
      </c>
      <c r="F46" s="1">
        <v>5.6</v>
      </c>
      <c r="G46" s="1">
        <v>6.1</v>
      </c>
      <c r="H46" s="1">
        <v>7.5</v>
      </c>
    </row>
    <row r="47" spans="1:8">
      <c r="A47" t="s">
        <v>1431</v>
      </c>
      <c r="B47" s="1">
        <v>2.0933333333333302</v>
      </c>
      <c r="C47" s="1">
        <v>2.7933333333333299</v>
      </c>
      <c r="D47" s="1">
        <v>3.43333333333333</v>
      </c>
      <c r="F47" s="1">
        <v>3.4</v>
      </c>
      <c r="G47" s="1">
        <v>3.9</v>
      </c>
      <c r="H47" s="1">
        <v>4.5999999999999996</v>
      </c>
    </row>
    <row r="48" spans="1:8">
      <c r="A48" t="s">
        <v>1433</v>
      </c>
      <c r="B48" s="1">
        <v>2.0299999999999998</v>
      </c>
      <c r="C48" s="1">
        <v>2.6466666666666598</v>
      </c>
      <c r="D48" s="1">
        <v>2.8366666666666598</v>
      </c>
      <c r="F48" s="1">
        <v>2.7</v>
      </c>
      <c r="G48" s="1">
        <v>3.2</v>
      </c>
      <c r="H48" s="1">
        <v>3.9</v>
      </c>
    </row>
    <row r="49" spans="1:8">
      <c r="A49" t="s">
        <v>1435</v>
      </c>
      <c r="B49" s="1">
        <v>1.88333333333333</v>
      </c>
      <c r="C49" s="1">
        <v>2.3033333333333301</v>
      </c>
      <c r="D49" s="1">
        <v>2.6366666666666601</v>
      </c>
      <c r="F49" s="1">
        <v>2.7</v>
      </c>
      <c r="G49" s="1">
        <v>3.2</v>
      </c>
      <c r="H49" s="1">
        <v>4.7</v>
      </c>
    </row>
    <row r="50" spans="1:8">
      <c r="A50" t="s">
        <v>1438</v>
      </c>
      <c r="B50" s="1">
        <v>2.0866666666666598</v>
      </c>
      <c r="C50" s="1">
        <v>2.7899999999999898</v>
      </c>
      <c r="D50" s="1">
        <v>3.69</v>
      </c>
      <c r="F50" s="1">
        <v>2.5</v>
      </c>
      <c r="G50" s="1">
        <v>3</v>
      </c>
      <c r="H50" s="1">
        <v>3.6</v>
      </c>
    </row>
    <row r="51" spans="1:8">
      <c r="A51" t="s">
        <v>1440</v>
      </c>
      <c r="B51" s="1">
        <v>2.0299999999999998</v>
      </c>
      <c r="C51" s="1">
        <v>2.8766666666666598</v>
      </c>
      <c r="D51" s="1">
        <v>3.53</v>
      </c>
      <c r="F51" s="1">
        <v>2.5</v>
      </c>
      <c r="G51" s="1">
        <v>3</v>
      </c>
      <c r="H51" s="1">
        <v>3.7</v>
      </c>
    </row>
    <row r="52" spans="1:8">
      <c r="A52" t="s">
        <v>1442</v>
      </c>
      <c r="B52" s="1">
        <v>2.44</v>
      </c>
      <c r="C52" s="1">
        <v>3.1033333333333299</v>
      </c>
      <c r="D52" s="1">
        <v>4.4799999999999898</v>
      </c>
      <c r="F52" s="1">
        <v>2.7</v>
      </c>
      <c r="G52" s="1">
        <v>3.2</v>
      </c>
      <c r="H52" s="1">
        <v>4.2</v>
      </c>
    </row>
    <row r="53" spans="1:8">
      <c r="A53" t="s">
        <v>1444</v>
      </c>
      <c r="B53" s="1">
        <v>2.36666666666666</v>
      </c>
      <c r="C53" s="1">
        <v>3.03666666666666</v>
      </c>
      <c r="D53" s="1">
        <v>3.9766666666666599</v>
      </c>
      <c r="F53" s="1">
        <v>3</v>
      </c>
      <c r="G53" s="1">
        <v>3.5</v>
      </c>
      <c r="H53" s="1">
        <v>5.0999999999999996</v>
      </c>
    </row>
    <row r="54" spans="1:8">
      <c r="A54" t="s">
        <v>1446</v>
      </c>
      <c r="B54" s="1">
        <v>2.08</v>
      </c>
      <c r="C54" s="1">
        <v>2.96999999999999</v>
      </c>
      <c r="D54" s="1">
        <v>3.58</v>
      </c>
      <c r="F54" s="1">
        <v>2.9</v>
      </c>
      <c r="G54" s="1">
        <v>3.5</v>
      </c>
      <c r="H54" s="1">
        <v>5.2</v>
      </c>
    </row>
    <row r="55" spans="1:8">
      <c r="A55" t="s">
        <v>1448</v>
      </c>
      <c r="B55" s="1">
        <v>3.4033333333333302</v>
      </c>
      <c r="C55" s="1">
        <v>4.3033333333333301</v>
      </c>
      <c r="D55" s="1">
        <v>4.88</v>
      </c>
      <c r="F55" s="1">
        <v>2.7</v>
      </c>
      <c r="G55" s="1">
        <v>3.2</v>
      </c>
      <c r="H55" s="1">
        <v>4.0999999999999996</v>
      </c>
    </row>
    <row r="56" spans="1:8">
      <c r="A56" t="s">
        <v>1450</v>
      </c>
      <c r="B56" s="1">
        <v>2.21999999999999</v>
      </c>
      <c r="C56" s="1">
        <v>3.5466666666666602</v>
      </c>
      <c r="D56" s="1">
        <v>4.7066666666666599</v>
      </c>
      <c r="F56" s="1">
        <v>2.9</v>
      </c>
      <c r="G56" s="1">
        <v>3.5</v>
      </c>
      <c r="H56" s="1">
        <v>4.8</v>
      </c>
    </row>
    <row r="57" spans="1:8">
      <c r="A57" t="s">
        <v>1451</v>
      </c>
      <c r="B57" s="1">
        <v>2.4633333333333298</v>
      </c>
      <c r="C57" s="1">
        <v>3.8433333333333302</v>
      </c>
      <c r="D57" s="1">
        <v>5.0566666666666604</v>
      </c>
      <c r="F57" s="1">
        <v>2.5</v>
      </c>
      <c r="G57" s="1">
        <v>3.4</v>
      </c>
      <c r="H57" s="1">
        <v>5.7</v>
      </c>
    </row>
    <row r="58" spans="1:8">
      <c r="A58" t="s">
        <v>1453</v>
      </c>
      <c r="B58" s="1">
        <v>2.4766666666666599</v>
      </c>
      <c r="C58" s="1">
        <v>3.29</v>
      </c>
      <c r="D58" s="1">
        <v>5.7999999999999901</v>
      </c>
      <c r="F58" s="1">
        <v>2.7</v>
      </c>
      <c r="G58" s="1">
        <v>3.7</v>
      </c>
      <c r="H58" s="1">
        <v>6.1</v>
      </c>
    </row>
    <row r="59" spans="1:8">
      <c r="A59" t="s">
        <v>1454</v>
      </c>
      <c r="B59" s="1">
        <v>2.5866666666666598</v>
      </c>
      <c r="C59" s="1">
        <v>3.88</v>
      </c>
      <c r="D59" s="1">
        <v>6.1366666666666596</v>
      </c>
      <c r="F59" s="1">
        <v>2.7</v>
      </c>
      <c r="G59" s="1">
        <v>3.8</v>
      </c>
      <c r="H59" s="1">
        <v>6.1</v>
      </c>
    </row>
    <row r="60" spans="1:8">
      <c r="A60" t="s">
        <v>1456</v>
      </c>
      <c r="B60" s="1">
        <v>2.71</v>
      </c>
      <c r="C60" s="1">
        <v>3.99</v>
      </c>
      <c r="D60" s="1">
        <v>6.8966666666666603</v>
      </c>
      <c r="F60" s="1">
        <v>2.8</v>
      </c>
      <c r="G60" s="1">
        <v>4.0999999999999996</v>
      </c>
      <c r="H60" s="1">
        <v>7.1</v>
      </c>
    </row>
    <row r="61" spans="1:8">
      <c r="A61" t="s">
        <v>1458</v>
      </c>
      <c r="B61" s="1">
        <v>3.0933333333333302</v>
      </c>
      <c r="C61" s="1">
        <v>3.4666666666666601</v>
      </c>
      <c r="D61" s="1">
        <v>4.6633333333333304</v>
      </c>
      <c r="F61" s="1">
        <v>2.7</v>
      </c>
      <c r="G61" s="1">
        <v>4.0999999999999996</v>
      </c>
      <c r="H61" s="1">
        <v>6.6</v>
      </c>
    </row>
    <row r="62" spans="1:8">
      <c r="A62" t="s">
        <v>1460</v>
      </c>
      <c r="B62" s="1">
        <v>3.4799999999999902</v>
      </c>
      <c r="C62" s="1">
        <v>3.87</v>
      </c>
      <c r="D62" s="1">
        <v>5.2366666666666601</v>
      </c>
      <c r="F62" s="1">
        <v>2.7</v>
      </c>
      <c r="G62" s="1">
        <v>4.0999999999999996</v>
      </c>
      <c r="H62" s="1">
        <v>6.1</v>
      </c>
    </row>
    <row r="63" spans="1:8">
      <c r="A63" t="s">
        <v>1461</v>
      </c>
      <c r="B63" s="1">
        <v>3.0833333333333299</v>
      </c>
      <c r="C63" s="1">
        <v>3.41333333333333</v>
      </c>
      <c r="D63" s="1">
        <v>4.6299999999999901</v>
      </c>
      <c r="F63" s="1">
        <v>3</v>
      </c>
      <c r="G63" s="1">
        <v>4.2</v>
      </c>
      <c r="H63" s="1">
        <v>6.2</v>
      </c>
    </row>
    <row r="64" spans="1:8">
      <c r="A64" t="s">
        <v>1463</v>
      </c>
      <c r="B64" s="1">
        <v>3.57666666666666</v>
      </c>
      <c r="C64" s="1">
        <v>3.9833333333333298</v>
      </c>
      <c r="D64" s="1">
        <v>5.39333333333333</v>
      </c>
      <c r="F64" s="1">
        <v>2.9</v>
      </c>
      <c r="G64" s="1">
        <v>4.0999999999999996</v>
      </c>
      <c r="H64" s="1">
        <v>6</v>
      </c>
    </row>
    <row r="65" spans="1:8">
      <c r="A65" t="s">
        <v>1465</v>
      </c>
      <c r="B65" s="1">
        <v>3.03666666666666</v>
      </c>
      <c r="C65" s="1">
        <v>3.37</v>
      </c>
      <c r="D65" s="1">
        <v>4.58</v>
      </c>
      <c r="F65" s="1">
        <v>2.7</v>
      </c>
      <c r="G65" s="1">
        <v>4</v>
      </c>
      <c r="H65" s="1">
        <v>6.1</v>
      </c>
    </row>
    <row r="66" spans="1:8">
      <c r="A66" t="s">
        <v>1467</v>
      </c>
      <c r="B66" s="1">
        <v>2.9966666666666599</v>
      </c>
      <c r="C66" s="1">
        <v>3.3433333333333302</v>
      </c>
      <c r="D66" s="1">
        <v>4.5166666666666604</v>
      </c>
      <c r="F66" s="1">
        <v>2.5</v>
      </c>
      <c r="G66" s="1">
        <v>3.7</v>
      </c>
      <c r="H66" s="1">
        <v>6.5</v>
      </c>
    </row>
    <row r="67" spans="1:8">
      <c r="A67" t="s">
        <v>1468</v>
      </c>
      <c r="B67" s="1">
        <v>2.68333333333333</v>
      </c>
      <c r="C67" s="1">
        <v>2.9799999999999902</v>
      </c>
      <c r="D67" s="1">
        <v>4.0433333333333303</v>
      </c>
      <c r="F67" s="1">
        <v>2.2999999999999998</v>
      </c>
      <c r="G67" s="1">
        <v>3.3</v>
      </c>
      <c r="H67" s="1">
        <v>4.8</v>
      </c>
    </row>
    <row r="68" spans="1:8">
      <c r="A68" t="s">
        <v>1470</v>
      </c>
      <c r="B68" s="1">
        <v>1.62666666666666</v>
      </c>
      <c r="C68" s="1">
        <v>1.8099999999999901</v>
      </c>
      <c r="D68" s="1">
        <v>2.46999999999999</v>
      </c>
      <c r="F68" s="1">
        <v>1.9</v>
      </c>
      <c r="G68" s="1">
        <v>2.7</v>
      </c>
      <c r="H68" s="1">
        <v>4.0999999999999996</v>
      </c>
    </row>
    <row r="69" spans="1:8">
      <c r="A69" t="s">
        <v>1472</v>
      </c>
      <c r="B69" s="1">
        <v>1.2533333333333301</v>
      </c>
      <c r="C69" s="1">
        <v>1.3999999999999899</v>
      </c>
      <c r="D69" s="1">
        <v>1.9099999999999899</v>
      </c>
      <c r="F69" s="1">
        <v>1.4</v>
      </c>
      <c r="G69" s="1">
        <v>1.9</v>
      </c>
      <c r="H69" s="1">
        <v>3.2</v>
      </c>
    </row>
    <row r="70" spans="1:8">
      <c r="A70" t="s">
        <v>1474</v>
      </c>
      <c r="B70" s="1">
        <v>1.5633333333333299</v>
      </c>
      <c r="C70" s="1">
        <v>1.7366666666666599</v>
      </c>
      <c r="D70" s="1">
        <v>2.3633333333333302</v>
      </c>
      <c r="F70" s="1">
        <v>1.1000000000000001</v>
      </c>
      <c r="G70" s="1">
        <v>1.6</v>
      </c>
      <c r="H70" s="1">
        <v>2.6</v>
      </c>
    </row>
    <row r="71" spans="1:8">
      <c r="A71" t="s">
        <v>1478</v>
      </c>
      <c r="B71" s="1">
        <v>1.36333333333333</v>
      </c>
      <c r="C71" s="1">
        <v>1.5166666666666599</v>
      </c>
      <c r="D71" s="1">
        <v>2.0699999999999998</v>
      </c>
      <c r="F71" s="1">
        <v>1.1000000000000001</v>
      </c>
      <c r="G71" s="1">
        <v>1.6</v>
      </c>
      <c r="H71" s="1">
        <v>2.7</v>
      </c>
    </row>
    <row r="72" spans="1:8">
      <c r="A72" t="s">
        <v>1480</v>
      </c>
      <c r="B72" s="1">
        <v>1.4833333333333301</v>
      </c>
      <c r="C72" s="1">
        <v>1.6566666666666601</v>
      </c>
      <c r="D72" s="1">
        <v>2.2533333333333299</v>
      </c>
      <c r="F72" s="1">
        <v>1.1000000000000001</v>
      </c>
      <c r="G72" s="1">
        <v>1.6</v>
      </c>
      <c r="H72" s="1">
        <v>3</v>
      </c>
    </row>
    <row r="73" spans="1:8">
      <c r="A73" t="s">
        <v>1482</v>
      </c>
      <c r="B73" s="1">
        <v>1.26</v>
      </c>
      <c r="C73" s="1">
        <v>1.41333333333333</v>
      </c>
      <c r="D73" s="1">
        <v>1.92</v>
      </c>
      <c r="F73" s="1">
        <v>1.2</v>
      </c>
      <c r="G73" s="1">
        <v>1.7</v>
      </c>
      <c r="H73" s="1">
        <v>3.2</v>
      </c>
    </row>
    <row r="74" spans="1:8">
      <c r="A74" t="s">
        <v>1485</v>
      </c>
      <c r="B74" s="1">
        <v>1.27666666666666</v>
      </c>
      <c r="C74" s="1">
        <v>1.4166666666666601</v>
      </c>
      <c r="D74" s="1">
        <v>1.9366666666666601</v>
      </c>
      <c r="F74" s="1">
        <v>1.2</v>
      </c>
      <c r="G74" s="1">
        <v>1.7</v>
      </c>
      <c r="H74" s="1">
        <v>3.2</v>
      </c>
    </row>
    <row r="75" spans="1:8">
      <c r="A75" t="s">
        <v>1487</v>
      </c>
      <c r="B75" s="1">
        <v>1.71333333333333</v>
      </c>
      <c r="C75" s="1">
        <v>1.8999999999999899</v>
      </c>
      <c r="D75" s="1">
        <v>2.5833333333333299</v>
      </c>
      <c r="F75" s="1">
        <v>1.2</v>
      </c>
      <c r="G75" s="1">
        <v>1.8</v>
      </c>
      <c r="H75" s="1">
        <v>2.9</v>
      </c>
    </row>
    <row r="76" spans="1:8">
      <c r="A76" t="s">
        <v>1490</v>
      </c>
      <c r="B76" s="1">
        <v>2.25</v>
      </c>
      <c r="C76" s="1">
        <v>2.4966666666666599</v>
      </c>
      <c r="D76" s="1">
        <v>3.39333333333333</v>
      </c>
      <c r="F76" s="1">
        <v>1.4</v>
      </c>
      <c r="G76" s="1">
        <v>2.2000000000000002</v>
      </c>
      <c r="H76" s="1">
        <v>4.5</v>
      </c>
    </row>
    <row r="77" spans="1:8">
      <c r="A77" t="s">
        <v>1492</v>
      </c>
      <c r="B77" s="1">
        <v>2.16333333333333</v>
      </c>
      <c r="C77" s="1">
        <v>2.4033333333333302</v>
      </c>
      <c r="D77" s="1">
        <v>3.2633333333333301</v>
      </c>
      <c r="F77" s="1">
        <v>1.6</v>
      </c>
      <c r="G77" s="1">
        <v>2.6</v>
      </c>
      <c r="H77" s="1">
        <v>5</v>
      </c>
    </row>
    <row r="78" spans="1:8">
      <c r="A78" t="s">
        <v>1493</v>
      </c>
      <c r="B78" s="1">
        <v>2.66333333333333</v>
      </c>
      <c r="C78" s="1">
        <v>2.96999999999999</v>
      </c>
      <c r="D78" s="1">
        <v>4.0299999999999896</v>
      </c>
      <c r="F78" s="1">
        <v>1.7</v>
      </c>
      <c r="G78" s="1">
        <v>2.6</v>
      </c>
      <c r="H78" s="1">
        <v>4.9000000000000004</v>
      </c>
    </row>
    <row r="79" spans="1:8">
      <c r="A79" t="s">
        <v>1495</v>
      </c>
      <c r="B79" s="1">
        <v>2.9566666666666599</v>
      </c>
      <c r="C79" s="1">
        <v>3.28</v>
      </c>
      <c r="D79" s="1">
        <v>4.47</v>
      </c>
      <c r="F79" s="1">
        <v>1.9</v>
      </c>
      <c r="G79" s="1">
        <v>3.1</v>
      </c>
      <c r="H79" s="1">
        <v>5.9</v>
      </c>
    </row>
    <row r="80" spans="1:8">
      <c r="A80" t="s">
        <v>1497</v>
      </c>
      <c r="B80" s="1">
        <v>4.39333333333333</v>
      </c>
      <c r="C80" s="1">
        <v>4.8899999999999997</v>
      </c>
      <c r="D80" s="1">
        <v>6.6266666666666598</v>
      </c>
      <c r="F80" s="1">
        <v>2.2000000000000002</v>
      </c>
      <c r="G80" s="1">
        <v>3.9</v>
      </c>
      <c r="H80" s="1">
        <v>7.1</v>
      </c>
    </row>
    <row r="81" spans="1:8">
      <c r="A81" t="s">
        <v>1498</v>
      </c>
      <c r="B81" s="1">
        <v>3.6666666666666599</v>
      </c>
      <c r="C81" s="1">
        <v>4.0666666666666602</v>
      </c>
      <c r="D81" s="1">
        <v>5.53</v>
      </c>
      <c r="F81" s="1">
        <v>2.7</v>
      </c>
      <c r="G81" s="1">
        <v>4.5999999999999996</v>
      </c>
      <c r="H81" s="1">
        <v>7.7</v>
      </c>
    </row>
    <row r="82" spans="1:8">
      <c r="A82" t="s">
        <v>1500</v>
      </c>
      <c r="B82" s="1">
        <v>4.28666666666666</v>
      </c>
      <c r="C82" s="1">
        <v>4.75</v>
      </c>
      <c r="D82" s="1">
        <v>6.4433333333333298</v>
      </c>
      <c r="F82" s="1">
        <v>2.8</v>
      </c>
      <c r="G82" s="1">
        <v>4.5999999999999996</v>
      </c>
      <c r="H82" s="1">
        <v>7.9</v>
      </c>
    </row>
    <row r="83" spans="1:8">
      <c r="A83" t="s">
        <v>1503</v>
      </c>
      <c r="B83" s="1">
        <v>5.4766666666666604</v>
      </c>
      <c r="C83" s="1">
        <v>6.0933333333333302</v>
      </c>
      <c r="D83" s="1">
        <v>8.2566666666666606</v>
      </c>
      <c r="F83" s="1">
        <v>3.3</v>
      </c>
      <c r="G83" s="1">
        <v>5.4</v>
      </c>
      <c r="H83" s="1">
        <v>9.3000000000000007</v>
      </c>
    </row>
    <row r="84" spans="1:8">
      <c r="A84" t="s">
        <v>1506</v>
      </c>
      <c r="B84" s="1">
        <v>7.25</v>
      </c>
      <c r="C84" s="1">
        <v>8.0433333333333294</v>
      </c>
      <c r="D84" s="1">
        <v>10.886666666666599</v>
      </c>
      <c r="F84" s="1">
        <v>3.9</v>
      </c>
      <c r="G84" s="1">
        <v>6.8</v>
      </c>
      <c r="H84" s="1">
        <v>12</v>
      </c>
    </row>
    <row r="85" spans="1:8">
      <c r="A85" t="s">
        <v>1508</v>
      </c>
      <c r="B85" s="1">
        <v>10.0166666666666</v>
      </c>
      <c r="C85" s="1">
        <v>11.133333333333301</v>
      </c>
      <c r="D85" s="1">
        <v>15.046666666666599</v>
      </c>
      <c r="F85" s="1">
        <v>4.5999999999999996</v>
      </c>
      <c r="G85" s="1">
        <v>8.8000000000000007</v>
      </c>
      <c r="H85" s="1">
        <v>15.2</v>
      </c>
    </row>
    <row r="86" spans="1:8">
      <c r="A86" t="s">
        <v>1510</v>
      </c>
      <c r="B86" s="1">
        <v>10.199999999999999</v>
      </c>
      <c r="C86" s="1">
        <v>11.3366666666666</v>
      </c>
      <c r="D86" s="1">
        <v>15.3266666666666</v>
      </c>
      <c r="F86" s="1">
        <v>5.0999999999999996</v>
      </c>
      <c r="G86" s="1">
        <v>10.199999999999999</v>
      </c>
      <c r="H86" s="1">
        <v>16.8</v>
      </c>
    </row>
    <row r="87" spans="1:8">
      <c r="A87" t="s">
        <v>1513</v>
      </c>
      <c r="B87" s="1">
        <v>9.6999999999999993</v>
      </c>
      <c r="C87" s="1">
        <v>10.7666666666666</v>
      </c>
      <c r="D87" s="1">
        <v>14.569999999999901</v>
      </c>
      <c r="F87" s="1">
        <v>5.2</v>
      </c>
      <c r="G87" s="1">
        <v>10.199999999999999</v>
      </c>
      <c r="H87" s="1">
        <v>16.7</v>
      </c>
    </row>
    <row r="88" spans="1:8">
      <c r="A88" t="s">
        <v>1515</v>
      </c>
      <c r="B88" s="1">
        <v>10.0266666666666</v>
      </c>
      <c r="C88" s="1">
        <v>11.136666666666599</v>
      </c>
      <c r="D88" s="1">
        <v>15.06</v>
      </c>
      <c r="F88" s="1">
        <v>5</v>
      </c>
      <c r="G88" s="1">
        <v>9.6</v>
      </c>
      <c r="H88" s="1">
        <v>14.9</v>
      </c>
    </row>
    <row r="89" spans="1:8">
      <c r="A89" t="s">
        <v>1517</v>
      </c>
      <c r="B89" s="1">
        <v>10.639999999999899</v>
      </c>
      <c r="C89" s="1">
        <v>11.81</v>
      </c>
      <c r="D89" s="1">
        <v>15.969999999999899</v>
      </c>
      <c r="F89" s="1">
        <v>5.3</v>
      </c>
      <c r="G89" s="1">
        <v>10.1</v>
      </c>
      <c r="H89" s="1">
        <v>16.5</v>
      </c>
    </row>
    <row r="90" spans="1:8">
      <c r="A90" t="s">
        <v>1520</v>
      </c>
      <c r="B90" s="1">
        <v>12.7866666666666</v>
      </c>
      <c r="C90" s="1">
        <v>14.19</v>
      </c>
      <c r="D90" s="1">
        <v>19.2</v>
      </c>
      <c r="F90" s="1">
        <v>5.7</v>
      </c>
      <c r="G90" s="1">
        <v>11</v>
      </c>
      <c r="H90" s="1">
        <v>17.600000000000001</v>
      </c>
    </row>
    <row r="91" spans="1:8">
      <c r="A91" t="s">
        <v>1523</v>
      </c>
      <c r="B91" s="1">
        <v>10.5233333333333</v>
      </c>
      <c r="C91" s="1">
        <v>11.6766666666666</v>
      </c>
      <c r="D91" s="1">
        <v>15.803333333333301</v>
      </c>
      <c r="F91" s="1">
        <v>6.3</v>
      </c>
      <c r="G91" s="1">
        <v>12.1</v>
      </c>
      <c r="H91" s="1">
        <v>18.8</v>
      </c>
    </row>
    <row r="92" spans="1:8">
      <c r="A92" t="s">
        <v>1526</v>
      </c>
      <c r="B92" s="1">
        <v>12.0899999999999</v>
      </c>
      <c r="C92" s="1">
        <v>13.42</v>
      </c>
      <c r="D92" s="1">
        <v>18.1666666666666</v>
      </c>
      <c r="F92" s="1">
        <v>5.7</v>
      </c>
      <c r="G92" s="1">
        <v>11.2</v>
      </c>
      <c r="H92" s="1">
        <v>17.5</v>
      </c>
    </row>
    <row r="93" spans="1:8">
      <c r="A93" t="s">
        <v>1530</v>
      </c>
      <c r="B93" s="1">
        <v>14.736666666666601</v>
      </c>
      <c r="C93" s="1">
        <v>16.3666666666666</v>
      </c>
      <c r="D93" s="1">
        <v>22.13</v>
      </c>
      <c r="F93" s="1">
        <v>6.2</v>
      </c>
      <c r="G93" s="1">
        <v>12.3</v>
      </c>
      <c r="H93" s="1">
        <v>19.899999999999999</v>
      </c>
    </row>
    <row r="94" spans="1:8">
      <c r="A94" t="s">
        <v>1533</v>
      </c>
      <c r="B94" s="1">
        <v>14.6733333333333</v>
      </c>
      <c r="C94" s="1">
        <v>16.283333333333299</v>
      </c>
      <c r="D94" s="1">
        <v>22.02</v>
      </c>
      <c r="F94" s="1">
        <v>7.3</v>
      </c>
      <c r="G94" s="1">
        <v>14.2</v>
      </c>
      <c r="H94" s="1">
        <v>22.6</v>
      </c>
    </row>
    <row r="95" spans="1:8">
      <c r="A95" t="s">
        <v>1538</v>
      </c>
      <c r="B95" s="1">
        <v>13.719999999999899</v>
      </c>
      <c r="C95" s="1">
        <v>15.233333333333301</v>
      </c>
      <c r="D95" s="1">
        <v>20.6033333333333</v>
      </c>
      <c r="F95" s="1">
        <v>7.2</v>
      </c>
      <c r="G95" s="1">
        <v>13.8</v>
      </c>
      <c r="H95" s="1">
        <v>21.3</v>
      </c>
    </row>
    <row r="96" spans="1:8">
      <c r="A96" t="s">
        <v>1541</v>
      </c>
      <c r="B96" s="1">
        <v>14.0266666666666</v>
      </c>
      <c r="C96" s="1">
        <v>15.58</v>
      </c>
      <c r="D96" s="1">
        <v>21.063333333333301</v>
      </c>
      <c r="F96" s="1">
        <v>6.8</v>
      </c>
      <c r="G96" s="1">
        <v>12.8</v>
      </c>
      <c r="H96" s="1">
        <v>19</v>
      </c>
    </row>
    <row r="97" spans="1:8">
      <c r="A97" t="s">
        <v>1544</v>
      </c>
      <c r="B97" s="1">
        <v>13.983333333333301</v>
      </c>
      <c r="C97" s="1">
        <v>15.5266666666666</v>
      </c>
      <c r="D97" s="1">
        <v>21</v>
      </c>
      <c r="F97" s="1">
        <v>6.9</v>
      </c>
      <c r="G97" s="1">
        <v>13</v>
      </c>
      <c r="H97" s="1">
        <v>19.100000000000001</v>
      </c>
    </row>
    <row r="98" spans="1:8">
      <c r="A98" t="s">
        <v>1547</v>
      </c>
      <c r="B98" s="1">
        <v>12.043333333333299</v>
      </c>
      <c r="C98" s="1">
        <v>13.386666666666599</v>
      </c>
      <c r="D98" s="1">
        <v>18.100000000000001</v>
      </c>
      <c r="F98" s="1">
        <v>6.6</v>
      </c>
      <c r="G98" s="1">
        <v>12.4</v>
      </c>
      <c r="H98" s="1">
        <v>18.899999999999999</v>
      </c>
    </row>
    <row r="99" spans="1:8">
      <c r="A99" t="s">
        <v>1550</v>
      </c>
      <c r="B99" s="1">
        <v>11.7866666666666</v>
      </c>
      <c r="C99" s="1">
        <v>13.0833333333333</v>
      </c>
      <c r="D99" s="1">
        <v>17.703333333333301</v>
      </c>
      <c r="F99" s="1">
        <v>6.4</v>
      </c>
      <c r="G99" s="1">
        <v>11.9</v>
      </c>
      <c r="H99" s="1">
        <v>17.399999999999999</v>
      </c>
    </row>
    <row r="100" spans="1:8">
      <c r="A100" t="s">
        <v>1554</v>
      </c>
      <c r="B100" s="1">
        <v>13.0133333333333</v>
      </c>
      <c r="C100" s="1">
        <v>14.453333333333299</v>
      </c>
      <c r="D100" s="1">
        <v>19.553333333333299</v>
      </c>
      <c r="F100" s="1">
        <v>6.2</v>
      </c>
      <c r="G100" s="1">
        <v>11.6</v>
      </c>
      <c r="H100" s="1">
        <v>17.3</v>
      </c>
    </row>
    <row r="101" spans="1:8">
      <c r="A101" t="s">
        <v>1557</v>
      </c>
      <c r="B101" s="1">
        <v>13.5233333333333</v>
      </c>
      <c r="C101" s="1">
        <v>15.01</v>
      </c>
      <c r="D101" s="1">
        <v>20.303333333333299</v>
      </c>
      <c r="F101" s="1">
        <v>6.2</v>
      </c>
      <c r="G101" s="1">
        <v>12</v>
      </c>
      <c r="H101" s="1">
        <v>18.5</v>
      </c>
    </row>
    <row r="102" spans="1:8">
      <c r="A102" t="s">
        <v>1560</v>
      </c>
      <c r="B102" s="1">
        <v>12</v>
      </c>
      <c r="C102" s="1">
        <v>13.329999999999901</v>
      </c>
      <c r="D102" s="1">
        <v>18.023333333333301</v>
      </c>
      <c r="F102" s="1">
        <v>6</v>
      </c>
      <c r="G102" s="1">
        <v>12.1</v>
      </c>
      <c r="H102" s="1">
        <v>19.7</v>
      </c>
    </row>
    <row r="103" spans="1:8">
      <c r="A103" t="s">
        <v>1562</v>
      </c>
      <c r="B103" s="1">
        <v>12.1999999999999</v>
      </c>
      <c r="C103" s="1">
        <v>13.546666666666599</v>
      </c>
      <c r="D103" s="1">
        <v>18.329999999999998</v>
      </c>
      <c r="F103" s="1">
        <v>5.9</v>
      </c>
      <c r="G103" s="1">
        <v>11.7</v>
      </c>
      <c r="H103" s="1">
        <v>18.899999999999999</v>
      </c>
    </row>
    <row r="104" spans="1:8">
      <c r="A104" t="s">
        <v>1564</v>
      </c>
      <c r="B104" s="1">
        <v>12.806666666666599</v>
      </c>
      <c r="C104" s="1">
        <v>14.22</v>
      </c>
      <c r="D104" s="1">
        <v>19.226666666666599</v>
      </c>
      <c r="F104" s="1">
        <v>6.2</v>
      </c>
      <c r="G104" s="1">
        <v>12.3</v>
      </c>
      <c r="H104" s="1">
        <v>20.100000000000001</v>
      </c>
    </row>
    <row r="105" spans="1:8">
      <c r="A105" t="s">
        <v>1566</v>
      </c>
      <c r="B105" s="1">
        <v>12.6699999999999</v>
      </c>
      <c r="C105" s="1">
        <v>14.07</v>
      </c>
      <c r="D105" s="1">
        <v>19.036666666666601</v>
      </c>
      <c r="F105" s="1">
        <v>6</v>
      </c>
      <c r="G105" s="1">
        <v>11.8</v>
      </c>
      <c r="H105" s="1">
        <v>18.100000000000001</v>
      </c>
    </row>
    <row r="106" spans="1:8">
      <c r="A106" t="s">
        <v>1568</v>
      </c>
      <c r="B106" s="1">
        <v>11.5766666666666</v>
      </c>
      <c r="C106" s="1">
        <v>12.8533333333333</v>
      </c>
      <c r="D106" s="1">
        <v>17.399999999999899</v>
      </c>
      <c r="F106" s="1">
        <v>6.1</v>
      </c>
      <c r="G106" s="1">
        <v>12.1</v>
      </c>
      <c r="H106" s="1">
        <v>19</v>
      </c>
    </row>
    <row r="107" spans="1:8">
      <c r="A107" t="s">
        <v>1570</v>
      </c>
      <c r="B107" s="1">
        <v>10.979999999999899</v>
      </c>
      <c r="C107" s="1">
        <v>12.1966666666666</v>
      </c>
      <c r="D107" s="1">
        <v>16.496666666666599</v>
      </c>
      <c r="F107" s="1">
        <v>5.9</v>
      </c>
      <c r="G107" s="1">
        <v>11.2</v>
      </c>
      <c r="H107" s="1">
        <v>17.3</v>
      </c>
    </row>
    <row r="108" spans="1:8">
      <c r="A108" t="s">
        <v>1572</v>
      </c>
      <c r="B108" s="1">
        <v>10.1066666666666</v>
      </c>
      <c r="C108" s="1">
        <v>11.223333333333301</v>
      </c>
      <c r="D108" s="1">
        <v>15.1933333333333</v>
      </c>
      <c r="F108" s="1">
        <v>5.4</v>
      </c>
      <c r="G108" s="1">
        <v>10.3</v>
      </c>
      <c r="H108" s="1">
        <v>15.7</v>
      </c>
    </row>
    <row r="109" spans="1:8">
      <c r="A109" t="s">
        <v>1576</v>
      </c>
      <c r="B109" s="1">
        <v>8.8733333333333295</v>
      </c>
      <c r="C109" s="1">
        <v>9.8699999999999992</v>
      </c>
      <c r="D109" s="1">
        <v>13.3499999999999</v>
      </c>
      <c r="F109" s="1">
        <v>5.2</v>
      </c>
      <c r="G109" s="1">
        <v>9.9</v>
      </c>
      <c r="H109" s="1">
        <v>15.3</v>
      </c>
    </row>
    <row r="110" spans="1:8">
      <c r="A110" t="s">
        <v>1578</v>
      </c>
      <c r="B110" s="1">
        <v>8.7966666666666598</v>
      </c>
      <c r="C110" s="1">
        <v>9.7733333333333299</v>
      </c>
      <c r="D110" s="1">
        <v>13.229999999999899</v>
      </c>
      <c r="F110" s="1">
        <v>5.0999999999999996</v>
      </c>
      <c r="G110" s="1">
        <v>9.4</v>
      </c>
      <c r="H110" s="1">
        <v>14.3</v>
      </c>
    </row>
    <row r="111" spans="1:8">
      <c r="A111" t="s">
        <v>1582</v>
      </c>
      <c r="B111" s="1">
        <v>9.5689655172413701</v>
      </c>
      <c r="C111" s="1">
        <v>10.627586206896501</v>
      </c>
      <c r="D111" s="1">
        <v>14.3793103448275</v>
      </c>
      <c r="F111" s="1">
        <v>5.8</v>
      </c>
      <c r="G111" s="1">
        <v>9.9</v>
      </c>
      <c r="H111" s="1">
        <v>14.1</v>
      </c>
    </row>
    <row r="112" spans="1:8">
      <c r="A112" t="s">
        <v>1585</v>
      </c>
      <c r="B112" s="1">
        <v>7.6633333333333304</v>
      </c>
      <c r="C112" s="1">
        <v>8.4999999999999893</v>
      </c>
      <c r="D112" s="1">
        <v>11.5233333333333</v>
      </c>
      <c r="F112" s="1">
        <v>5.3</v>
      </c>
      <c r="G112" s="1">
        <v>9</v>
      </c>
      <c r="H112" s="1">
        <v>12.6</v>
      </c>
    </row>
    <row r="113" spans="1:8">
      <c r="A113" t="s">
        <v>1588</v>
      </c>
      <c r="B113" s="1">
        <v>5.81</v>
      </c>
      <c r="C113" s="1">
        <v>6.4466666666666601</v>
      </c>
      <c r="D113" s="1">
        <v>8.73</v>
      </c>
      <c r="F113" s="1">
        <v>4.5</v>
      </c>
      <c r="G113" s="1">
        <v>7.8</v>
      </c>
      <c r="H113" s="1">
        <v>10.8</v>
      </c>
    </row>
    <row r="114" spans="1:8">
      <c r="A114" t="s">
        <v>1590</v>
      </c>
      <c r="B114" s="1">
        <v>6.0758620689655096</v>
      </c>
      <c r="C114" s="1">
        <v>6.74482758620689</v>
      </c>
      <c r="D114" s="1">
        <v>9.1482758620689602</v>
      </c>
      <c r="F114" s="1">
        <v>3.6</v>
      </c>
      <c r="G114" s="1">
        <v>6.6</v>
      </c>
      <c r="H114" s="1">
        <v>10.1</v>
      </c>
    </row>
    <row r="115" spans="1:8">
      <c r="A115" t="s">
        <v>1592</v>
      </c>
      <c r="B115" s="1">
        <v>7.4451612903225799</v>
      </c>
      <c r="C115" s="1">
        <v>8.2612903225806402</v>
      </c>
      <c r="D115" s="1">
        <v>11.1903225806451</v>
      </c>
      <c r="F115" s="1">
        <v>3.7</v>
      </c>
      <c r="G115" s="1">
        <v>6.6</v>
      </c>
      <c r="H115" s="1">
        <v>9.8000000000000007</v>
      </c>
    </row>
    <row r="116" spans="1:8">
      <c r="A116" t="s">
        <v>1594</v>
      </c>
      <c r="B116" s="1">
        <v>6.96999999999999</v>
      </c>
      <c r="C116" s="1">
        <v>7.7566666666666597</v>
      </c>
      <c r="D116" s="1">
        <v>10.486666666666601</v>
      </c>
      <c r="F116" s="1">
        <v>4.2</v>
      </c>
      <c r="G116" s="1">
        <v>7.6</v>
      </c>
      <c r="H116" s="1">
        <v>11.6</v>
      </c>
    </row>
    <row r="117" spans="1:8">
      <c r="A117" t="s">
        <v>1597</v>
      </c>
      <c r="B117" s="1">
        <v>7.7033333333333296</v>
      </c>
      <c r="C117" s="1">
        <v>8.5666666666666593</v>
      </c>
      <c r="D117" s="1">
        <v>11.5766666666666</v>
      </c>
      <c r="F117" s="1">
        <v>4</v>
      </c>
      <c r="G117" s="1">
        <v>7.7</v>
      </c>
      <c r="H117" s="1">
        <v>12.4</v>
      </c>
    </row>
    <row r="118" spans="1:8">
      <c r="A118" t="s">
        <v>1599</v>
      </c>
      <c r="B118" s="1">
        <v>7.46</v>
      </c>
      <c r="C118" s="1">
        <v>8.2733333333333299</v>
      </c>
      <c r="D118" s="1">
        <v>11.203333333333299</v>
      </c>
      <c r="F118" s="1">
        <v>4.0999999999999996</v>
      </c>
      <c r="G118" s="1">
        <v>8.5</v>
      </c>
      <c r="H118" s="1">
        <v>14.4</v>
      </c>
    </row>
    <row r="119" spans="1:8">
      <c r="A119" t="s">
        <v>1602</v>
      </c>
      <c r="B119" s="1">
        <v>5.2666666666666604</v>
      </c>
      <c r="C119" s="1">
        <v>5.8466666666666596</v>
      </c>
      <c r="D119" s="1">
        <v>7.9099999999999904</v>
      </c>
      <c r="F119" s="1">
        <v>4.3</v>
      </c>
      <c r="G119" s="1">
        <v>8.9</v>
      </c>
      <c r="H119" s="1">
        <v>16.899999999999999</v>
      </c>
    </row>
    <row r="120" spans="1:8">
      <c r="A120" t="s">
        <v>1605</v>
      </c>
      <c r="B120" s="1">
        <v>5.2566666666666597</v>
      </c>
      <c r="C120" s="1">
        <v>5.84</v>
      </c>
      <c r="D120" s="1">
        <v>7.9066666666666601</v>
      </c>
      <c r="F120" s="1">
        <v>4</v>
      </c>
      <c r="G120" s="1">
        <v>7.8</v>
      </c>
      <c r="H120" s="1">
        <v>15</v>
      </c>
    </row>
    <row r="121" spans="1:8">
      <c r="A121" t="s">
        <v>1607</v>
      </c>
      <c r="B121" s="1">
        <v>4.5066666666666597</v>
      </c>
      <c r="C121" s="1">
        <v>5.0166666666666604</v>
      </c>
      <c r="D121" s="1">
        <v>6.7966666666666598</v>
      </c>
      <c r="F121" s="1">
        <v>3.9</v>
      </c>
      <c r="G121" s="1">
        <v>7.3</v>
      </c>
      <c r="H121" s="1">
        <v>14.9</v>
      </c>
    </row>
    <row r="122" spans="1:8">
      <c r="A122" t="s">
        <v>1608</v>
      </c>
      <c r="B122" s="1">
        <v>4.37</v>
      </c>
      <c r="C122" s="1">
        <v>4.86666666666666</v>
      </c>
      <c r="D122" s="1">
        <v>6.59</v>
      </c>
      <c r="F122" s="1">
        <v>3.6</v>
      </c>
      <c r="G122" s="1">
        <v>6.4</v>
      </c>
      <c r="H122" s="1">
        <v>11.7</v>
      </c>
    </row>
    <row r="123" spans="1:8">
      <c r="A123" t="s">
        <v>1610</v>
      </c>
      <c r="B123" s="1">
        <v>3.48999999999999</v>
      </c>
      <c r="C123" s="1">
        <v>3.88</v>
      </c>
      <c r="D123" s="1">
        <v>5.26</v>
      </c>
      <c r="F123" s="1">
        <v>3.6</v>
      </c>
      <c r="G123" s="1">
        <v>6.1</v>
      </c>
      <c r="H123" s="1">
        <v>9.6999999999999993</v>
      </c>
    </row>
    <row r="124" spans="1:8">
      <c r="A124" t="s">
        <v>1612</v>
      </c>
      <c r="B124" s="1">
        <v>4.13</v>
      </c>
      <c r="C124" s="1">
        <v>4.59</v>
      </c>
      <c r="D124" s="1">
        <v>6.2266666666666604</v>
      </c>
      <c r="F124" s="1">
        <v>4.0999999999999996</v>
      </c>
      <c r="G124" s="1">
        <v>6.7</v>
      </c>
      <c r="H124" s="1">
        <v>10.7</v>
      </c>
    </row>
    <row r="125" spans="1:8">
      <c r="A125" t="s">
        <v>1614</v>
      </c>
      <c r="B125" s="1">
        <v>4.2133333333333303</v>
      </c>
      <c r="C125" s="1">
        <v>4.6933333333333298</v>
      </c>
      <c r="D125" s="1">
        <v>6.3466666666666596</v>
      </c>
      <c r="F125" s="1">
        <v>4.4000000000000004</v>
      </c>
      <c r="G125" s="1">
        <v>7.3</v>
      </c>
      <c r="H125" s="1">
        <v>12.6</v>
      </c>
    </row>
    <row r="126" spans="1:8">
      <c r="A126" t="s">
        <v>1616</v>
      </c>
      <c r="B126" s="1">
        <v>4.51</v>
      </c>
      <c r="C126" s="1">
        <v>5.0299999999999896</v>
      </c>
      <c r="D126" s="1">
        <v>6.7933333333333303</v>
      </c>
      <c r="F126" s="1">
        <v>4.2</v>
      </c>
      <c r="G126" s="1">
        <v>7</v>
      </c>
      <c r="H126" s="1">
        <v>11.1</v>
      </c>
    </row>
    <row r="127" spans="1:8">
      <c r="A127" t="s">
        <v>1618</v>
      </c>
      <c r="B127" s="1">
        <v>3.9966666666666599</v>
      </c>
      <c r="C127" s="1">
        <v>4.4366666666666603</v>
      </c>
      <c r="D127" s="1">
        <v>6.0233333333333299</v>
      </c>
      <c r="F127" s="1">
        <v>4.5999999999999996</v>
      </c>
      <c r="G127" s="1">
        <v>7.3</v>
      </c>
      <c r="H127" s="1">
        <v>10.9</v>
      </c>
    </row>
    <row r="128" spans="1:8">
      <c r="A128" t="s">
        <v>1620</v>
      </c>
      <c r="B128" s="1">
        <v>6.8633333333333297</v>
      </c>
      <c r="C128" s="1">
        <v>7.6133333333333297</v>
      </c>
      <c r="D128" s="1">
        <v>10.316666666666601</v>
      </c>
      <c r="F128" s="1">
        <v>4.5</v>
      </c>
      <c r="G128" s="1">
        <v>6.8</v>
      </c>
      <c r="H128" s="1">
        <v>9.1999999999999993</v>
      </c>
    </row>
    <row r="129" spans="1:8">
      <c r="A129" t="s">
        <v>1622</v>
      </c>
      <c r="B129" s="1">
        <v>4.5466666666666598</v>
      </c>
      <c r="C129" s="1">
        <v>5.0533333333333301</v>
      </c>
      <c r="D129" s="1">
        <v>6.8533333333333299</v>
      </c>
      <c r="F129" s="1">
        <v>4.4000000000000004</v>
      </c>
      <c r="G129" s="1">
        <v>6.4</v>
      </c>
      <c r="H129" s="1">
        <v>8.6</v>
      </c>
    </row>
    <row r="130" spans="1:8">
      <c r="A130" t="s">
        <v>1623</v>
      </c>
      <c r="B130" s="1">
        <v>4.21</v>
      </c>
      <c r="C130" s="1">
        <v>4.6766666666666596</v>
      </c>
      <c r="D130" s="1">
        <v>6.3366666666666598</v>
      </c>
      <c r="F130" s="1">
        <v>3.6</v>
      </c>
      <c r="G130" s="1">
        <v>5.6</v>
      </c>
      <c r="H130" s="1">
        <v>10.1</v>
      </c>
    </row>
    <row r="131" spans="1:8">
      <c r="A131" t="s">
        <v>1625</v>
      </c>
      <c r="B131" s="1">
        <v>3.94</v>
      </c>
      <c r="C131" s="1">
        <v>4.38</v>
      </c>
      <c r="D131" s="1">
        <v>5.93</v>
      </c>
      <c r="F131" s="1">
        <v>4</v>
      </c>
      <c r="G131" s="1">
        <v>6.2</v>
      </c>
      <c r="H131" s="1">
        <v>9.4</v>
      </c>
    </row>
    <row r="132" spans="1:8">
      <c r="A132" t="s">
        <v>1627</v>
      </c>
      <c r="B132" s="1">
        <v>5.0199999999999996</v>
      </c>
      <c r="C132" s="1">
        <v>5.57</v>
      </c>
      <c r="D132" s="1">
        <v>7.5499999999999901</v>
      </c>
      <c r="F132" s="1">
        <v>4.3</v>
      </c>
      <c r="G132" s="1">
        <v>7</v>
      </c>
      <c r="H132" s="1">
        <v>11.6</v>
      </c>
    </row>
    <row r="133" spans="1:8">
      <c r="A133" t="s">
        <v>1629</v>
      </c>
      <c r="B133" s="1">
        <v>4.1900000000000004</v>
      </c>
      <c r="C133" s="1">
        <v>4.6566666666666601</v>
      </c>
      <c r="D133" s="1">
        <v>6.2966666666666598</v>
      </c>
      <c r="F133" s="1">
        <v>4.0999999999999996</v>
      </c>
      <c r="G133" s="1">
        <v>6.8</v>
      </c>
      <c r="H133" s="1">
        <v>11.3</v>
      </c>
    </row>
    <row r="134" spans="1:8">
      <c r="A134" t="s">
        <v>1631</v>
      </c>
      <c r="B134" s="1">
        <v>3.7933333333333299</v>
      </c>
      <c r="C134" s="1">
        <v>4.2066666666666599</v>
      </c>
      <c r="D134" s="1">
        <v>5.7033333333333296</v>
      </c>
      <c r="F134" s="1">
        <v>4.0999999999999996</v>
      </c>
      <c r="G134" s="1">
        <v>6.7</v>
      </c>
      <c r="H134" s="1">
        <v>10.9</v>
      </c>
    </row>
    <row r="135" spans="1:8">
      <c r="A135" t="s">
        <v>1633</v>
      </c>
      <c r="B135" s="1">
        <v>2.4966666666666599</v>
      </c>
      <c r="C135" s="1">
        <v>2.7766666666666602</v>
      </c>
      <c r="D135" s="1">
        <v>3.78</v>
      </c>
      <c r="F135" s="1">
        <v>3.8</v>
      </c>
      <c r="G135" s="1">
        <v>5.9</v>
      </c>
      <c r="H135" s="1">
        <v>9.6</v>
      </c>
    </row>
    <row r="136" spans="1:8">
      <c r="A136" t="s">
        <v>1635</v>
      </c>
      <c r="B136" s="1">
        <v>1.7933333333333299</v>
      </c>
      <c r="C136" s="1">
        <v>2.0066666666666602</v>
      </c>
      <c r="D136" s="1">
        <v>2.7133333333333298</v>
      </c>
      <c r="F136" s="1">
        <v>2.7</v>
      </c>
      <c r="G136" s="1">
        <v>3.6</v>
      </c>
      <c r="H136" s="1">
        <v>5.3</v>
      </c>
    </row>
    <row r="137" spans="1:8">
      <c r="A137" t="s">
        <v>1637</v>
      </c>
      <c r="B137" s="1">
        <v>1.44333333333333</v>
      </c>
      <c r="C137" s="1">
        <v>1.6033333333333299</v>
      </c>
      <c r="D137" s="1">
        <v>2.1766666666666601</v>
      </c>
      <c r="F137" s="1">
        <v>2</v>
      </c>
      <c r="G137" s="1">
        <v>2.5</v>
      </c>
      <c r="H137" s="1">
        <v>3.6</v>
      </c>
    </row>
    <row r="138" spans="1:8">
      <c r="A138" t="s">
        <v>1639</v>
      </c>
      <c r="B138" s="1">
        <v>0.95333333333333303</v>
      </c>
      <c r="C138" s="1">
        <v>1.05666666666666</v>
      </c>
      <c r="D138" s="1">
        <v>1.46</v>
      </c>
      <c r="F138" s="1">
        <v>1.8</v>
      </c>
      <c r="G138" s="1">
        <v>2.2999999999999998</v>
      </c>
      <c r="H138" s="1">
        <v>3.7</v>
      </c>
    </row>
    <row r="139" spans="1:8">
      <c r="A139" t="s">
        <v>1641</v>
      </c>
      <c r="B139" s="1">
        <v>1.7666666666666599</v>
      </c>
      <c r="C139" s="1">
        <v>1.9666666666666599</v>
      </c>
      <c r="D139" s="1">
        <v>2.6766666666666601</v>
      </c>
      <c r="F139" s="1">
        <v>1.8</v>
      </c>
      <c r="G139" s="1">
        <v>2.2999999999999998</v>
      </c>
      <c r="H139" s="1">
        <v>3.1</v>
      </c>
    </row>
    <row r="140" spans="1:8">
      <c r="A140" t="s">
        <v>1643</v>
      </c>
      <c r="B140" s="1">
        <v>2.2166666666666601</v>
      </c>
      <c r="C140" s="1">
        <v>2.4700000000000002</v>
      </c>
      <c r="D140" s="1">
        <v>3.36666666666666</v>
      </c>
      <c r="F140" s="1">
        <v>2.2999999999999998</v>
      </c>
      <c r="G140" s="1">
        <v>2.8</v>
      </c>
      <c r="H140" s="1">
        <v>3.6</v>
      </c>
    </row>
    <row r="141" spans="1:8">
      <c r="A141" t="s">
        <v>1644</v>
      </c>
      <c r="B141" s="1">
        <v>2.5799999999999899</v>
      </c>
      <c r="C141" s="1">
        <v>2.87333333333333</v>
      </c>
      <c r="D141" s="1">
        <v>3.8966666666666598</v>
      </c>
      <c r="F141" s="1">
        <v>3.4</v>
      </c>
      <c r="G141" s="1">
        <v>3.9</v>
      </c>
      <c r="H141" s="1">
        <v>5</v>
      </c>
    </row>
    <row r="142" spans="1:8">
      <c r="A142" t="s">
        <v>1646</v>
      </c>
      <c r="B142" s="1">
        <v>0.75</v>
      </c>
      <c r="C142" s="1">
        <v>0.84666666666666601</v>
      </c>
      <c r="D142" s="1">
        <v>1.17</v>
      </c>
      <c r="F142" s="1">
        <v>2.7</v>
      </c>
      <c r="G142" s="1">
        <v>3.2</v>
      </c>
      <c r="H142" s="1">
        <v>4.9000000000000004</v>
      </c>
    </row>
    <row r="143" spans="1:8">
      <c r="A143" t="s">
        <v>1648</v>
      </c>
      <c r="B143" s="1">
        <v>0.68333333333333302</v>
      </c>
      <c r="C143" s="1">
        <v>0.76333333333333298</v>
      </c>
      <c r="D143" s="1">
        <v>1.05666666666666</v>
      </c>
      <c r="F143" s="1">
        <v>1</v>
      </c>
      <c r="G143" s="1">
        <v>1.2</v>
      </c>
      <c r="H143" s="1">
        <v>2</v>
      </c>
    </row>
    <row r="144" spans="1:8">
      <c r="A144" t="s">
        <v>1651</v>
      </c>
      <c r="B144" s="1">
        <v>0.47</v>
      </c>
      <c r="C144" s="1">
        <v>0.543333333333333</v>
      </c>
      <c r="D144" s="1">
        <v>0.74666666666666603</v>
      </c>
      <c r="F144" s="1">
        <v>0.7</v>
      </c>
      <c r="G144" s="1">
        <v>1</v>
      </c>
      <c r="H144" s="1">
        <v>1.7</v>
      </c>
    </row>
    <row r="145" spans="1:8">
      <c r="A145" t="s">
        <v>1654</v>
      </c>
      <c r="B145" s="1">
        <v>0.56999999999999995</v>
      </c>
      <c r="C145" s="1">
        <v>0.63333333333333297</v>
      </c>
      <c r="D145" s="1">
        <v>0.87666666666666604</v>
      </c>
      <c r="F145" s="1">
        <v>0.6</v>
      </c>
      <c r="G145" s="1">
        <v>0.9</v>
      </c>
      <c r="H145" s="1">
        <v>2.4</v>
      </c>
    </row>
    <row r="146" spans="1:8">
      <c r="A146" t="s">
        <v>1658</v>
      </c>
      <c r="B146" s="1">
        <v>0.56999999999999895</v>
      </c>
      <c r="C146" s="1">
        <v>0.61333333333333295</v>
      </c>
      <c r="D146" s="1">
        <v>0.85666666666666602</v>
      </c>
      <c r="F146" s="1">
        <v>0.6</v>
      </c>
      <c r="G146" s="1">
        <v>0.9</v>
      </c>
      <c r="H146" s="1">
        <v>1.8</v>
      </c>
    </row>
    <row r="147" spans="1:8">
      <c r="A147" t="s">
        <v>1660</v>
      </c>
      <c r="B147" s="1">
        <v>0.353333333333333</v>
      </c>
      <c r="C147" s="1">
        <v>0.39333333333333298</v>
      </c>
      <c r="D147" s="1">
        <v>0.62666666666666604</v>
      </c>
      <c r="F147" s="1">
        <v>0.5</v>
      </c>
      <c r="G147" s="1">
        <v>0.7</v>
      </c>
      <c r="H147" s="1">
        <v>1.3</v>
      </c>
    </row>
    <row r="148" spans="1:8">
      <c r="A148" t="s">
        <v>1662</v>
      </c>
      <c r="B148" s="1">
        <v>0.38333333333333303</v>
      </c>
      <c r="C148" s="1">
        <v>0.42666666666666597</v>
      </c>
      <c r="D148" s="1">
        <v>0.60333333333333306</v>
      </c>
      <c r="F148" s="1">
        <v>0.4</v>
      </c>
      <c r="G148" s="1">
        <v>0.6</v>
      </c>
      <c r="H148" s="1">
        <v>1.1000000000000001</v>
      </c>
    </row>
    <row r="149" spans="1:8">
      <c r="A149" t="s">
        <v>1665</v>
      </c>
      <c r="B149" s="1">
        <v>0.37333333333333302</v>
      </c>
      <c r="C149" s="1">
        <v>0.41666666666666602</v>
      </c>
      <c r="D149" s="1">
        <v>0.58333333333333304</v>
      </c>
      <c r="F149" s="1">
        <v>0.4</v>
      </c>
      <c r="G149" s="1">
        <v>0.6</v>
      </c>
      <c r="H149" s="1">
        <v>1.2</v>
      </c>
    </row>
    <row r="150" spans="1:8">
      <c r="A150" t="s">
        <v>1667</v>
      </c>
      <c r="B150" s="1">
        <v>0.46999999999999897</v>
      </c>
      <c r="C150" s="1">
        <v>0.51666666666666605</v>
      </c>
      <c r="D150" s="1">
        <v>0.73</v>
      </c>
      <c r="F150" s="1">
        <v>0.5</v>
      </c>
      <c r="G150" s="1">
        <v>0.7</v>
      </c>
      <c r="H150" s="1">
        <v>1.1000000000000001</v>
      </c>
    </row>
    <row r="151" spans="1:8">
      <c r="A151" t="s">
        <v>1669</v>
      </c>
      <c r="B151" s="1">
        <v>0.42666666666666597</v>
      </c>
      <c r="C151" s="1">
        <v>0.51666666666666605</v>
      </c>
      <c r="D151" s="1">
        <v>0.88666666666666605</v>
      </c>
      <c r="F151" s="1">
        <v>0.5</v>
      </c>
      <c r="G151" s="1">
        <v>0.7</v>
      </c>
      <c r="H151" s="1">
        <v>1.3</v>
      </c>
    </row>
    <row r="152" spans="1:8">
      <c r="A152" t="s">
        <v>1671</v>
      </c>
      <c r="B152" s="1">
        <v>0.37666666666666598</v>
      </c>
      <c r="C152" s="1">
        <v>0.43333333333333302</v>
      </c>
      <c r="D152" s="1">
        <v>0.61666666666666603</v>
      </c>
      <c r="F152" s="1">
        <v>0.5</v>
      </c>
      <c r="G152" s="1">
        <v>0.7</v>
      </c>
      <c r="H152" s="1">
        <v>1.4</v>
      </c>
    </row>
    <row r="153" spans="1:8">
      <c r="A153" t="s">
        <v>1673</v>
      </c>
      <c r="B153" s="1">
        <v>0.36333333333333301</v>
      </c>
      <c r="C153" s="1">
        <v>0.40333333333333299</v>
      </c>
      <c r="D153" s="1">
        <v>1.32</v>
      </c>
      <c r="F153" s="1">
        <v>0.4</v>
      </c>
      <c r="G153" s="1">
        <v>0.7</v>
      </c>
      <c r="H153" s="1">
        <v>2.8</v>
      </c>
    </row>
    <row r="154" spans="1:8">
      <c r="A154" t="s">
        <v>1675</v>
      </c>
      <c r="B154" s="1">
        <v>0.44</v>
      </c>
      <c r="C154" s="1">
        <v>0.53</v>
      </c>
      <c r="D154" s="1">
        <v>1.2066666666666599</v>
      </c>
      <c r="F154" s="1">
        <v>0.4</v>
      </c>
      <c r="G154" s="1">
        <v>0.7</v>
      </c>
      <c r="H154" s="1">
        <v>2.6</v>
      </c>
    </row>
    <row r="155" spans="1:8">
      <c r="A155" t="s">
        <v>1677</v>
      </c>
      <c r="B155" s="1">
        <v>0.65999999999999903</v>
      </c>
      <c r="C155" s="1">
        <v>0.78333333333333299</v>
      </c>
      <c r="D155" s="1">
        <v>1.4833333333333301</v>
      </c>
      <c r="F155" s="1">
        <v>0.4</v>
      </c>
      <c r="G155" s="1">
        <v>0.7</v>
      </c>
      <c r="H155" s="1">
        <v>2.4</v>
      </c>
    </row>
    <row r="156" spans="1:8">
      <c r="A156" t="s">
        <v>1678</v>
      </c>
      <c r="B156" s="1">
        <v>0.619999999999999</v>
      </c>
      <c r="C156" s="1">
        <v>0.69666666666666599</v>
      </c>
      <c r="D156" s="1">
        <v>0.956666666666666</v>
      </c>
      <c r="F156" s="1">
        <v>0.5</v>
      </c>
      <c r="G156" s="1">
        <v>0.9</v>
      </c>
      <c r="H156" s="1">
        <v>2.9</v>
      </c>
    </row>
    <row r="157" spans="1:8">
      <c r="A157" t="s">
        <v>1680</v>
      </c>
      <c r="B157" s="1">
        <v>0.54999999999999905</v>
      </c>
      <c r="C157" s="1">
        <v>0.61666666666666603</v>
      </c>
      <c r="D157" s="1">
        <v>0.85333333333333306</v>
      </c>
      <c r="F157" s="1">
        <v>0.4</v>
      </c>
      <c r="G157" s="1">
        <v>0.8</v>
      </c>
      <c r="H157" s="1">
        <v>2.1</v>
      </c>
    </row>
    <row r="158" spans="1:8">
      <c r="A158" t="s">
        <v>1683</v>
      </c>
      <c r="B158" s="1">
        <v>1.5033333333333301</v>
      </c>
      <c r="C158" s="1">
        <v>1.68999999999999</v>
      </c>
      <c r="D158" s="1">
        <v>2.2299999999999902</v>
      </c>
      <c r="F158" s="1">
        <v>0.7</v>
      </c>
      <c r="G158" s="1">
        <v>1.3</v>
      </c>
      <c r="H158" s="1">
        <v>3</v>
      </c>
    </row>
    <row r="159" spans="1:8">
      <c r="A159" t="s">
        <v>1685</v>
      </c>
      <c r="B159" s="1">
        <v>0.99666666666666603</v>
      </c>
      <c r="C159" s="1">
        <v>1.39333333333333</v>
      </c>
      <c r="D159" s="1">
        <v>2.0033333333333299</v>
      </c>
      <c r="F159" s="1">
        <v>1.3</v>
      </c>
      <c r="G159" s="1">
        <v>2</v>
      </c>
      <c r="H159" s="1">
        <v>4.3</v>
      </c>
    </row>
    <row r="160" spans="1:8">
      <c r="A160" t="s">
        <v>1687</v>
      </c>
      <c r="B160" s="1">
        <v>0.71999999999999897</v>
      </c>
      <c r="C160" s="1">
        <v>0.80333333333333301</v>
      </c>
      <c r="D160" s="1">
        <v>1.09666666666666</v>
      </c>
      <c r="F160" s="1">
        <v>0.8</v>
      </c>
      <c r="G160" s="1">
        <v>1.4</v>
      </c>
      <c r="H160" s="1">
        <v>3.6</v>
      </c>
    </row>
    <row r="161" spans="1:8">
      <c r="A161" t="s">
        <v>1689</v>
      </c>
      <c r="B161" s="1">
        <v>0.78999999999999904</v>
      </c>
      <c r="C161" s="1">
        <v>0.86333333333333295</v>
      </c>
      <c r="D161" s="1">
        <v>1.19333333333333</v>
      </c>
      <c r="F161" s="1">
        <v>0.6</v>
      </c>
      <c r="G161" s="1">
        <v>1.1000000000000001</v>
      </c>
      <c r="H161" s="1">
        <v>3.3</v>
      </c>
    </row>
    <row r="162" spans="1:8">
      <c r="A162" t="s">
        <v>1691</v>
      </c>
      <c r="B162" s="1">
        <v>0.68666666666666698</v>
      </c>
      <c r="C162" s="1">
        <v>0.81666666666666599</v>
      </c>
      <c r="D162" s="1">
        <v>1.0499999999999901</v>
      </c>
      <c r="F162" s="1">
        <v>0.8</v>
      </c>
      <c r="G162" s="1">
        <v>1.2</v>
      </c>
      <c r="H162" s="1">
        <v>3.1</v>
      </c>
    </row>
    <row r="163" spans="1:8">
      <c r="A163" t="s">
        <v>1693</v>
      </c>
      <c r="B163" s="1">
        <v>0.74</v>
      </c>
      <c r="C163" s="1">
        <v>0.94333333333333302</v>
      </c>
      <c r="D163" s="1">
        <v>1.98</v>
      </c>
      <c r="F163" s="1">
        <v>0.7</v>
      </c>
      <c r="G163" s="1">
        <v>1.2</v>
      </c>
      <c r="H163" s="1">
        <v>3.4</v>
      </c>
    </row>
    <row r="164" spans="1:8">
      <c r="A164" t="s">
        <v>1694</v>
      </c>
      <c r="B164" s="1">
        <v>0.74333333333333296</v>
      </c>
      <c r="C164" s="1">
        <v>1.0899999999999901</v>
      </c>
      <c r="D164" s="1">
        <v>2.21</v>
      </c>
      <c r="F164" s="1">
        <v>0.6</v>
      </c>
      <c r="G164" s="1">
        <v>1.1000000000000001</v>
      </c>
      <c r="H164" s="1">
        <v>3.2</v>
      </c>
    </row>
    <row r="165" spans="1:8">
      <c r="A165" t="s">
        <v>1695</v>
      </c>
      <c r="B165" s="1">
        <v>0.96333333333333304</v>
      </c>
      <c r="C165" s="1">
        <v>1.86333333333333</v>
      </c>
      <c r="D165" s="1">
        <v>2.7833333333333301</v>
      </c>
      <c r="F165" s="1">
        <v>0.7</v>
      </c>
      <c r="G165" s="1">
        <v>1.3</v>
      </c>
      <c r="H165" s="1">
        <v>4.0999999999999996</v>
      </c>
    </row>
    <row r="166" spans="1:8">
      <c r="A166" t="s">
        <v>1697</v>
      </c>
      <c r="B166" s="1">
        <v>0.97</v>
      </c>
      <c r="C166" s="1">
        <v>1.4066666666666601</v>
      </c>
      <c r="D166" s="1">
        <v>2.87</v>
      </c>
      <c r="F166" s="1">
        <v>0.9</v>
      </c>
      <c r="G166" s="1">
        <v>1.6</v>
      </c>
      <c r="H166" s="1">
        <v>4.7</v>
      </c>
    </row>
    <row r="167" spans="1:8">
      <c r="A167" t="s">
        <v>1699</v>
      </c>
      <c r="B167" s="1">
        <v>1.78999999999999</v>
      </c>
      <c r="C167" s="1">
        <v>2.4833333333333298</v>
      </c>
      <c r="D167" s="1">
        <v>3.89</v>
      </c>
      <c r="F167" s="1">
        <v>1.2</v>
      </c>
      <c r="G167" s="1">
        <v>1.8</v>
      </c>
      <c r="H167" s="1">
        <v>4.8</v>
      </c>
    </row>
    <row r="168" spans="1:8">
      <c r="A168" t="s">
        <v>1701</v>
      </c>
      <c r="B168" s="1">
        <v>1.2266666666666599</v>
      </c>
      <c r="C168" s="1">
        <v>1.75</v>
      </c>
      <c r="D168" s="1">
        <v>3.1533333333333302</v>
      </c>
      <c r="F168" s="1">
        <v>1.4</v>
      </c>
      <c r="G168" s="1">
        <v>2</v>
      </c>
      <c r="H168" s="1">
        <v>5.3</v>
      </c>
    </row>
    <row r="169" spans="1:8">
      <c r="A169" t="s">
        <v>1703</v>
      </c>
      <c r="B169" s="1">
        <v>1.57666666666666</v>
      </c>
      <c r="C169" s="1">
        <v>1.9933333333333301</v>
      </c>
      <c r="D169" s="1">
        <v>2.5066666666666602</v>
      </c>
      <c r="F169" s="1">
        <v>1.5</v>
      </c>
      <c r="G169" s="1">
        <v>2.2000000000000002</v>
      </c>
      <c r="H169" s="1">
        <v>6.7</v>
      </c>
    </row>
    <row r="170" spans="1:8">
      <c r="A170" t="s">
        <v>1705</v>
      </c>
      <c r="B170" s="1">
        <v>1.3599999999999901</v>
      </c>
      <c r="C170" s="1">
        <v>2.0833333333333299</v>
      </c>
      <c r="D170" s="1">
        <v>2.9433333333333298</v>
      </c>
      <c r="F170" s="1">
        <v>1.8</v>
      </c>
      <c r="G170" s="1">
        <v>2.4</v>
      </c>
      <c r="H170" s="1">
        <v>5.3</v>
      </c>
    </row>
    <row r="171" spans="1:8">
      <c r="A171" t="s">
        <v>1707</v>
      </c>
      <c r="B171" s="1">
        <v>1.37333333333333</v>
      </c>
      <c r="C171" s="1">
        <v>1.6966666666666601</v>
      </c>
      <c r="D171" s="1">
        <v>2.66</v>
      </c>
      <c r="F171" s="1">
        <v>1.6</v>
      </c>
      <c r="G171" s="1">
        <v>2.4</v>
      </c>
      <c r="H171" s="1">
        <v>5.9</v>
      </c>
    </row>
    <row r="172" spans="1:8">
      <c r="A172" t="s">
        <v>1709</v>
      </c>
      <c r="B172" s="1">
        <v>1.4366666666666601</v>
      </c>
      <c r="C172" s="1">
        <v>2.08</v>
      </c>
      <c r="D172" s="1">
        <v>3.7633333333333301</v>
      </c>
      <c r="F172" s="1">
        <v>1.8</v>
      </c>
      <c r="G172" s="1">
        <v>2.6</v>
      </c>
      <c r="H172" s="1">
        <v>6.5</v>
      </c>
    </row>
    <row r="173" spans="1:8">
      <c r="A173" t="s">
        <v>1711</v>
      </c>
      <c r="B173" s="1">
        <v>1.3333333333333299</v>
      </c>
      <c r="C173" s="1">
        <v>2.0733333333333301</v>
      </c>
      <c r="D173" s="1">
        <v>2.6533333333333302</v>
      </c>
      <c r="F173" s="1">
        <v>1.7</v>
      </c>
      <c r="G173" s="1">
        <v>2.5</v>
      </c>
      <c r="H173" s="1">
        <v>6.8</v>
      </c>
    </row>
    <row r="174" spans="1:8">
      <c r="A174" t="s">
        <v>1713</v>
      </c>
      <c r="B174" s="1">
        <v>1.1100000000000001</v>
      </c>
      <c r="C174" s="1">
        <v>1.44333333333333</v>
      </c>
      <c r="D174" s="1">
        <v>2.19</v>
      </c>
      <c r="F174" s="1">
        <v>1.6</v>
      </c>
      <c r="G174" s="1">
        <v>2.5</v>
      </c>
      <c r="H174" s="1">
        <v>7.6</v>
      </c>
    </row>
    <row r="175" spans="1:8">
      <c r="A175" t="s">
        <v>1715</v>
      </c>
      <c r="B175" s="1">
        <v>1.0433333333333299</v>
      </c>
      <c r="C175" s="1">
        <v>1.79666666666666</v>
      </c>
      <c r="D175" s="1">
        <v>3.1866666666666599</v>
      </c>
      <c r="F175" s="1">
        <v>1.5</v>
      </c>
      <c r="G175" s="1">
        <v>2.2000000000000002</v>
      </c>
      <c r="H175" s="1">
        <v>5.0999999999999996</v>
      </c>
    </row>
    <row r="176" spans="1:8">
      <c r="A176" t="s">
        <v>1717</v>
      </c>
      <c r="B176" s="1">
        <v>1.4666666666666599</v>
      </c>
      <c r="C176" s="1">
        <v>1.8966666666666601</v>
      </c>
      <c r="D176" s="1">
        <v>3.8333333333333299</v>
      </c>
      <c r="F176" s="1">
        <v>1.3</v>
      </c>
      <c r="G176" s="1">
        <v>2.1</v>
      </c>
      <c r="H176" s="1">
        <v>4.8</v>
      </c>
    </row>
    <row r="177" spans="1:8">
      <c r="A177" t="s">
        <v>1719</v>
      </c>
      <c r="B177" s="1">
        <v>1.32666666666666</v>
      </c>
      <c r="C177" s="1">
        <v>2.42</v>
      </c>
      <c r="D177" s="1">
        <v>4.07666666666666</v>
      </c>
      <c r="F177" s="1">
        <v>1.3</v>
      </c>
      <c r="G177" s="1">
        <v>2.1</v>
      </c>
      <c r="H177" s="1">
        <v>4.5999999999999996</v>
      </c>
    </row>
    <row r="178" spans="1:8">
      <c r="A178" t="s">
        <v>1721</v>
      </c>
      <c r="B178" s="1">
        <v>1.32666666666666</v>
      </c>
      <c r="C178" s="1">
        <v>2.3033333333333301</v>
      </c>
      <c r="D178" s="1">
        <v>3.69</v>
      </c>
      <c r="F178" s="1">
        <v>1.3</v>
      </c>
      <c r="G178" s="1">
        <v>2</v>
      </c>
      <c r="H178" s="1">
        <v>4.4000000000000004</v>
      </c>
    </row>
    <row r="179" spans="1:8">
      <c r="A179" t="s">
        <v>1723</v>
      </c>
      <c r="B179" s="1">
        <v>1.3233333333333299</v>
      </c>
      <c r="C179" s="1">
        <v>1.8966666666666601</v>
      </c>
      <c r="D179" s="1">
        <v>3.4933333333333301</v>
      </c>
      <c r="F179" s="1">
        <v>1.3</v>
      </c>
      <c r="G179" s="1">
        <v>2.2000000000000002</v>
      </c>
      <c r="H179" s="1">
        <v>5.2</v>
      </c>
    </row>
    <row r="180" spans="1:8">
      <c r="A180" t="s">
        <v>1725</v>
      </c>
      <c r="B180" s="1">
        <v>1.4199999999999899</v>
      </c>
      <c r="C180" s="1">
        <v>2.3166666666666602</v>
      </c>
      <c r="D180" s="1">
        <v>3.26</v>
      </c>
      <c r="F180" s="1">
        <v>1.4</v>
      </c>
      <c r="G180" s="1">
        <v>2.1</v>
      </c>
      <c r="H180" s="1">
        <v>5</v>
      </c>
    </row>
    <row r="181" spans="1:8">
      <c r="A181" t="s">
        <v>1727</v>
      </c>
      <c r="B181" s="1">
        <v>1.31666666666666</v>
      </c>
      <c r="C181" s="1">
        <v>2.1266666666666598</v>
      </c>
      <c r="D181" s="1">
        <v>2.8</v>
      </c>
      <c r="F181" s="1">
        <v>1.5</v>
      </c>
      <c r="G181" s="1">
        <v>2.2999999999999998</v>
      </c>
      <c r="H181" s="1">
        <v>4.2</v>
      </c>
    </row>
    <row r="182" spans="1:8">
      <c r="A182" t="s">
        <v>1729</v>
      </c>
      <c r="B182" s="1">
        <v>1.8099999999999901</v>
      </c>
      <c r="C182" s="1">
        <v>2.9466666666666601</v>
      </c>
      <c r="D182" s="1">
        <v>4.18333333333333</v>
      </c>
      <c r="F182" s="1">
        <v>1.6</v>
      </c>
      <c r="G182" s="1">
        <v>2.5</v>
      </c>
      <c r="H182" s="1">
        <v>5.9</v>
      </c>
    </row>
    <row r="183" spans="1:8">
      <c r="A183" t="s">
        <v>1731</v>
      </c>
      <c r="B183" s="1">
        <v>1.39</v>
      </c>
      <c r="C183" s="1">
        <v>1.9</v>
      </c>
      <c r="D183" s="1">
        <v>2.6966666666666601</v>
      </c>
      <c r="F183" s="1">
        <v>1.6</v>
      </c>
      <c r="G183" s="1">
        <v>2.5</v>
      </c>
      <c r="H183" s="1">
        <v>5</v>
      </c>
    </row>
    <row r="184" spans="1:8">
      <c r="A184" t="s">
        <v>1733</v>
      </c>
      <c r="B184" s="1">
        <v>1.0133333333333301</v>
      </c>
      <c r="C184" s="1">
        <v>2.0733333333333301</v>
      </c>
      <c r="D184" s="1">
        <v>3.0833333333333299</v>
      </c>
      <c r="F184" s="1">
        <v>1.4</v>
      </c>
      <c r="G184" s="1">
        <v>2.1</v>
      </c>
      <c r="H184" s="1">
        <v>5.3</v>
      </c>
    </row>
    <row r="185" spans="1:8">
      <c r="A185" t="s">
        <v>1735</v>
      </c>
      <c r="B185" s="1">
        <v>0.913333333333333</v>
      </c>
      <c r="C185" s="1">
        <v>1.1666666666666601</v>
      </c>
      <c r="D185" s="1">
        <v>1.65</v>
      </c>
      <c r="F185" s="1">
        <v>1.2</v>
      </c>
      <c r="G185" s="1">
        <v>2.1</v>
      </c>
      <c r="H185" s="1">
        <v>7.2</v>
      </c>
    </row>
    <row r="186" spans="1:8">
      <c r="A186" t="s">
        <v>1736</v>
      </c>
      <c r="B186" s="1">
        <v>0.89</v>
      </c>
      <c r="C186" s="1">
        <v>1.4199999999999899</v>
      </c>
      <c r="D186" s="1">
        <v>1.75</v>
      </c>
      <c r="F186" s="1">
        <v>1.1000000000000001</v>
      </c>
      <c r="G186" s="1">
        <v>1.9</v>
      </c>
      <c r="H186" s="1">
        <v>5.4</v>
      </c>
    </row>
    <row r="187" spans="1:8">
      <c r="A187" t="s">
        <v>1738</v>
      </c>
      <c r="B187" s="1">
        <v>1.13333333333333</v>
      </c>
      <c r="C187" s="1">
        <v>1.8</v>
      </c>
      <c r="D187" s="1">
        <v>3.7666666666666599</v>
      </c>
      <c r="F187" s="1">
        <v>1.2</v>
      </c>
      <c r="G187" s="1">
        <v>2.1</v>
      </c>
      <c r="H187" s="1">
        <v>6</v>
      </c>
    </row>
    <row r="188" spans="1:8">
      <c r="A188" t="s">
        <v>1740</v>
      </c>
      <c r="B188" s="1">
        <v>0.93</v>
      </c>
      <c r="C188" s="1">
        <v>1.3399999999999901</v>
      </c>
      <c r="D188" s="1">
        <v>2.18333333333333</v>
      </c>
      <c r="F188" s="1">
        <v>1.3</v>
      </c>
      <c r="G188" s="1">
        <v>2.2000000000000002</v>
      </c>
      <c r="H188" s="1">
        <v>7.5</v>
      </c>
    </row>
    <row r="189" spans="1:8">
      <c r="A189" t="s">
        <v>1741</v>
      </c>
      <c r="B189" s="1">
        <v>0.97333333333333305</v>
      </c>
      <c r="C189" s="1">
        <v>1.4666666666666599</v>
      </c>
      <c r="D189" s="1">
        <v>2.23</v>
      </c>
      <c r="F189" s="1">
        <v>1.1000000000000001</v>
      </c>
      <c r="G189" s="1">
        <v>1.9</v>
      </c>
      <c r="H189" s="1">
        <v>5.6</v>
      </c>
    </row>
    <row r="190" spans="1:8">
      <c r="A190" t="s">
        <v>1743</v>
      </c>
      <c r="B190" s="1">
        <v>0.85666666666666602</v>
      </c>
      <c r="C190" s="1">
        <v>1.36333333333333</v>
      </c>
      <c r="D190" s="1">
        <v>2.18333333333333</v>
      </c>
      <c r="F190" s="1">
        <v>1.2</v>
      </c>
      <c r="G190" s="1">
        <v>1.8</v>
      </c>
      <c r="H190" s="1">
        <v>4</v>
      </c>
    </row>
    <row r="191" spans="1:8">
      <c r="A191" t="s">
        <v>1745</v>
      </c>
      <c r="B191" s="1">
        <v>1.26999999999999</v>
      </c>
      <c r="C191" s="1">
        <v>1.8333333333333299</v>
      </c>
      <c r="D191" s="1">
        <v>3.2299999999999902</v>
      </c>
      <c r="F191" s="1">
        <v>1.3</v>
      </c>
      <c r="G191" s="1">
        <v>2.1</v>
      </c>
      <c r="H191" s="1">
        <v>5.0999999999999996</v>
      </c>
    </row>
    <row r="192" spans="1:8">
      <c r="A192" t="s">
        <v>1747</v>
      </c>
      <c r="B192" s="1">
        <v>1.1599999999999999</v>
      </c>
      <c r="C192" s="1">
        <v>1.46999999999999</v>
      </c>
      <c r="D192" s="1">
        <v>2.2999999999999998</v>
      </c>
      <c r="F192" s="1">
        <v>1.7</v>
      </c>
      <c r="G192" s="1">
        <v>2.6</v>
      </c>
      <c r="H192" s="1">
        <v>6.5</v>
      </c>
    </row>
    <row r="193" spans="1:8">
      <c r="A193" t="s">
        <v>1749</v>
      </c>
      <c r="B193" s="1">
        <v>1.15333333333333</v>
      </c>
      <c r="C193" s="1">
        <v>1.25</v>
      </c>
      <c r="D193" s="1">
        <v>2.29</v>
      </c>
      <c r="F193" s="1">
        <v>1.4</v>
      </c>
      <c r="G193" s="1">
        <v>2.2000000000000002</v>
      </c>
      <c r="H193" s="1">
        <v>7.4</v>
      </c>
    </row>
    <row r="194" spans="1:8">
      <c r="A194" t="s">
        <v>1751</v>
      </c>
      <c r="B194" s="1">
        <v>1.44333333333333</v>
      </c>
      <c r="C194" s="1">
        <v>2.0866666666666598</v>
      </c>
      <c r="D194" s="1">
        <v>3.5</v>
      </c>
      <c r="F194" s="1">
        <v>1.3</v>
      </c>
      <c r="G194" s="1">
        <v>2.1</v>
      </c>
      <c r="H194" s="1">
        <v>6.3</v>
      </c>
    </row>
    <row r="195" spans="1:8">
      <c r="A195" t="s">
        <v>1753</v>
      </c>
      <c r="B195" s="1">
        <v>1.17333333333333</v>
      </c>
      <c r="C195" s="1">
        <v>1.72999999999999</v>
      </c>
      <c r="D195" s="1">
        <v>2.3333333333333299</v>
      </c>
      <c r="F195" s="1">
        <v>1.5</v>
      </c>
      <c r="G195" s="1">
        <v>2.2000000000000002</v>
      </c>
      <c r="H195" s="1">
        <v>5.5</v>
      </c>
    </row>
    <row r="196" spans="1:8">
      <c r="A196" t="s">
        <v>1755</v>
      </c>
      <c r="B196" s="1">
        <v>1.1866666666666601</v>
      </c>
      <c r="C196" s="1">
        <v>1.6966666666666601</v>
      </c>
      <c r="D196" s="1">
        <v>2.02</v>
      </c>
      <c r="F196" s="1">
        <v>1.4</v>
      </c>
      <c r="G196" s="1">
        <v>2.1</v>
      </c>
      <c r="H196" s="1">
        <v>6.1</v>
      </c>
    </row>
    <row r="197" spans="1:8">
      <c r="A197" t="s">
        <v>1757</v>
      </c>
      <c r="B197" s="1">
        <v>1.42333333333333</v>
      </c>
      <c r="C197" s="1">
        <v>1.89333333333333</v>
      </c>
      <c r="D197" s="1">
        <v>2.9099999999999899</v>
      </c>
      <c r="F197" s="1">
        <v>1.5</v>
      </c>
      <c r="G197" s="1">
        <v>2.1</v>
      </c>
      <c r="H197" s="1">
        <v>5.4</v>
      </c>
    </row>
    <row r="198" spans="1:8">
      <c r="A198" t="s">
        <v>1759</v>
      </c>
      <c r="B198" s="1">
        <v>1.90333333333333</v>
      </c>
      <c r="C198" s="1">
        <v>2.6866666666666599</v>
      </c>
      <c r="D198" s="1">
        <v>3.59666666666666</v>
      </c>
      <c r="F198" s="1">
        <v>1.9</v>
      </c>
      <c r="G198" s="1">
        <v>2.6</v>
      </c>
      <c r="H198" s="1">
        <v>6</v>
      </c>
    </row>
    <row r="199" spans="1:8">
      <c r="A199" t="s">
        <v>1761</v>
      </c>
      <c r="B199" s="1">
        <v>1.7333333333333301</v>
      </c>
      <c r="C199" s="1">
        <v>2.8633333333333302</v>
      </c>
      <c r="D199" s="1">
        <v>4.2233333333333301</v>
      </c>
      <c r="F199" s="1">
        <v>2.2999999999999998</v>
      </c>
      <c r="G199" s="1">
        <v>3.1</v>
      </c>
      <c r="H199" s="1">
        <v>7.3</v>
      </c>
    </row>
    <row r="200" spans="1:8">
      <c r="A200" t="s">
        <v>1763</v>
      </c>
      <c r="B200" s="1">
        <v>2.4933333333333301</v>
      </c>
      <c r="C200" s="1">
        <v>3.4433333333333298</v>
      </c>
      <c r="D200" s="1">
        <v>4.7733333333333299</v>
      </c>
      <c r="F200" s="1">
        <v>2.4</v>
      </c>
      <c r="G200" s="1">
        <v>3.3</v>
      </c>
      <c r="H200" s="1">
        <v>6.6</v>
      </c>
    </row>
    <row r="201" spans="1:8">
      <c r="A201" t="s">
        <v>1765</v>
      </c>
      <c r="B201" s="1">
        <v>1.98</v>
      </c>
      <c r="C201" s="1">
        <v>2.5666666666666602</v>
      </c>
      <c r="D201" s="1">
        <v>4.1966666666666601</v>
      </c>
      <c r="F201" s="1">
        <v>3</v>
      </c>
      <c r="G201" s="1">
        <v>3.9</v>
      </c>
      <c r="H201" s="1">
        <v>6.3</v>
      </c>
    </row>
    <row r="202" spans="1:8">
      <c r="A202" t="s">
        <v>1767</v>
      </c>
      <c r="B202" s="1">
        <v>2.7299999999999902</v>
      </c>
      <c r="C202" s="1">
        <v>3.6499999999999901</v>
      </c>
      <c r="D202" s="1">
        <v>4.9666666666666597</v>
      </c>
      <c r="F202" s="1">
        <v>3</v>
      </c>
      <c r="G202" s="1">
        <v>4</v>
      </c>
      <c r="H202" s="1">
        <v>7.9</v>
      </c>
    </row>
    <row r="203" spans="1:8">
      <c r="A203" t="s">
        <v>1769</v>
      </c>
      <c r="B203" s="1">
        <v>4.3366666666666598</v>
      </c>
      <c r="C203" s="1">
        <v>6.0466666666666598</v>
      </c>
      <c r="D203" s="1">
        <v>7.8733333333333304</v>
      </c>
      <c r="F203" s="1">
        <v>3.3</v>
      </c>
      <c r="G203" s="1">
        <v>4.3</v>
      </c>
      <c r="H203" s="1">
        <v>9</v>
      </c>
    </row>
    <row r="204" spans="1:8">
      <c r="A204" t="s">
        <v>1771</v>
      </c>
      <c r="B204" s="1">
        <v>2.8966666666666598</v>
      </c>
      <c r="C204" s="1">
        <v>4.0266666666666602</v>
      </c>
      <c r="D204" s="1">
        <v>4.78</v>
      </c>
      <c r="F204" s="1">
        <v>3.4</v>
      </c>
      <c r="G204" s="1">
        <v>4.3</v>
      </c>
      <c r="H204" s="1">
        <v>6.9</v>
      </c>
    </row>
    <row r="205" spans="1:8">
      <c r="A205" t="s">
        <v>1773</v>
      </c>
      <c r="B205" s="1">
        <v>3.0633333333333299</v>
      </c>
      <c r="C205" s="1">
        <v>4.42</v>
      </c>
      <c r="D205" s="1">
        <v>6.76</v>
      </c>
      <c r="F205" s="1">
        <v>3.5</v>
      </c>
      <c r="G205" s="1">
        <v>4.4000000000000004</v>
      </c>
      <c r="H205" s="1">
        <v>7.9</v>
      </c>
    </row>
    <row r="206" spans="1:8">
      <c r="A206" t="s">
        <v>1775</v>
      </c>
      <c r="B206" s="1">
        <v>2.8333333333333299</v>
      </c>
      <c r="C206" s="1">
        <v>3.8133333333333299</v>
      </c>
      <c r="D206" s="1">
        <v>5.7399999999999904</v>
      </c>
      <c r="F206" s="1">
        <v>3.8</v>
      </c>
      <c r="G206" s="1">
        <v>4.7</v>
      </c>
      <c r="H206" s="1">
        <v>8</v>
      </c>
    </row>
    <row r="207" spans="1:8">
      <c r="A207" t="s">
        <v>1777</v>
      </c>
      <c r="B207" s="1">
        <v>2.35</v>
      </c>
      <c r="C207" s="1">
        <v>3.12333333333333</v>
      </c>
      <c r="D207" s="1">
        <v>3.6466666666666598</v>
      </c>
      <c r="F207" s="1">
        <v>3.4</v>
      </c>
      <c r="G207" s="1">
        <v>4.3</v>
      </c>
      <c r="H207" s="1">
        <v>7</v>
      </c>
    </row>
    <row r="208" spans="1:8">
      <c r="A208" t="s">
        <v>1778</v>
      </c>
      <c r="B208" s="1">
        <v>2.0833333333333299</v>
      </c>
      <c r="C208" s="1">
        <v>2.6566666666666601</v>
      </c>
      <c r="D208" s="1">
        <v>3.3866666666666601</v>
      </c>
      <c r="F208" s="1">
        <v>2.8</v>
      </c>
      <c r="G208" s="1">
        <v>3.5</v>
      </c>
      <c r="H208" s="1">
        <v>6.1</v>
      </c>
    </row>
    <row r="209" spans="1:8">
      <c r="A209" t="s">
        <v>1780</v>
      </c>
      <c r="B209" s="1">
        <v>1.7233333333333301</v>
      </c>
      <c r="C209" s="1">
        <v>2.2133333333333298</v>
      </c>
      <c r="D209" s="1">
        <v>3.0133333333333301</v>
      </c>
      <c r="F209" s="1">
        <v>2.2999999999999998</v>
      </c>
      <c r="G209" s="1">
        <v>2.9</v>
      </c>
      <c r="H209" s="1">
        <v>4.4000000000000004</v>
      </c>
    </row>
    <row r="210" spans="1:8">
      <c r="A210" t="s">
        <v>1782</v>
      </c>
      <c r="B210" s="1">
        <v>2.7299999999999902</v>
      </c>
      <c r="C210" s="1">
        <v>3.8</v>
      </c>
      <c r="D210" s="1">
        <v>5.6666666666666599</v>
      </c>
      <c r="F210" s="1">
        <v>2.2999999999999998</v>
      </c>
      <c r="G210" s="1">
        <v>2.9</v>
      </c>
      <c r="H210" s="1">
        <v>4.4000000000000004</v>
      </c>
    </row>
    <row r="211" spans="1:8">
      <c r="A211" t="s">
        <v>1784</v>
      </c>
      <c r="B211" s="1">
        <v>2.48</v>
      </c>
      <c r="C211" s="1">
        <v>3.7233333333333301</v>
      </c>
      <c r="D211" s="1">
        <v>5.4799999999999898</v>
      </c>
      <c r="F211" s="1">
        <v>2.6</v>
      </c>
      <c r="G211" s="1">
        <v>3.3</v>
      </c>
      <c r="H211" s="1">
        <v>5.3</v>
      </c>
    </row>
    <row r="212" spans="1:8">
      <c r="A212" t="s">
        <v>1786</v>
      </c>
      <c r="B212" s="1">
        <v>2.6566666666666601</v>
      </c>
      <c r="C212" s="1">
        <v>3.8833333333333302</v>
      </c>
      <c r="D212" s="1">
        <v>5.8299999999999903</v>
      </c>
      <c r="F212" s="1">
        <v>2.7</v>
      </c>
      <c r="G212" s="1">
        <v>3.5</v>
      </c>
      <c r="H212" s="1">
        <v>5.9</v>
      </c>
    </row>
    <row r="213" spans="1:8">
      <c r="A213" t="s">
        <v>1788</v>
      </c>
      <c r="B213" s="1">
        <v>2.1</v>
      </c>
      <c r="C213" s="1">
        <v>3.0133333333333301</v>
      </c>
      <c r="D213" s="1">
        <v>4.5733333333333297</v>
      </c>
      <c r="F213" s="1">
        <v>2.6</v>
      </c>
      <c r="G213" s="1">
        <v>3.4</v>
      </c>
      <c r="H213" s="1">
        <v>5.8</v>
      </c>
    </row>
    <row r="214" spans="1:8">
      <c r="A214" t="s">
        <v>1790</v>
      </c>
      <c r="B214" s="1">
        <v>2.0833333333333299</v>
      </c>
      <c r="C214" s="1">
        <v>3.03</v>
      </c>
      <c r="D214" s="1">
        <v>5.18333333333333</v>
      </c>
      <c r="F214" s="1">
        <v>2.4</v>
      </c>
      <c r="G214" s="1">
        <v>3.2</v>
      </c>
      <c r="H214" s="1">
        <v>5.3</v>
      </c>
    </row>
    <row r="215" spans="1:8">
      <c r="A215" t="s">
        <v>1792</v>
      </c>
      <c r="B215" s="1">
        <v>2</v>
      </c>
      <c r="C215" s="1">
        <v>2.72</v>
      </c>
      <c r="D215" s="1">
        <v>3.45333333333333</v>
      </c>
      <c r="F215" s="1">
        <v>2.2999999999999998</v>
      </c>
      <c r="G215" s="1">
        <v>2.9</v>
      </c>
      <c r="H215" s="1">
        <v>4</v>
      </c>
    </row>
    <row r="216" spans="1:8">
      <c r="A216" t="s">
        <v>1793</v>
      </c>
      <c r="B216" s="1">
        <v>1.8899999999999899</v>
      </c>
      <c r="C216" s="1">
        <v>2.9366666666666599</v>
      </c>
      <c r="D216" s="1">
        <v>3.89333333333333</v>
      </c>
      <c r="F216" s="1">
        <v>2.2000000000000002</v>
      </c>
      <c r="G216" s="1">
        <v>2.8</v>
      </c>
      <c r="H216" s="1">
        <v>4.0999999999999996</v>
      </c>
    </row>
    <row r="217" spans="1:8">
      <c r="A217" t="s">
        <v>1795</v>
      </c>
      <c r="B217" s="1">
        <v>1.81666666666666</v>
      </c>
      <c r="C217" s="1">
        <v>2.69</v>
      </c>
      <c r="D217" s="1">
        <v>4.92</v>
      </c>
      <c r="F217" s="1">
        <v>2.1</v>
      </c>
      <c r="G217" s="1">
        <v>2.6</v>
      </c>
      <c r="H217" s="1">
        <v>4</v>
      </c>
    </row>
    <row r="218" spans="1:8">
      <c r="A218" t="s">
        <v>1797</v>
      </c>
      <c r="B218" s="1">
        <v>1.7533333333333301</v>
      </c>
      <c r="C218" s="1">
        <v>2.6099999999999901</v>
      </c>
      <c r="D218" s="1">
        <v>3.52</v>
      </c>
      <c r="F218" s="1">
        <v>2.1</v>
      </c>
      <c r="G218" s="1">
        <v>2.6</v>
      </c>
      <c r="H218" s="1">
        <v>3.9</v>
      </c>
    </row>
    <row r="219" spans="1:8">
      <c r="A219" t="s">
        <v>1799</v>
      </c>
      <c r="B219" s="1">
        <v>2.0699999999999998</v>
      </c>
      <c r="C219" s="1">
        <v>2.7633333333333301</v>
      </c>
      <c r="D219" s="1">
        <v>3.6066666666666598</v>
      </c>
      <c r="F219" s="1">
        <v>2.1</v>
      </c>
      <c r="G219" s="1">
        <v>2.5</v>
      </c>
      <c r="H219" s="1">
        <v>3.4</v>
      </c>
    </row>
    <row r="220" spans="1:8">
      <c r="A220" t="s">
        <v>1801</v>
      </c>
      <c r="B220" s="1">
        <v>1.8</v>
      </c>
      <c r="C220" s="1">
        <v>2.6533333333333302</v>
      </c>
      <c r="D220" s="1">
        <v>3.30666666666666</v>
      </c>
      <c r="F220" s="1">
        <v>2.1</v>
      </c>
      <c r="G220" s="1">
        <v>2.5</v>
      </c>
      <c r="H220" s="1">
        <v>3.5</v>
      </c>
    </row>
    <row r="221" spans="1:8">
      <c r="A221" t="s">
        <v>1802</v>
      </c>
      <c r="B221" s="1">
        <v>1.8866666666666601</v>
      </c>
      <c r="C221" s="1">
        <v>2.8</v>
      </c>
      <c r="D221" s="1">
        <v>3.8333333333333299</v>
      </c>
      <c r="F221" s="1">
        <v>2</v>
      </c>
      <c r="G221" s="1">
        <v>2.6</v>
      </c>
      <c r="H221" s="1">
        <v>4.4000000000000004</v>
      </c>
    </row>
    <row r="222" spans="1:8">
      <c r="A222" t="s">
        <v>1804</v>
      </c>
      <c r="B222" s="1">
        <v>1.7633333333333301</v>
      </c>
      <c r="C222" s="1">
        <v>2.6533333333333302</v>
      </c>
      <c r="D222" s="1">
        <v>4.6633333333333304</v>
      </c>
      <c r="F222" s="1">
        <v>1.9</v>
      </c>
      <c r="G222" s="1">
        <v>2.6</v>
      </c>
      <c r="H222" s="1">
        <v>4.9000000000000004</v>
      </c>
    </row>
    <row r="223" spans="1:8">
      <c r="A223" t="s">
        <v>1805</v>
      </c>
      <c r="B223" s="1">
        <v>1.55</v>
      </c>
      <c r="C223" s="1">
        <v>2.5</v>
      </c>
      <c r="D223" s="1">
        <v>4.2033333333333296</v>
      </c>
      <c r="F223" s="1">
        <v>1.8</v>
      </c>
      <c r="G223" s="1">
        <v>2.4</v>
      </c>
      <c r="H223" s="1">
        <v>3.4</v>
      </c>
    </row>
    <row r="224" spans="1:8">
      <c r="A224" t="s">
        <v>1807</v>
      </c>
      <c r="B224" s="1">
        <v>1.71</v>
      </c>
      <c r="C224" s="1">
        <v>2.39</v>
      </c>
      <c r="D224" s="1">
        <v>2.8766666666666598</v>
      </c>
      <c r="F224" s="1">
        <v>1.7</v>
      </c>
      <c r="G224" s="1">
        <v>2.2999999999999998</v>
      </c>
      <c r="H224" s="1">
        <v>2.9</v>
      </c>
    </row>
    <row r="225" spans="1:8">
      <c r="A225" t="s">
        <v>1809</v>
      </c>
      <c r="B225" s="1">
        <v>2.03666666666666</v>
      </c>
      <c r="C225" s="1">
        <v>3.16333333333333</v>
      </c>
      <c r="D225" s="1">
        <v>5.3566666666666602</v>
      </c>
      <c r="F225" s="1">
        <v>1.9</v>
      </c>
      <c r="G225" s="1">
        <v>2.5</v>
      </c>
      <c r="H225" s="1">
        <v>3.6</v>
      </c>
    </row>
    <row r="226" spans="1:8">
      <c r="A226" t="s">
        <v>1811</v>
      </c>
      <c r="B226" s="1">
        <v>1.7366666666666599</v>
      </c>
      <c r="C226" s="1">
        <v>2.59666666666666</v>
      </c>
      <c r="D226" s="1">
        <v>3.62333333333333</v>
      </c>
      <c r="F226" s="1">
        <v>2</v>
      </c>
      <c r="G226" s="1">
        <v>2.6</v>
      </c>
      <c r="H226" s="1">
        <v>3.7</v>
      </c>
    </row>
    <row r="227" spans="1:8">
      <c r="A227" t="s">
        <v>1813</v>
      </c>
      <c r="B227" s="1">
        <v>1.82</v>
      </c>
      <c r="C227" s="1">
        <v>2.66333333333333</v>
      </c>
      <c r="D227" s="1">
        <v>3.1933333333333298</v>
      </c>
      <c r="F227" s="1">
        <v>1.8</v>
      </c>
      <c r="G227" s="1">
        <v>2.2999999999999998</v>
      </c>
      <c r="H227" s="1">
        <v>3.3</v>
      </c>
    </row>
    <row r="228" spans="1:8">
      <c r="A228" t="s">
        <v>1815</v>
      </c>
      <c r="B228" s="1">
        <v>2.2766666666666602</v>
      </c>
      <c r="C228" s="1">
        <v>2.99</v>
      </c>
      <c r="D228" s="1">
        <v>4.3566666666666602</v>
      </c>
      <c r="F228" s="1">
        <v>1.9</v>
      </c>
      <c r="G228" s="1">
        <v>2.5</v>
      </c>
      <c r="H228" s="1">
        <v>3.7</v>
      </c>
    </row>
    <row r="229" spans="1:8">
      <c r="A229" t="s">
        <v>1817</v>
      </c>
      <c r="B229" s="1">
        <v>2.2533333333333299</v>
      </c>
      <c r="C229" s="1">
        <v>2.94</v>
      </c>
      <c r="D229" s="1">
        <v>5.83</v>
      </c>
      <c r="F229" s="1">
        <v>2.2000000000000002</v>
      </c>
      <c r="G229" s="1">
        <v>2.8</v>
      </c>
      <c r="H229" s="1">
        <v>3.9</v>
      </c>
    </row>
    <row r="230" spans="1:8">
      <c r="A230" t="s">
        <v>1819</v>
      </c>
      <c r="B230" s="1">
        <v>2.4700000000000002</v>
      </c>
      <c r="C230" s="1">
        <v>3.5133333333333301</v>
      </c>
      <c r="D230" s="1">
        <v>4.4266666666666596</v>
      </c>
      <c r="F230" s="1">
        <v>2.2999999999999998</v>
      </c>
      <c r="G230" s="1">
        <v>3</v>
      </c>
      <c r="H230" s="1">
        <v>4.0999999999999996</v>
      </c>
    </row>
    <row r="231" spans="1:8">
      <c r="A231" t="s">
        <v>1821</v>
      </c>
      <c r="B231" s="1">
        <v>2.18333333333333</v>
      </c>
      <c r="C231" s="1">
        <v>2.5999999999999899</v>
      </c>
      <c r="D231" s="1">
        <v>3.1399999999999899</v>
      </c>
      <c r="F231" s="1">
        <v>2.4</v>
      </c>
      <c r="G231" s="1">
        <v>3.1</v>
      </c>
      <c r="H231" s="1">
        <v>4.4000000000000004</v>
      </c>
    </row>
    <row r="232" spans="1:8">
      <c r="A232" t="s">
        <v>1823</v>
      </c>
      <c r="B232" s="1">
        <v>2.0833333333333299</v>
      </c>
      <c r="C232" s="1">
        <v>3.09666666666666</v>
      </c>
      <c r="D232" s="1">
        <v>3.9433333333333298</v>
      </c>
      <c r="F232" s="1">
        <v>2.4</v>
      </c>
      <c r="G232" s="1">
        <v>2.9</v>
      </c>
      <c r="H232" s="1">
        <v>3.9</v>
      </c>
    </row>
    <row r="233" spans="1:8">
      <c r="A233" t="s">
        <v>1825</v>
      </c>
      <c r="B233" s="1">
        <v>2.0833333333333299</v>
      </c>
      <c r="C233" s="1">
        <v>2.9633333333333298</v>
      </c>
      <c r="D233" s="1">
        <v>3.56</v>
      </c>
      <c r="F233" s="1">
        <v>2.4</v>
      </c>
      <c r="G233" s="1">
        <v>2.9</v>
      </c>
      <c r="H233" s="1">
        <v>3.6</v>
      </c>
    </row>
    <row r="234" spans="1:8">
      <c r="A234" t="s">
        <v>1827</v>
      </c>
      <c r="B234" s="1">
        <v>2.5133333333333301</v>
      </c>
      <c r="C234" s="1">
        <v>3.36666666666666</v>
      </c>
      <c r="D234" s="1">
        <v>4.1266666666666598</v>
      </c>
      <c r="F234" s="1">
        <v>2.4</v>
      </c>
      <c r="G234" s="1">
        <v>3</v>
      </c>
      <c r="H234" s="1">
        <v>4.4000000000000004</v>
      </c>
    </row>
    <row r="235" spans="1:8">
      <c r="A235" t="s">
        <v>1829</v>
      </c>
      <c r="B235" s="1">
        <v>3.05666666666666</v>
      </c>
      <c r="C235" s="1">
        <v>4.5533333333333301</v>
      </c>
      <c r="D235" s="1">
        <v>6.3333333333333304</v>
      </c>
      <c r="F235" s="1">
        <v>3</v>
      </c>
      <c r="G235" s="1">
        <v>3.6</v>
      </c>
      <c r="H235" s="1">
        <v>4.4000000000000004</v>
      </c>
    </row>
    <row r="236" spans="1:8">
      <c r="A236" t="s">
        <v>1831</v>
      </c>
      <c r="B236" s="1">
        <v>3.09666666666666</v>
      </c>
      <c r="C236" s="1">
        <v>3.95333333333333</v>
      </c>
      <c r="D236" s="1">
        <v>4.7633333333333301</v>
      </c>
      <c r="F236" s="1">
        <v>3.4</v>
      </c>
      <c r="G236" s="1">
        <v>4</v>
      </c>
      <c r="H236" s="1">
        <v>4.5999999999999996</v>
      </c>
    </row>
    <row r="237" spans="1:8">
      <c r="A237" t="s">
        <v>1833</v>
      </c>
      <c r="B237" s="1">
        <v>3.09666666666666</v>
      </c>
      <c r="C237" s="1">
        <v>4.8333333333333304</v>
      </c>
      <c r="D237" s="1">
        <v>6.6966666666666601</v>
      </c>
      <c r="F237" s="1">
        <v>3.4</v>
      </c>
      <c r="G237" s="1">
        <v>4</v>
      </c>
      <c r="H237" s="1">
        <v>5</v>
      </c>
    </row>
    <row r="238" spans="1:8">
      <c r="A238" t="s">
        <v>1835</v>
      </c>
      <c r="B238" s="1">
        <v>3.0533333333333301</v>
      </c>
      <c r="C238" s="1">
        <v>3.88</v>
      </c>
      <c r="D238" s="1">
        <v>4.87</v>
      </c>
      <c r="F238" s="1">
        <v>3.6</v>
      </c>
      <c r="G238" s="1">
        <v>4.2</v>
      </c>
      <c r="H238" s="1">
        <v>5</v>
      </c>
    </row>
    <row r="239" spans="1:8">
      <c r="A239" t="s">
        <v>1837</v>
      </c>
      <c r="B239" s="1">
        <v>2.8833333333333302</v>
      </c>
      <c r="C239" s="1">
        <v>3.8566666666666598</v>
      </c>
      <c r="D239" s="1">
        <v>5.5033333333333303</v>
      </c>
      <c r="F239" s="1">
        <v>3.7</v>
      </c>
      <c r="G239" s="1">
        <v>4.3</v>
      </c>
      <c r="H239" s="1">
        <v>5.2</v>
      </c>
    </row>
    <row r="240" spans="1:8">
      <c r="A240" t="s">
        <v>1839</v>
      </c>
      <c r="B240" s="1">
        <v>2.69999999999999</v>
      </c>
      <c r="C240" s="1">
        <v>3.6333333333333302</v>
      </c>
      <c r="D240" s="1">
        <v>5.0699999999999896</v>
      </c>
      <c r="F240" s="1">
        <v>3.6</v>
      </c>
      <c r="G240" s="1">
        <v>4.2</v>
      </c>
      <c r="H240" s="1">
        <v>5.2</v>
      </c>
    </row>
    <row r="241" spans="1:8">
      <c r="A241" t="s">
        <v>1841</v>
      </c>
      <c r="B241" s="1">
        <v>2.7933333333333299</v>
      </c>
      <c r="C241" s="1">
        <v>3.5866666666666598</v>
      </c>
      <c r="D241" s="1">
        <v>4.16</v>
      </c>
      <c r="F241" s="1">
        <v>3.4</v>
      </c>
      <c r="G241" s="1">
        <v>4.0999999999999996</v>
      </c>
      <c r="H241" s="1">
        <v>5.0999999999999996</v>
      </c>
    </row>
    <row r="242" spans="1:8">
      <c r="A242" t="s">
        <v>1843</v>
      </c>
      <c r="B242" s="1">
        <v>2.6866666666666599</v>
      </c>
      <c r="C242" s="1">
        <v>3.4266666666666601</v>
      </c>
      <c r="D242" s="1">
        <v>4.6899999999999897</v>
      </c>
      <c r="F242" s="1">
        <v>3.2</v>
      </c>
      <c r="G242" s="1">
        <v>4</v>
      </c>
      <c r="H242" s="1">
        <v>5.8</v>
      </c>
    </row>
    <row r="243" spans="1:8">
      <c r="A243" t="s">
        <v>1845</v>
      </c>
      <c r="B243" s="1">
        <v>2.3099999999999898</v>
      </c>
      <c r="C243" s="1">
        <v>3.3699999999999899</v>
      </c>
      <c r="D243" s="1">
        <v>4.0933333333333302</v>
      </c>
      <c r="F243" s="1">
        <v>3.1</v>
      </c>
      <c r="G243" s="1">
        <v>3.8</v>
      </c>
      <c r="H243" s="1">
        <v>5.0999999999999996</v>
      </c>
    </row>
    <row r="244" spans="1:8">
      <c r="A244" t="s">
        <v>1846</v>
      </c>
      <c r="B244" s="1">
        <v>2.44</v>
      </c>
      <c r="C244" s="1">
        <v>3.07666666666666</v>
      </c>
      <c r="D244" s="1">
        <v>5.3599999999999897</v>
      </c>
      <c r="F244" s="1">
        <v>2.8</v>
      </c>
      <c r="G244" s="1">
        <v>3.4</v>
      </c>
      <c r="H244" s="1">
        <v>4.3</v>
      </c>
    </row>
    <row r="245" spans="1:8">
      <c r="A245" t="s">
        <v>1847</v>
      </c>
      <c r="B245" s="1">
        <v>2.0666666666666602</v>
      </c>
      <c r="C245" s="1">
        <v>2.9299999999999899</v>
      </c>
      <c r="D245" s="1">
        <v>4.4566666666666599</v>
      </c>
      <c r="F245" s="1">
        <v>2.6</v>
      </c>
      <c r="G245" s="1">
        <v>3.3</v>
      </c>
      <c r="H245" s="1">
        <v>4.3</v>
      </c>
    </row>
    <row r="246" spans="1:8">
      <c r="A246" t="s">
        <v>1849</v>
      </c>
      <c r="B246" s="1">
        <v>2.0933333333333302</v>
      </c>
      <c r="C246" s="1">
        <v>2.5833333333333299</v>
      </c>
      <c r="D246" s="1">
        <v>4.1933333333333298</v>
      </c>
      <c r="F246" s="1">
        <v>2.5</v>
      </c>
      <c r="G246" s="1">
        <v>3</v>
      </c>
      <c r="H246" s="1">
        <v>3.9</v>
      </c>
    </row>
    <row r="247" spans="1:8">
      <c r="A247" t="s">
        <v>1851</v>
      </c>
      <c r="B247" s="1">
        <v>2.8</v>
      </c>
      <c r="C247" s="1">
        <v>3.8533333333333299</v>
      </c>
      <c r="D247" s="1">
        <v>5.57666666666666</v>
      </c>
      <c r="F247" s="1">
        <v>2.7</v>
      </c>
      <c r="G247" s="1">
        <v>3.4</v>
      </c>
      <c r="H247" s="1">
        <v>5.7</v>
      </c>
    </row>
    <row r="248" spans="1:8">
      <c r="A248" t="s">
        <v>1853</v>
      </c>
      <c r="B248" s="1">
        <v>2.4633333333333298</v>
      </c>
      <c r="C248" s="1">
        <v>3.6366666666666601</v>
      </c>
      <c r="D248" s="1">
        <v>4.76</v>
      </c>
      <c r="F248" s="1">
        <v>2.8</v>
      </c>
      <c r="G248" s="1">
        <v>3.7</v>
      </c>
      <c r="H248" s="1">
        <v>5.9</v>
      </c>
    </row>
    <row r="249" spans="1:8">
      <c r="A249" t="s">
        <v>1855</v>
      </c>
      <c r="B249" s="1">
        <v>2.30666666666666</v>
      </c>
      <c r="C249" s="1">
        <v>3.3099999999999898</v>
      </c>
      <c r="D249" s="1">
        <v>4.75999999999999</v>
      </c>
      <c r="F249" s="1">
        <v>2.6</v>
      </c>
      <c r="G249" s="1">
        <v>3.4</v>
      </c>
      <c r="H249" s="1">
        <v>6</v>
      </c>
    </row>
    <row r="250" spans="1:8">
      <c r="A250" t="s">
        <v>1857</v>
      </c>
      <c r="B250" s="1">
        <v>2.2999999999999901</v>
      </c>
      <c r="C250" s="1">
        <v>3.5466666666666602</v>
      </c>
      <c r="D250" s="1">
        <v>5.0033333333333303</v>
      </c>
      <c r="F250" s="1">
        <v>2.4</v>
      </c>
      <c r="G250" s="1">
        <v>3.2</v>
      </c>
      <c r="H250" s="1">
        <v>4.5999999999999996</v>
      </c>
    </row>
    <row r="251" spans="1:8">
      <c r="A251" t="s">
        <v>1859</v>
      </c>
      <c r="B251" s="1">
        <v>2.6399999999999899</v>
      </c>
      <c r="C251" s="1">
        <v>3.2733333333333299</v>
      </c>
      <c r="D251" s="1">
        <v>5.7333333333333298</v>
      </c>
      <c r="F251" s="1">
        <v>2.5</v>
      </c>
      <c r="G251" s="1">
        <v>3.4</v>
      </c>
      <c r="H251" s="1">
        <v>5.4</v>
      </c>
    </row>
    <row r="252" spans="1:8">
      <c r="A252" t="s">
        <v>1861</v>
      </c>
      <c r="B252" s="1">
        <v>2.2633333333333301</v>
      </c>
      <c r="C252" s="1">
        <v>2.9866666666666601</v>
      </c>
      <c r="D252" s="1">
        <v>4.3333333333333304</v>
      </c>
      <c r="F252" s="1">
        <v>2.7</v>
      </c>
      <c r="G252" s="1">
        <v>3.5</v>
      </c>
      <c r="H252" s="1">
        <v>4.9000000000000004</v>
      </c>
    </row>
    <row r="253" spans="1:8">
      <c r="A253" t="s">
        <v>1863</v>
      </c>
      <c r="B253" s="1">
        <v>2.5599999999999898</v>
      </c>
      <c r="C253" s="1">
        <v>4.0133333333333301</v>
      </c>
      <c r="D253" s="1">
        <v>5.74</v>
      </c>
      <c r="F253" s="1">
        <v>2.7</v>
      </c>
      <c r="G253" s="1">
        <v>3.6</v>
      </c>
      <c r="H253" s="1">
        <v>6.7</v>
      </c>
    </row>
    <row r="254" spans="1:8">
      <c r="A254" t="s">
        <v>1864</v>
      </c>
      <c r="B254" s="1">
        <v>2.7299999999999902</v>
      </c>
      <c r="C254" s="1">
        <v>3.84</v>
      </c>
      <c r="D254" s="1">
        <v>4.5166666666666604</v>
      </c>
      <c r="F254" s="1">
        <v>2.7</v>
      </c>
      <c r="G254" s="1">
        <v>3.7</v>
      </c>
      <c r="H254" s="1">
        <v>6.8</v>
      </c>
    </row>
    <row r="255" spans="1:8">
      <c r="A255" t="s">
        <v>1866</v>
      </c>
      <c r="B255" s="1">
        <v>2.8633333333333302</v>
      </c>
      <c r="C255" s="1">
        <v>4.07666666666666</v>
      </c>
      <c r="D255" s="1">
        <v>5.0533333333333301</v>
      </c>
      <c r="F255" s="1">
        <v>2.9</v>
      </c>
      <c r="G255" s="1">
        <v>4</v>
      </c>
      <c r="H255" s="1">
        <v>7.4</v>
      </c>
    </row>
    <row r="256" spans="1:8">
      <c r="A256" t="s">
        <v>1868</v>
      </c>
      <c r="B256" s="1">
        <v>3.0066666666666602</v>
      </c>
      <c r="C256" s="1">
        <v>4.2366666666666601</v>
      </c>
      <c r="D256" s="1">
        <v>7.37</v>
      </c>
      <c r="F256" s="1">
        <v>3.2</v>
      </c>
      <c r="G256" s="1">
        <v>4.5</v>
      </c>
      <c r="H256" s="1">
        <v>8.8000000000000007</v>
      </c>
    </row>
    <row r="257" spans="1:8">
      <c r="A257" t="s">
        <v>1870</v>
      </c>
      <c r="B257" s="1">
        <v>1.9933333333333301</v>
      </c>
      <c r="C257" s="1">
        <v>2.7233333333333301</v>
      </c>
      <c r="D257" s="1">
        <v>4.0733333333333297</v>
      </c>
      <c r="F257" s="1">
        <v>3.3</v>
      </c>
      <c r="G257" s="1">
        <v>4.5999999999999996</v>
      </c>
      <c r="H257" s="1">
        <v>8</v>
      </c>
    </row>
    <row r="258" spans="1:8">
      <c r="A258" t="s">
        <v>1872</v>
      </c>
      <c r="B258" s="1">
        <v>2.37</v>
      </c>
      <c r="C258" s="1">
        <v>3.2733333333333299</v>
      </c>
      <c r="D258" s="1">
        <v>5.3766666666666598</v>
      </c>
      <c r="F258" s="1">
        <v>2.8</v>
      </c>
      <c r="G258" s="1">
        <v>4</v>
      </c>
      <c r="H258" s="1">
        <v>7.4</v>
      </c>
    </row>
    <row r="259" spans="1:8">
      <c r="A259" t="s">
        <v>1874</v>
      </c>
      <c r="B259" s="1">
        <v>2.2533333333333299</v>
      </c>
      <c r="C259" s="1">
        <v>3.18</v>
      </c>
      <c r="D259" s="1">
        <v>4.6133333333333297</v>
      </c>
      <c r="F259" s="1">
        <v>2.7</v>
      </c>
      <c r="G259" s="1">
        <v>3.7</v>
      </c>
      <c r="H259" s="1">
        <v>7.8</v>
      </c>
    </row>
    <row r="260" spans="1:8">
      <c r="A260" t="s">
        <v>1876</v>
      </c>
      <c r="B260" s="1">
        <v>2.53666666666666</v>
      </c>
      <c r="C260" s="1">
        <v>3.73999999999999</v>
      </c>
      <c r="D260" s="1">
        <v>5.51</v>
      </c>
      <c r="F260" s="1">
        <v>2.8</v>
      </c>
      <c r="G260" s="1">
        <v>4.2</v>
      </c>
      <c r="H260" s="1">
        <v>10.1</v>
      </c>
    </row>
    <row r="261" spans="1:8">
      <c r="A261" t="s">
        <v>1878</v>
      </c>
      <c r="B261" s="1">
        <v>2.81</v>
      </c>
      <c r="C261" s="1">
        <v>3.56</v>
      </c>
      <c r="D261" s="1">
        <v>5.0866666666666598</v>
      </c>
      <c r="F261" s="1">
        <v>3.2</v>
      </c>
      <c r="G261" s="1">
        <v>5</v>
      </c>
      <c r="H261" s="1">
        <v>13.2</v>
      </c>
    </row>
    <row r="262" spans="1:8">
      <c r="A262" t="s">
        <v>1880</v>
      </c>
      <c r="B262" s="1">
        <v>3.2633333333333301</v>
      </c>
      <c r="C262" s="1">
        <v>4.9033333333333298</v>
      </c>
      <c r="D262" s="1">
        <v>8.1733333333333302</v>
      </c>
      <c r="F262" s="1">
        <v>3.5</v>
      </c>
      <c r="G262" s="1">
        <v>5.4</v>
      </c>
      <c r="H262" s="1">
        <v>14.2</v>
      </c>
    </row>
    <row r="263" spans="1:8">
      <c r="A263" t="s">
        <v>1882</v>
      </c>
      <c r="B263" s="1">
        <v>3.0633333333333299</v>
      </c>
      <c r="C263" s="1">
        <v>4.8499999999999996</v>
      </c>
      <c r="D263" s="1">
        <v>6.2833333333333297</v>
      </c>
      <c r="F263" s="1">
        <v>3.5</v>
      </c>
      <c r="G263" s="1">
        <v>5.4</v>
      </c>
      <c r="H263" s="1">
        <v>13.3</v>
      </c>
    </row>
    <row r="264" spans="1:8">
      <c r="A264" t="s">
        <v>1885</v>
      </c>
      <c r="B264" s="1">
        <v>2.5733333333333301</v>
      </c>
      <c r="C264" s="1">
        <v>3.9</v>
      </c>
      <c r="D264" s="1">
        <v>5.2066666666666599</v>
      </c>
      <c r="F264" s="1">
        <v>3.2</v>
      </c>
      <c r="G264" s="1">
        <v>5.2</v>
      </c>
      <c r="H264" s="1">
        <v>15.7</v>
      </c>
    </row>
    <row r="265" spans="1:8">
      <c r="A265" t="s">
        <v>1887</v>
      </c>
      <c r="B265" s="1">
        <v>2.7166666666666601</v>
      </c>
      <c r="C265" s="1">
        <v>4.1333333333333302</v>
      </c>
      <c r="D265" s="1">
        <v>5.46</v>
      </c>
      <c r="F265" s="1">
        <v>3</v>
      </c>
      <c r="G265" s="1">
        <v>4.5999999999999996</v>
      </c>
      <c r="H265" s="1">
        <v>12.9</v>
      </c>
    </row>
    <row r="266" spans="1:8">
      <c r="A266" t="s">
        <v>1889</v>
      </c>
      <c r="B266" s="1">
        <v>2.5133333333333301</v>
      </c>
      <c r="C266" s="1">
        <v>3.95</v>
      </c>
      <c r="D266" s="1">
        <v>4.92</v>
      </c>
      <c r="F266" s="1">
        <v>3.1</v>
      </c>
      <c r="G266" s="1">
        <v>4.7</v>
      </c>
      <c r="H266" s="1">
        <v>13.2</v>
      </c>
    </row>
    <row r="267" spans="1:8">
      <c r="A267" t="s">
        <v>1891</v>
      </c>
      <c r="B267" s="1">
        <v>2.8866666666666601</v>
      </c>
      <c r="C267" s="1">
        <v>4.0433333333333303</v>
      </c>
      <c r="D267" s="1">
        <v>6.5266666666666602</v>
      </c>
      <c r="F267" s="1">
        <v>2.7</v>
      </c>
      <c r="G267" s="1">
        <v>4.0999999999999996</v>
      </c>
      <c r="H267" s="1">
        <v>10.7</v>
      </c>
    </row>
    <row r="268" spans="1:8">
      <c r="A268" t="s">
        <v>1893</v>
      </c>
      <c r="B268" s="1">
        <v>2.64</v>
      </c>
      <c r="C268" s="1">
        <v>3.7833333333333301</v>
      </c>
      <c r="D268" s="1">
        <v>4.7733333333333299</v>
      </c>
      <c r="F268" s="1">
        <v>3.1</v>
      </c>
      <c r="G268" s="1">
        <v>4.4000000000000004</v>
      </c>
      <c r="H268" s="1">
        <v>10.8</v>
      </c>
    </row>
    <row r="269" spans="1:8">
      <c r="A269" t="s">
        <v>1895</v>
      </c>
      <c r="B269" s="1">
        <v>2.38</v>
      </c>
      <c r="C269" s="1">
        <v>3.59666666666666</v>
      </c>
      <c r="D269" s="1">
        <v>4.86666666666666</v>
      </c>
      <c r="F269" s="1">
        <v>2.9</v>
      </c>
      <c r="G269" s="1">
        <v>4</v>
      </c>
      <c r="H269" s="1">
        <v>8.1999999999999993</v>
      </c>
    </row>
    <row r="270" spans="1:8">
      <c r="A270" t="s">
        <v>1896</v>
      </c>
      <c r="B270" s="1">
        <v>1.9566666666666599</v>
      </c>
      <c r="C270" s="1">
        <v>2.96999999999999</v>
      </c>
      <c r="D270" s="1">
        <v>4.0299999999999896</v>
      </c>
      <c r="F270" s="1">
        <v>2.5</v>
      </c>
      <c r="G270" s="1">
        <v>3.6</v>
      </c>
      <c r="H270" s="1">
        <v>7.3</v>
      </c>
    </row>
    <row r="271" spans="1:8">
      <c r="A271" t="s">
        <v>1898</v>
      </c>
      <c r="B271" s="1">
        <v>1.82</v>
      </c>
      <c r="C271" s="1">
        <v>2.4766666666666599</v>
      </c>
      <c r="D271" s="1">
        <v>5.1133333333333297</v>
      </c>
      <c r="F271" s="1">
        <v>2.1</v>
      </c>
      <c r="G271" s="1">
        <v>3.3</v>
      </c>
      <c r="H271" s="1">
        <v>7.5</v>
      </c>
    </row>
    <row r="272" spans="1:8">
      <c r="A272" t="s">
        <v>1900</v>
      </c>
      <c r="B272" s="1">
        <v>2.0899999999999901</v>
      </c>
      <c r="C272" s="1">
        <v>2.92</v>
      </c>
      <c r="D272" s="1">
        <v>4.07666666666666</v>
      </c>
      <c r="F272" s="1">
        <v>2.1</v>
      </c>
      <c r="G272" s="1">
        <v>3.2</v>
      </c>
      <c r="H272" s="1">
        <v>6.8</v>
      </c>
    </row>
    <row r="273" spans="1:8">
      <c r="A273" t="s">
        <v>1901</v>
      </c>
      <c r="B273" s="1">
        <v>2.3033333333333301</v>
      </c>
      <c r="C273" s="1">
        <v>3.11666666666666</v>
      </c>
      <c r="D273" s="1">
        <v>5.94</v>
      </c>
      <c r="F273" s="1">
        <v>2.2999999999999998</v>
      </c>
      <c r="G273" s="1">
        <v>3.4</v>
      </c>
      <c r="H273" s="1">
        <v>7.1</v>
      </c>
    </row>
    <row r="274" spans="1:8">
      <c r="A274" t="s">
        <v>1902</v>
      </c>
      <c r="B274" s="1">
        <v>2.3499999999999899</v>
      </c>
      <c r="C274" s="1">
        <v>3.5266666666666602</v>
      </c>
      <c r="D274" s="1">
        <v>5.0033333333333303</v>
      </c>
      <c r="F274" s="1">
        <v>2.6</v>
      </c>
      <c r="G274" s="1">
        <v>4.3</v>
      </c>
      <c r="H274" s="1">
        <v>11.2</v>
      </c>
    </row>
    <row r="275" spans="1:8">
      <c r="A275" t="s">
        <v>1904</v>
      </c>
      <c r="B275" s="1">
        <v>2.3166666666666602</v>
      </c>
      <c r="C275" s="1">
        <v>3.2466666666666599</v>
      </c>
      <c r="D275" s="1">
        <v>5.0199999999999898</v>
      </c>
      <c r="F275" s="1">
        <v>2.5</v>
      </c>
      <c r="G275" s="1">
        <v>4.7</v>
      </c>
      <c r="H275" s="1">
        <v>17.100000000000001</v>
      </c>
    </row>
    <row r="276" spans="1:8">
      <c r="A276" t="s">
        <v>1907</v>
      </c>
      <c r="B276" s="1">
        <v>2.1466666666666598</v>
      </c>
      <c r="C276" s="1">
        <v>3.03</v>
      </c>
      <c r="D276" s="1">
        <v>5.2799999999999896</v>
      </c>
      <c r="F276" s="1">
        <v>2.4</v>
      </c>
      <c r="G276" s="1">
        <v>4.0999999999999996</v>
      </c>
      <c r="H276" s="1">
        <v>12.7</v>
      </c>
    </row>
    <row r="277" spans="1:8">
      <c r="A277" t="s">
        <v>1908</v>
      </c>
      <c r="B277" s="1">
        <v>1.6866666666666601</v>
      </c>
      <c r="C277" s="1">
        <v>2.8233333333333301</v>
      </c>
      <c r="D277" s="1">
        <v>3.93333333333333</v>
      </c>
      <c r="F277" s="1">
        <v>2.4</v>
      </c>
      <c r="G277" s="1">
        <v>4</v>
      </c>
      <c r="H277" s="1">
        <v>12.3</v>
      </c>
    </row>
    <row r="278" spans="1:8">
      <c r="A278" t="s">
        <v>1910</v>
      </c>
      <c r="B278" s="1">
        <v>1.4833333333333301</v>
      </c>
      <c r="C278" s="1">
        <v>2.14</v>
      </c>
      <c r="D278" s="1">
        <v>2.75</v>
      </c>
      <c r="F278" s="1">
        <v>2.1</v>
      </c>
      <c r="G278" s="1">
        <v>3.6</v>
      </c>
      <c r="H278" s="1">
        <v>10.4</v>
      </c>
    </row>
    <row r="279" spans="1:8">
      <c r="A279" t="s">
        <v>1913</v>
      </c>
      <c r="B279" s="1">
        <v>1.6366666666666601</v>
      </c>
      <c r="C279" s="1">
        <v>2.42</v>
      </c>
      <c r="D279" s="1">
        <v>4.5666666666666602</v>
      </c>
      <c r="F279" s="1">
        <v>1.9</v>
      </c>
      <c r="G279" s="1">
        <v>3</v>
      </c>
      <c r="H279" s="1">
        <v>8.6999999999999993</v>
      </c>
    </row>
    <row r="280" spans="1:8">
      <c r="A280" t="s">
        <v>1915</v>
      </c>
      <c r="B280" s="1">
        <v>1.29666666666666</v>
      </c>
      <c r="C280" s="1">
        <v>1.87333333333333</v>
      </c>
      <c r="D280" s="1">
        <v>3.31</v>
      </c>
      <c r="F280" s="1">
        <v>1.8</v>
      </c>
      <c r="G280" s="1">
        <v>2.9</v>
      </c>
      <c r="H280" s="1">
        <v>6.6</v>
      </c>
    </row>
    <row r="281" spans="1:8">
      <c r="A281" t="s">
        <v>1916</v>
      </c>
      <c r="B281" s="1">
        <v>1.31666666666666</v>
      </c>
      <c r="C281" s="1">
        <v>2.31</v>
      </c>
      <c r="D281" s="1">
        <v>4.2833333333333297</v>
      </c>
      <c r="F281" s="1">
        <v>1.8</v>
      </c>
      <c r="G281" s="1">
        <v>3.1</v>
      </c>
      <c r="H281" s="1">
        <v>7.9</v>
      </c>
    </row>
    <row r="282" spans="1:8">
      <c r="A282" t="s">
        <v>1918</v>
      </c>
      <c r="B282" s="1">
        <v>1.89</v>
      </c>
      <c r="C282" s="1">
        <v>2.9166666666666599</v>
      </c>
      <c r="D282" s="1">
        <v>4.3366666666666598</v>
      </c>
      <c r="F282" s="1">
        <v>1.9</v>
      </c>
      <c r="G282" s="1">
        <v>3.6</v>
      </c>
      <c r="H282" s="1">
        <v>11</v>
      </c>
    </row>
    <row r="283" spans="1:8">
      <c r="A283" t="s">
        <v>1920</v>
      </c>
      <c r="B283" s="1">
        <v>1.2233333333333301</v>
      </c>
      <c r="C283" s="1">
        <v>1.77</v>
      </c>
      <c r="D283" s="1">
        <v>2.56</v>
      </c>
      <c r="F283" s="1">
        <v>2.2999999999999998</v>
      </c>
      <c r="G283" s="1">
        <v>4.4000000000000004</v>
      </c>
      <c r="H283" s="1">
        <v>13.3</v>
      </c>
    </row>
    <row r="284" spans="1:8">
      <c r="A284" t="s">
        <v>1922</v>
      </c>
      <c r="B284" s="1">
        <v>1.4866666666666599</v>
      </c>
      <c r="C284" s="1">
        <v>2.05666666666666</v>
      </c>
      <c r="D284" s="1">
        <v>3.0866666666666598</v>
      </c>
      <c r="F284" s="1">
        <v>1.9</v>
      </c>
      <c r="G284" s="1">
        <v>3.2</v>
      </c>
      <c r="H284" s="1">
        <v>8.6999999999999993</v>
      </c>
    </row>
    <row r="285" spans="1:8">
      <c r="A285" t="s">
        <v>1924</v>
      </c>
      <c r="B285" s="1">
        <v>1.38</v>
      </c>
      <c r="C285" s="1">
        <v>1.78666666666666</v>
      </c>
      <c r="D285" s="1">
        <v>2.5533333333333301</v>
      </c>
      <c r="F285" s="1">
        <v>1.8</v>
      </c>
      <c r="G285" s="1">
        <v>2.9</v>
      </c>
      <c r="H285" s="1">
        <v>7.6</v>
      </c>
    </row>
    <row r="286" spans="1:8">
      <c r="A286" t="s">
        <v>1926</v>
      </c>
      <c r="B286" s="1">
        <v>1.28</v>
      </c>
      <c r="C286" s="1">
        <v>1.8199999999999901</v>
      </c>
      <c r="D286" s="1">
        <v>3.7299999999999902</v>
      </c>
      <c r="F286" s="1">
        <v>1.8</v>
      </c>
      <c r="G286" s="1">
        <v>3.1</v>
      </c>
      <c r="H286" s="1">
        <v>8.1</v>
      </c>
    </row>
    <row r="287" spans="1:8">
      <c r="A287" t="s">
        <v>1928</v>
      </c>
      <c r="B287" s="1">
        <v>1.4566666666666599</v>
      </c>
      <c r="C287" s="1">
        <v>2.1566666666666601</v>
      </c>
      <c r="D287" s="1">
        <v>2.7766666666666602</v>
      </c>
      <c r="F287" s="1">
        <v>1.9</v>
      </c>
      <c r="G287" s="1">
        <v>3</v>
      </c>
      <c r="H287" s="1">
        <v>7.4</v>
      </c>
    </row>
    <row r="288" spans="1:8">
      <c r="A288" t="s">
        <v>1930</v>
      </c>
      <c r="B288" s="1">
        <v>1.7366666666666599</v>
      </c>
      <c r="C288" s="1">
        <v>2.2433333333333301</v>
      </c>
      <c r="D288" s="1">
        <v>4.7233333333333301</v>
      </c>
      <c r="F288" s="1">
        <v>1.9</v>
      </c>
      <c r="G288" s="1">
        <v>2.9</v>
      </c>
      <c r="H288" s="1">
        <v>6.4</v>
      </c>
    </row>
    <row r="289" spans="1:8">
      <c r="A289" t="s">
        <v>1932</v>
      </c>
      <c r="B289" s="1">
        <v>1.44</v>
      </c>
      <c r="C289" s="1">
        <v>2.0499999999999901</v>
      </c>
      <c r="D289" s="1">
        <v>2.78666666666666</v>
      </c>
      <c r="F289" s="1">
        <v>2.1</v>
      </c>
      <c r="G289" s="1">
        <v>3.4</v>
      </c>
      <c r="H289" s="1">
        <v>9.5</v>
      </c>
    </row>
    <row r="290" spans="1:8">
      <c r="A290" t="s">
        <v>1933</v>
      </c>
      <c r="B290" s="1">
        <v>1.7833333333333301</v>
      </c>
      <c r="C290" s="1">
        <v>2.6033333333333299</v>
      </c>
      <c r="D290" s="1">
        <v>4.2899999999999903</v>
      </c>
      <c r="F290" s="1">
        <v>1.9</v>
      </c>
      <c r="G290" s="1">
        <v>3.1</v>
      </c>
      <c r="H290" s="1">
        <v>8.4</v>
      </c>
    </row>
    <row r="291" spans="1:8">
      <c r="A291" t="s">
        <v>1934</v>
      </c>
      <c r="B291" s="1">
        <v>1.62666666666666</v>
      </c>
      <c r="C291" s="1">
        <v>2.2799999999999998</v>
      </c>
      <c r="D291" s="1">
        <v>4.0733333333333297</v>
      </c>
      <c r="F291" s="1">
        <v>1.9</v>
      </c>
      <c r="G291" s="1">
        <v>3.1</v>
      </c>
      <c r="H291" s="1">
        <v>7.5</v>
      </c>
    </row>
    <row r="292" spans="1:8">
      <c r="A292" t="s">
        <v>1935</v>
      </c>
      <c r="B292" s="1">
        <v>1.9466666666666601</v>
      </c>
      <c r="C292" s="1">
        <v>3.08</v>
      </c>
      <c r="D292" s="1">
        <v>3.5233333333333299</v>
      </c>
      <c r="F292" s="1">
        <v>1.9</v>
      </c>
      <c r="G292" s="1">
        <v>2.9</v>
      </c>
      <c r="H292" s="1">
        <v>6.3</v>
      </c>
    </row>
    <row r="293" spans="1:8">
      <c r="A293" t="s">
        <v>1937</v>
      </c>
      <c r="B293" s="1">
        <v>2.1933333333333298</v>
      </c>
      <c r="C293" s="1">
        <v>2.93</v>
      </c>
      <c r="D293" s="1">
        <v>5.19</v>
      </c>
      <c r="F293" s="1">
        <v>2.2000000000000002</v>
      </c>
      <c r="G293" s="1">
        <v>3.3</v>
      </c>
      <c r="H293" s="1">
        <v>7.7</v>
      </c>
    </row>
    <row r="294" spans="1:8">
      <c r="A294" t="s">
        <v>1939</v>
      </c>
      <c r="B294" s="1">
        <v>2.34666666666666</v>
      </c>
      <c r="C294" s="1">
        <v>3.1766666666666601</v>
      </c>
      <c r="D294" s="1">
        <v>4.9066666666666601</v>
      </c>
      <c r="F294" s="1">
        <v>2.1</v>
      </c>
      <c r="G294" s="1">
        <v>3.5</v>
      </c>
      <c r="H294" s="1">
        <v>9.1</v>
      </c>
    </row>
    <row r="295" spans="1:8">
      <c r="A295" t="s">
        <v>1941</v>
      </c>
      <c r="B295" s="1">
        <v>2.1466666666666598</v>
      </c>
      <c r="C295" s="1">
        <v>2.9866666666666601</v>
      </c>
      <c r="D295" s="1">
        <v>5.9633333333333303</v>
      </c>
      <c r="F295" s="1">
        <v>2.2000000000000002</v>
      </c>
      <c r="G295" s="1">
        <v>3.7</v>
      </c>
      <c r="H295" s="1">
        <v>9.9</v>
      </c>
    </row>
    <row r="296" spans="1:8">
      <c r="A296" t="s">
        <v>1942</v>
      </c>
      <c r="B296" s="1">
        <v>3.6933333333333298</v>
      </c>
      <c r="C296" s="1">
        <v>4.86666666666666</v>
      </c>
      <c r="D296" s="1">
        <v>5.85</v>
      </c>
      <c r="F296" s="1">
        <v>2.6</v>
      </c>
      <c r="G296" s="1">
        <v>4</v>
      </c>
      <c r="H296" s="1">
        <v>9.4</v>
      </c>
    </row>
    <row r="297" spans="1:8">
      <c r="A297" t="s">
        <v>1944</v>
      </c>
      <c r="B297" s="1">
        <v>2.62333333333333</v>
      </c>
      <c r="C297" s="1">
        <v>3.3166666666666602</v>
      </c>
      <c r="D297" s="1">
        <v>4.3733333333333304</v>
      </c>
      <c r="F297" s="1">
        <v>3.7</v>
      </c>
      <c r="G297" s="1">
        <v>5.2</v>
      </c>
      <c r="H297" s="1">
        <v>10.4</v>
      </c>
    </row>
    <row r="298" spans="1:8">
      <c r="A298" t="s">
        <v>1946</v>
      </c>
      <c r="B298" s="1">
        <v>2.79</v>
      </c>
      <c r="C298" s="1">
        <v>3.6</v>
      </c>
      <c r="D298" s="1">
        <v>4.7666666666666604</v>
      </c>
      <c r="F298" s="1">
        <v>3.4</v>
      </c>
      <c r="G298" s="1">
        <v>4.8</v>
      </c>
      <c r="H298" s="1">
        <v>9.5</v>
      </c>
    </row>
    <row r="299" spans="1:8">
      <c r="A299" t="s">
        <v>1948</v>
      </c>
      <c r="B299" s="1">
        <v>2.6766666666666601</v>
      </c>
      <c r="C299" s="1">
        <v>3.5833333333333299</v>
      </c>
      <c r="D299" s="1">
        <v>4.1333333333333302</v>
      </c>
      <c r="F299" s="1">
        <v>4.0999999999999996</v>
      </c>
      <c r="G299" s="1">
        <v>5.5</v>
      </c>
      <c r="H299" s="1">
        <v>11.2</v>
      </c>
    </row>
    <row r="300" spans="1:8">
      <c r="A300" t="s">
        <v>1950</v>
      </c>
      <c r="B300" s="1">
        <v>3.1366666666666601</v>
      </c>
      <c r="C300" s="1">
        <v>3.9866666666666601</v>
      </c>
      <c r="D300" s="1">
        <v>5.4833333333333298</v>
      </c>
      <c r="F300" s="1">
        <v>4.4000000000000004</v>
      </c>
      <c r="G300" s="1">
        <v>5.9</v>
      </c>
      <c r="H300" s="1">
        <v>11.7</v>
      </c>
    </row>
    <row r="301" spans="1:8">
      <c r="A301" t="s">
        <v>1952</v>
      </c>
      <c r="B301" s="1">
        <v>3.6033333333333299</v>
      </c>
      <c r="C301" s="1">
        <v>5.28</v>
      </c>
      <c r="D301" s="1">
        <v>6.0333333333333297</v>
      </c>
      <c r="F301" s="1">
        <v>5.3</v>
      </c>
      <c r="G301" s="1">
        <v>7</v>
      </c>
      <c r="H301" s="1">
        <v>13.1</v>
      </c>
    </row>
    <row r="302" spans="1:8">
      <c r="A302" t="s">
        <v>1954</v>
      </c>
      <c r="B302" s="1">
        <v>6.1466666666666603</v>
      </c>
      <c r="C302" s="1">
        <v>8.77</v>
      </c>
      <c r="D302" s="1">
        <v>10.7866666666666</v>
      </c>
      <c r="F302" s="1">
        <v>7</v>
      </c>
      <c r="G302" s="1">
        <v>8.9</v>
      </c>
      <c r="H302" s="1">
        <v>16</v>
      </c>
    </row>
    <row r="303" spans="1:8">
      <c r="A303" t="s">
        <v>1957</v>
      </c>
      <c r="B303" s="1">
        <v>11.626666666666599</v>
      </c>
      <c r="C303" s="1">
        <v>16.023333333333301</v>
      </c>
      <c r="D303" s="1">
        <v>19.906666666666599</v>
      </c>
      <c r="F303" s="1">
        <v>9.6999999999999993</v>
      </c>
      <c r="G303" s="1">
        <v>11.9</v>
      </c>
      <c r="H303" s="1">
        <v>19.8</v>
      </c>
    </row>
    <row r="304" spans="1:8">
      <c r="A304" t="s">
        <v>1959</v>
      </c>
      <c r="B304" s="1">
        <v>9.2366666666666593</v>
      </c>
      <c r="C304" s="1">
        <v>11.983333333333301</v>
      </c>
      <c r="D304" s="1">
        <v>14.5766666666666</v>
      </c>
      <c r="F304" s="1">
        <v>14.7</v>
      </c>
      <c r="G304" s="1">
        <v>17.600000000000001</v>
      </c>
      <c r="H304" s="1">
        <v>28.5</v>
      </c>
    </row>
    <row r="305" spans="1:8">
      <c r="A305" t="s">
        <v>1962</v>
      </c>
      <c r="B305" s="1">
        <v>4.0433333333333303</v>
      </c>
      <c r="C305" s="1">
        <v>5.43333333333333</v>
      </c>
      <c r="D305" s="1">
        <v>6.3033333333333301</v>
      </c>
      <c r="F305" s="1">
        <v>14.5</v>
      </c>
      <c r="G305" s="1">
        <v>17</v>
      </c>
      <c r="H305" s="1">
        <v>26.7</v>
      </c>
    </row>
    <row r="306" spans="1:8">
      <c r="A306" t="s">
        <v>1967</v>
      </c>
      <c r="B306" s="1">
        <v>5.9866666666666601</v>
      </c>
      <c r="C306" s="1">
        <v>7.94</v>
      </c>
      <c r="D306" s="1">
        <v>10.809999999999899</v>
      </c>
      <c r="F306" s="1">
        <v>8.9</v>
      </c>
      <c r="G306" s="1">
        <v>10.5</v>
      </c>
      <c r="H306" s="1">
        <v>15.6</v>
      </c>
    </row>
    <row r="307" spans="1:8">
      <c r="A307" t="s">
        <v>1969</v>
      </c>
      <c r="B307" s="1">
        <v>2.8166666666666602</v>
      </c>
      <c r="C307" s="1">
        <v>3.6333333333333302</v>
      </c>
      <c r="D307" s="1">
        <v>4.8099999999999996</v>
      </c>
      <c r="F307" s="1">
        <v>7.5</v>
      </c>
      <c r="G307" s="1">
        <v>9</v>
      </c>
      <c r="H307" s="1">
        <v>13.2</v>
      </c>
    </row>
    <row r="308" spans="1:8">
      <c r="A308" t="s">
        <v>1971</v>
      </c>
      <c r="B308" s="1">
        <v>3.6566666666666601</v>
      </c>
      <c r="C308" s="1">
        <v>4.9433333333333298</v>
      </c>
      <c r="D308" s="1">
        <v>6.2699999999999898</v>
      </c>
      <c r="F308" s="1">
        <v>5.2</v>
      </c>
      <c r="G308" s="1">
        <v>6.5</v>
      </c>
      <c r="H308" s="1">
        <v>9.4</v>
      </c>
    </row>
    <row r="309" spans="1:8">
      <c r="A309" t="s">
        <v>1973</v>
      </c>
      <c r="B309" s="1">
        <v>8.2733333333333299</v>
      </c>
      <c r="C309" s="1">
        <v>10.9266666666666</v>
      </c>
      <c r="D309" s="1">
        <v>13.466666666666599</v>
      </c>
      <c r="F309" s="1">
        <v>6.2</v>
      </c>
      <c r="G309" s="1">
        <v>7.6</v>
      </c>
      <c r="H309" s="1">
        <v>11.9</v>
      </c>
    </row>
    <row r="310" spans="1:8">
      <c r="A310" t="s">
        <v>1975</v>
      </c>
      <c r="B310" s="1">
        <v>8.1033333333333299</v>
      </c>
      <c r="C310" s="1">
        <v>10.723333333333301</v>
      </c>
      <c r="D310" s="1">
        <v>13.3266666666666</v>
      </c>
      <c r="F310" s="1">
        <v>13.6</v>
      </c>
      <c r="G310" s="1">
        <v>15.6</v>
      </c>
      <c r="H310" s="1">
        <v>20.2</v>
      </c>
    </row>
    <row r="311" spans="1:8">
      <c r="A311" t="s">
        <v>1979</v>
      </c>
      <c r="B311" s="1">
        <v>8.1666666666666607</v>
      </c>
      <c r="C311" s="1">
        <v>10.703333333333299</v>
      </c>
      <c r="D311" s="1">
        <v>12.986666666666601</v>
      </c>
      <c r="F311" s="1">
        <v>17.600000000000001</v>
      </c>
      <c r="G311" s="1">
        <v>19.3</v>
      </c>
      <c r="H311" s="1">
        <v>23.5</v>
      </c>
    </row>
    <row r="312" spans="1:8">
      <c r="A312" t="s">
        <v>1982</v>
      </c>
      <c r="B312" s="1">
        <v>6.76</v>
      </c>
      <c r="C312" s="1">
        <v>8.8000000000000007</v>
      </c>
      <c r="D312" s="1">
        <v>10.713333333333299</v>
      </c>
      <c r="F312" s="1">
        <v>17.899999999999999</v>
      </c>
      <c r="G312" s="1">
        <v>19.5</v>
      </c>
      <c r="H312" s="1">
        <v>23</v>
      </c>
    </row>
    <row r="313" spans="1:8">
      <c r="A313" t="s">
        <v>1987</v>
      </c>
      <c r="B313" s="1">
        <v>12.2566666666666</v>
      </c>
      <c r="C313" s="1">
        <v>15.65</v>
      </c>
      <c r="D313" s="1">
        <v>16.956666666666599</v>
      </c>
      <c r="F313" s="1">
        <v>18.399999999999999</v>
      </c>
      <c r="G313" s="1">
        <v>20.100000000000001</v>
      </c>
      <c r="H313" s="1">
        <v>24</v>
      </c>
    </row>
    <row r="314" spans="1:8">
      <c r="A314" t="s">
        <v>1990</v>
      </c>
      <c r="B314" s="1">
        <v>11.976666666666601</v>
      </c>
      <c r="C314" s="1">
        <v>15.02</v>
      </c>
      <c r="D314" s="1">
        <v>18.156666666666599</v>
      </c>
      <c r="F314" s="1">
        <v>19.899999999999999</v>
      </c>
      <c r="G314" s="1">
        <v>21.6</v>
      </c>
      <c r="H314" s="1">
        <v>25.2</v>
      </c>
    </row>
    <row r="315" spans="1:8">
      <c r="A315" t="s">
        <v>1993</v>
      </c>
      <c r="B315" s="1">
        <v>10.06</v>
      </c>
      <c r="C315" s="1">
        <v>13.3466666666666</v>
      </c>
      <c r="D315" s="1">
        <v>16.086666666666599</v>
      </c>
      <c r="F315" s="1">
        <v>21.6</v>
      </c>
      <c r="G315" s="1">
        <v>23.4</v>
      </c>
      <c r="H315" s="1">
        <v>26.7</v>
      </c>
    </row>
    <row r="316" spans="1:8">
      <c r="A316" t="s">
        <v>1995</v>
      </c>
      <c r="B316" s="1">
        <v>11.533333333333299</v>
      </c>
      <c r="C316" s="1">
        <v>14.126666666666599</v>
      </c>
      <c r="D316" s="1">
        <v>16.5766666666666</v>
      </c>
      <c r="F316" s="1">
        <v>21.8</v>
      </c>
      <c r="G316" s="1">
        <v>23.7</v>
      </c>
      <c r="H316" s="1">
        <v>27.5</v>
      </c>
    </row>
    <row r="317" spans="1:8">
      <c r="A317" t="s">
        <v>2000</v>
      </c>
      <c r="B317" s="1">
        <v>11.543333333333299</v>
      </c>
      <c r="C317" s="1">
        <v>14.5133333333333</v>
      </c>
      <c r="D317" s="1">
        <v>17.336666666666599</v>
      </c>
      <c r="F317" s="1">
        <v>20</v>
      </c>
      <c r="G317" s="1">
        <v>21.6</v>
      </c>
      <c r="H317" s="1">
        <v>24.4</v>
      </c>
    </row>
    <row r="318" spans="1:8">
      <c r="A318" t="s">
        <v>2004</v>
      </c>
      <c r="B318" s="1">
        <v>12.486666666666601</v>
      </c>
      <c r="C318" s="1">
        <v>15.466666666666599</v>
      </c>
      <c r="D318" s="1">
        <v>19.889999999999901</v>
      </c>
      <c r="F318" s="1">
        <v>20.3</v>
      </c>
      <c r="G318" s="1">
        <v>21.7</v>
      </c>
      <c r="H318" s="1">
        <v>24.4</v>
      </c>
    </row>
    <row r="319" spans="1:8">
      <c r="A319" t="s">
        <v>2007</v>
      </c>
      <c r="B319" s="1">
        <v>14.6999999999999</v>
      </c>
      <c r="C319" s="1">
        <v>19.7</v>
      </c>
      <c r="D319" s="1">
        <v>22.033333333333299</v>
      </c>
      <c r="F319" s="1">
        <v>21.1</v>
      </c>
      <c r="G319" s="1">
        <v>22.7</v>
      </c>
      <c r="H319" s="1">
        <v>25.1</v>
      </c>
    </row>
    <row r="320" spans="1:8">
      <c r="A320" t="s">
        <v>2012</v>
      </c>
      <c r="B320" s="1">
        <v>17.11</v>
      </c>
      <c r="C320" s="1">
        <v>22.343333333333302</v>
      </c>
      <c r="D320" s="1">
        <v>27</v>
      </c>
      <c r="F320" s="1">
        <v>24.1</v>
      </c>
      <c r="G320" s="1">
        <v>25.6</v>
      </c>
      <c r="H320" s="1">
        <v>28.4</v>
      </c>
    </row>
    <row r="321" spans="1:8">
      <c r="A321" t="s">
        <v>2016</v>
      </c>
      <c r="B321" s="1">
        <v>14.543333333333299</v>
      </c>
      <c r="C321" s="1">
        <v>17.8799999999999</v>
      </c>
      <c r="D321" s="1">
        <v>20.82</v>
      </c>
      <c r="F321" s="1">
        <v>23.9</v>
      </c>
      <c r="G321" s="1">
        <v>25.3</v>
      </c>
      <c r="H321" s="1">
        <v>29</v>
      </c>
    </row>
    <row r="322" spans="1:8">
      <c r="A322" t="s">
        <v>2020</v>
      </c>
      <c r="B322" s="1">
        <v>13.12</v>
      </c>
      <c r="C322" s="1">
        <v>16.963333333333299</v>
      </c>
      <c r="D322" s="1">
        <v>19.04</v>
      </c>
      <c r="F322" s="1">
        <v>20.9</v>
      </c>
      <c r="G322" s="1">
        <v>22.2</v>
      </c>
      <c r="H322" s="1">
        <v>24.6</v>
      </c>
    </row>
    <row r="323" spans="1:8">
      <c r="A323" t="s">
        <v>2024</v>
      </c>
      <c r="B323" s="1">
        <v>9.4600000000000009</v>
      </c>
      <c r="C323" s="1">
        <v>12.0033333333333</v>
      </c>
      <c r="D323" s="1">
        <v>14.04</v>
      </c>
      <c r="F323" s="1">
        <v>18.600000000000001</v>
      </c>
      <c r="G323" s="1">
        <v>19.600000000000001</v>
      </c>
      <c r="H323" s="1">
        <v>21.6</v>
      </c>
    </row>
    <row r="324" spans="1:8">
      <c r="A324" t="s">
        <v>2028</v>
      </c>
      <c r="B324" s="1">
        <v>6.6066666666666602</v>
      </c>
      <c r="C324" s="1">
        <v>9.0533333333333292</v>
      </c>
      <c r="D324" s="1">
        <v>12.579999999999901</v>
      </c>
      <c r="F324" s="1">
        <v>13.8</v>
      </c>
      <c r="G324" s="1">
        <v>14.7</v>
      </c>
      <c r="H324" s="1">
        <v>16.5</v>
      </c>
    </row>
    <row r="325" spans="1:8">
      <c r="A325" t="s">
        <v>2030</v>
      </c>
      <c r="B325" s="1">
        <v>5.59</v>
      </c>
      <c r="C325" s="1">
        <v>7.8733333333333304</v>
      </c>
      <c r="D325" s="1">
        <v>9.3766666666666598</v>
      </c>
      <c r="F325" s="1">
        <v>9.4</v>
      </c>
      <c r="G325" s="1">
        <v>10.1</v>
      </c>
      <c r="H325" s="1">
        <v>11.8</v>
      </c>
    </row>
    <row r="326" spans="1:8">
      <c r="A326" t="s">
        <v>2032</v>
      </c>
      <c r="B326" s="1">
        <v>5.2066666666666599</v>
      </c>
      <c r="C326" s="1">
        <v>6.9533333333333296</v>
      </c>
      <c r="D326" s="1">
        <v>7.7366666666666601</v>
      </c>
      <c r="F326" s="1">
        <v>8.6999999999999993</v>
      </c>
      <c r="G326" s="1">
        <v>9.5</v>
      </c>
      <c r="H326" s="1">
        <v>11</v>
      </c>
    </row>
    <row r="327" spans="1:8">
      <c r="A327" t="s">
        <v>2034</v>
      </c>
      <c r="B327" s="1">
        <v>7.18</v>
      </c>
      <c r="C327" s="1">
        <v>9.02</v>
      </c>
      <c r="D327" s="1">
        <v>10.49</v>
      </c>
      <c r="F327" s="1">
        <v>8.5</v>
      </c>
      <c r="G327" s="1">
        <v>9.1999999999999993</v>
      </c>
      <c r="H327" s="1">
        <v>10.5</v>
      </c>
    </row>
    <row r="328" spans="1:8">
      <c r="A328" t="s">
        <v>2036</v>
      </c>
      <c r="B328" s="1">
        <v>10.79</v>
      </c>
      <c r="C328" s="1">
        <v>14.3266666666666</v>
      </c>
      <c r="D328" s="1">
        <v>17.133333333333301</v>
      </c>
      <c r="F328" s="1">
        <v>11.3</v>
      </c>
      <c r="G328" s="1">
        <v>12.2</v>
      </c>
      <c r="H328" s="1">
        <v>13.5</v>
      </c>
    </row>
    <row r="329" spans="1:8">
      <c r="A329" t="s">
        <v>2038</v>
      </c>
      <c r="B329" s="1">
        <v>6.1</v>
      </c>
      <c r="C329" s="1">
        <v>7.7566666666666597</v>
      </c>
      <c r="D329" s="1">
        <v>8.6399999999999899</v>
      </c>
      <c r="F329" s="1">
        <v>12.9</v>
      </c>
      <c r="G329" s="1">
        <v>13.9</v>
      </c>
      <c r="H329" s="1">
        <v>16.100000000000001</v>
      </c>
    </row>
    <row r="330" spans="1:8">
      <c r="A330" t="s">
        <v>2042</v>
      </c>
      <c r="B330" s="1">
        <v>5.61666666666666</v>
      </c>
      <c r="C330" s="1">
        <v>7.3866666666666596</v>
      </c>
      <c r="D330" s="1">
        <v>10.5933333333333</v>
      </c>
      <c r="F330" s="1">
        <v>10.199999999999999</v>
      </c>
      <c r="G330" s="1">
        <v>11.1</v>
      </c>
      <c r="H330" s="1">
        <v>12.9</v>
      </c>
    </row>
    <row r="331" spans="1:8">
      <c r="A331" t="s">
        <v>2044</v>
      </c>
      <c r="B331" s="1">
        <v>5.6866666666666603</v>
      </c>
      <c r="C331" s="1">
        <v>7.2833333333333297</v>
      </c>
      <c r="D331" s="1">
        <v>8.3633333333333297</v>
      </c>
      <c r="F331" s="1">
        <v>9.4</v>
      </c>
      <c r="G331" s="1">
        <v>10.3</v>
      </c>
      <c r="H331" s="1">
        <v>11.9</v>
      </c>
    </row>
    <row r="332" spans="1:8">
      <c r="A332" t="s">
        <v>2046</v>
      </c>
      <c r="B332" s="1">
        <v>6.4633333333333303</v>
      </c>
      <c r="C332" s="1">
        <v>8.18333333333333</v>
      </c>
      <c r="D332" s="1">
        <v>9.6733333333333302</v>
      </c>
      <c r="F332" s="1">
        <v>10</v>
      </c>
      <c r="G332" s="1">
        <v>11</v>
      </c>
      <c r="H332" s="1">
        <v>13.3</v>
      </c>
    </row>
    <row r="333" spans="1:8">
      <c r="A333" t="s">
        <v>2048</v>
      </c>
      <c r="B333" s="1">
        <v>4.6966666666666601</v>
      </c>
      <c r="C333" s="1">
        <v>5.7299999999999898</v>
      </c>
      <c r="D333" s="1">
        <v>5.9833333333333298</v>
      </c>
      <c r="F333" s="1">
        <v>10.3</v>
      </c>
      <c r="G333" s="1">
        <v>11.4</v>
      </c>
      <c r="H333" s="1">
        <v>14.1</v>
      </c>
    </row>
    <row r="334" spans="1:8">
      <c r="A334" t="s">
        <v>2051</v>
      </c>
      <c r="B334" s="1">
        <v>6.7033333333333296</v>
      </c>
      <c r="C334" s="1">
        <v>8.82</v>
      </c>
      <c r="D334" s="1">
        <v>11.83</v>
      </c>
      <c r="F334" s="1">
        <v>10</v>
      </c>
      <c r="G334" s="1">
        <v>11.1</v>
      </c>
      <c r="H334" s="1">
        <v>13.4</v>
      </c>
    </row>
    <row r="335" spans="1:8">
      <c r="A335" t="s">
        <v>2054</v>
      </c>
      <c r="B335" s="1">
        <v>5.4666666666666597</v>
      </c>
      <c r="C335" s="1">
        <v>6.75</v>
      </c>
      <c r="D335" s="1">
        <v>9.36</v>
      </c>
      <c r="F335" s="1">
        <v>10.1</v>
      </c>
      <c r="G335" s="1">
        <v>11.2</v>
      </c>
      <c r="H335" s="1">
        <v>13.5</v>
      </c>
    </row>
    <row r="336" spans="1:8">
      <c r="A336" t="s">
        <v>2056</v>
      </c>
      <c r="B336" s="1">
        <v>5.2533333333333303</v>
      </c>
      <c r="C336" s="1">
        <v>6.6499999999999897</v>
      </c>
      <c r="D336" s="1">
        <v>8.4566666666666599</v>
      </c>
      <c r="F336" s="1">
        <v>9.5</v>
      </c>
      <c r="G336" s="1">
        <v>10.5</v>
      </c>
      <c r="H336" s="1">
        <v>12.4</v>
      </c>
    </row>
    <row r="337" spans="1:8">
      <c r="A337" t="s">
        <v>2058</v>
      </c>
      <c r="B337" s="1">
        <v>5.1333333333333302</v>
      </c>
      <c r="C337" s="1">
        <v>6.34</v>
      </c>
      <c r="D337" s="1">
        <v>7.79</v>
      </c>
      <c r="F337" s="1">
        <v>9.1999999999999993</v>
      </c>
      <c r="G337" s="1">
        <v>10.199999999999999</v>
      </c>
      <c r="H337" s="1">
        <v>11.8</v>
      </c>
    </row>
    <row r="338" spans="1:8">
      <c r="A338" t="s">
        <v>2060</v>
      </c>
      <c r="B338" s="1">
        <v>3.4299999999999899</v>
      </c>
      <c r="C338" s="1">
        <v>4.9166666666666599</v>
      </c>
      <c r="D338" s="1">
        <v>6.44</v>
      </c>
      <c r="F338" s="1">
        <v>8.1</v>
      </c>
      <c r="G338" s="1">
        <v>9.1</v>
      </c>
      <c r="H338" s="1">
        <v>10.6</v>
      </c>
    </row>
    <row r="339" spans="1:8">
      <c r="A339" t="s">
        <v>2062</v>
      </c>
      <c r="B339" s="1">
        <v>3.4666666666666601</v>
      </c>
      <c r="C339" s="1">
        <v>4.5833333333333304</v>
      </c>
      <c r="D339" s="1">
        <v>7.0466666666666598</v>
      </c>
      <c r="F339" s="1">
        <v>5.5</v>
      </c>
      <c r="G339" s="1">
        <v>6.9</v>
      </c>
      <c r="H339" s="1">
        <v>9.5</v>
      </c>
    </row>
    <row r="340" spans="1:8">
      <c r="A340" t="s">
        <v>2064</v>
      </c>
      <c r="B340" s="1">
        <v>3.4566666666666599</v>
      </c>
      <c r="C340" s="1">
        <v>5.5066666666666597</v>
      </c>
      <c r="D340" s="1">
        <v>7.6233333333333304</v>
      </c>
      <c r="F340" s="1">
        <v>4.7</v>
      </c>
      <c r="G340" s="1">
        <v>6.1</v>
      </c>
      <c r="H340" s="1">
        <v>8.6999999999999993</v>
      </c>
    </row>
    <row r="341" spans="1:8">
      <c r="A341" t="s">
        <v>2066</v>
      </c>
      <c r="B341" s="1">
        <v>3.3433333333333302</v>
      </c>
      <c r="C341" s="1">
        <v>3.7133333333333298</v>
      </c>
      <c r="D341" s="1">
        <v>5.03666666666666</v>
      </c>
      <c r="F341" s="1">
        <v>4</v>
      </c>
      <c r="G341" s="1">
        <v>5.8</v>
      </c>
      <c r="H341" s="1">
        <v>11.1</v>
      </c>
    </row>
    <row r="342" spans="1:8">
      <c r="A342" t="s">
        <v>2068</v>
      </c>
      <c r="B342" s="1">
        <v>4.2666666666666604</v>
      </c>
      <c r="C342" s="1">
        <v>4.75</v>
      </c>
      <c r="D342" s="1">
        <v>6.43333333333333</v>
      </c>
      <c r="F342" s="1">
        <v>3.3</v>
      </c>
      <c r="G342" s="1">
        <v>5.4</v>
      </c>
      <c r="H342" s="1">
        <v>10.6</v>
      </c>
    </row>
    <row r="343" spans="1:8">
      <c r="A343" t="s">
        <v>2069</v>
      </c>
      <c r="B343" s="1">
        <v>3.1866666666666599</v>
      </c>
      <c r="C343" s="1">
        <v>3.5499999999999901</v>
      </c>
      <c r="D343" s="1">
        <v>4.8099999999999996</v>
      </c>
      <c r="F343" s="1">
        <v>3.4</v>
      </c>
      <c r="G343" s="1">
        <v>5.8</v>
      </c>
      <c r="H343" s="1">
        <v>9.6999999999999993</v>
      </c>
    </row>
    <row r="344" spans="1:8">
      <c r="A344" t="s">
        <v>2071</v>
      </c>
      <c r="B344" s="1">
        <v>2.6</v>
      </c>
      <c r="C344" s="1">
        <v>3.5866666666666598</v>
      </c>
      <c r="D344" s="1">
        <v>4.82666666666666</v>
      </c>
      <c r="F344" s="1">
        <v>3.1</v>
      </c>
      <c r="G344" s="1">
        <v>5.2</v>
      </c>
      <c r="H344" s="1">
        <v>9.3000000000000007</v>
      </c>
    </row>
    <row r="345" spans="1:8">
      <c r="A345" t="s">
        <v>2073</v>
      </c>
      <c r="B345" s="1">
        <v>3.2499999999999898</v>
      </c>
      <c r="C345" s="1">
        <v>4.83</v>
      </c>
      <c r="D345" s="1">
        <v>7.59</v>
      </c>
      <c r="F345" s="1">
        <v>3.3</v>
      </c>
      <c r="G345" s="1">
        <v>5.0999999999999996</v>
      </c>
      <c r="H345" s="1">
        <v>8.8000000000000007</v>
      </c>
    </row>
    <row r="346" spans="1:8">
      <c r="A346" t="s">
        <v>2075</v>
      </c>
      <c r="B346" s="1">
        <v>2.66333333333333</v>
      </c>
      <c r="C346" s="1">
        <v>3.7499999999999898</v>
      </c>
      <c r="D346" s="1">
        <v>6.3</v>
      </c>
      <c r="F346" s="1">
        <v>3.8</v>
      </c>
      <c r="G346" s="1">
        <v>5.7</v>
      </c>
      <c r="H346" s="1">
        <v>9</v>
      </c>
    </row>
    <row r="347" spans="1:8">
      <c r="A347" t="s">
        <v>2077</v>
      </c>
      <c r="B347" s="1">
        <v>3.05666666666666</v>
      </c>
      <c r="C347" s="1">
        <v>3.99</v>
      </c>
      <c r="D347" s="1">
        <v>5.25</v>
      </c>
      <c r="F347" s="1">
        <v>4.0999999999999996</v>
      </c>
      <c r="G347" s="1">
        <v>6</v>
      </c>
      <c r="H347" s="1">
        <v>9.4</v>
      </c>
    </row>
    <row r="348" spans="1:8">
      <c r="A348" t="s">
        <v>2079</v>
      </c>
      <c r="B348" s="1">
        <v>3.67</v>
      </c>
      <c r="C348" s="1">
        <v>4.12</v>
      </c>
      <c r="D348" s="1">
        <v>5.5833333333333304</v>
      </c>
      <c r="F348" s="1">
        <v>4.2</v>
      </c>
      <c r="G348" s="1">
        <v>6</v>
      </c>
      <c r="H348" s="1">
        <v>10</v>
      </c>
    </row>
    <row r="349" spans="1:8">
      <c r="A349" t="s">
        <v>2081</v>
      </c>
      <c r="B349" s="1">
        <v>2.1566666666666601</v>
      </c>
      <c r="C349" s="1">
        <v>2.4366666666666599</v>
      </c>
      <c r="D349" s="1">
        <v>3.4033333333333302</v>
      </c>
      <c r="F349" s="1">
        <v>4.3</v>
      </c>
      <c r="G349" s="1">
        <v>6.3</v>
      </c>
      <c r="H349" s="1">
        <v>10.8</v>
      </c>
    </row>
    <row r="350" spans="1:8">
      <c r="A350" t="s">
        <v>2083</v>
      </c>
      <c r="B350" s="1">
        <v>3.2133333333333298</v>
      </c>
      <c r="C350" s="1">
        <v>4.3733333333333304</v>
      </c>
      <c r="D350" s="1">
        <v>5.6733333333333302</v>
      </c>
      <c r="F350" s="1">
        <v>4.5</v>
      </c>
      <c r="G350" s="1">
        <v>6.5</v>
      </c>
      <c r="H350" s="1">
        <v>10.9</v>
      </c>
    </row>
    <row r="351" spans="1:8">
      <c r="A351" t="s">
        <v>2085</v>
      </c>
      <c r="B351" s="1">
        <v>3.7833333333333301</v>
      </c>
      <c r="C351" s="1">
        <v>4.6533333333333298</v>
      </c>
      <c r="D351" s="1">
        <v>6.9766666666666604</v>
      </c>
      <c r="F351" s="1">
        <v>4.5</v>
      </c>
      <c r="G351" s="1">
        <v>6.6</v>
      </c>
      <c r="H351" s="1">
        <v>12.2</v>
      </c>
    </row>
    <row r="352" spans="1:8">
      <c r="A352" t="s">
        <v>2087</v>
      </c>
      <c r="B352" s="1">
        <v>2.58</v>
      </c>
      <c r="C352" s="1">
        <v>3.7533333333333299</v>
      </c>
      <c r="D352" s="1">
        <v>6.7266666666666604</v>
      </c>
      <c r="F352" s="1">
        <v>4.0999999999999996</v>
      </c>
      <c r="G352" s="1">
        <v>6.2</v>
      </c>
      <c r="H352" s="1">
        <v>13.6</v>
      </c>
    </row>
    <row r="353" spans="1:8">
      <c r="A353" t="s">
        <v>2089</v>
      </c>
      <c r="B353" s="1">
        <v>2.0433333333333299</v>
      </c>
      <c r="C353" s="1">
        <v>3.28666666666666</v>
      </c>
      <c r="D353" s="1">
        <v>4.3033333333333301</v>
      </c>
      <c r="F353" s="1">
        <v>3.2</v>
      </c>
      <c r="G353" s="1">
        <v>5.2</v>
      </c>
      <c r="H353" s="1">
        <v>11.9</v>
      </c>
    </row>
    <row r="354" spans="1:8">
      <c r="A354" t="s">
        <v>2091</v>
      </c>
      <c r="B354" s="1">
        <v>3.1866666666666599</v>
      </c>
      <c r="C354" s="1">
        <v>4.5333333333333297</v>
      </c>
      <c r="D354" s="1">
        <v>5.9366666666666603</v>
      </c>
      <c r="F354" s="1">
        <v>3.2</v>
      </c>
      <c r="G354" s="1">
        <v>5.3</v>
      </c>
      <c r="H354" s="1">
        <v>12.2</v>
      </c>
    </row>
    <row r="355" spans="1:8">
      <c r="A355" t="s">
        <v>2093</v>
      </c>
      <c r="B355" s="1">
        <v>3.32</v>
      </c>
      <c r="C355" s="1">
        <v>4.9966666666666599</v>
      </c>
      <c r="D355" s="1">
        <v>7.82666666666666</v>
      </c>
      <c r="F355" s="1">
        <v>3.6</v>
      </c>
      <c r="G355" s="1">
        <v>5.7</v>
      </c>
      <c r="H355" s="1">
        <v>12.4</v>
      </c>
    </row>
    <row r="356" spans="1:8">
      <c r="A356" t="s">
        <v>2095</v>
      </c>
      <c r="B356" s="1">
        <v>4.64333333333333</v>
      </c>
      <c r="C356" s="1">
        <v>6.4366666666666603</v>
      </c>
      <c r="D356" s="1">
        <v>10.9266666666666</v>
      </c>
      <c r="F356" s="1">
        <v>4.0999999999999996</v>
      </c>
      <c r="G356" s="1">
        <v>6.2</v>
      </c>
      <c r="H356" s="1">
        <v>12</v>
      </c>
    </row>
    <row r="357" spans="1:8">
      <c r="A357" t="s">
        <v>2097</v>
      </c>
      <c r="B357" s="1">
        <v>3.21</v>
      </c>
      <c r="C357" s="1">
        <v>4.4366666666666603</v>
      </c>
      <c r="D357" s="1">
        <v>7.0033333333333303</v>
      </c>
      <c r="F357" s="1">
        <v>4.0999999999999996</v>
      </c>
      <c r="G357" s="1">
        <v>6.2</v>
      </c>
      <c r="H357" s="1">
        <v>12.1</v>
      </c>
    </row>
    <row r="358" spans="1:8">
      <c r="A358" t="s">
        <v>2099</v>
      </c>
      <c r="B358" s="1">
        <v>3.0599999999999898</v>
      </c>
      <c r="C358" s="1">
        <v>4.6633333333333304</v>
      </c>
      <c r="D358" s="1">
        <v>7.3066666666666604</v>
      </c>
      <c r="F358" s="1">
        <v>3.6</v>
      </c>
      <c r="G358" s="1">
        <v>5.5</v>
      </c>
      <c r="H358" s="1">
        <v>11.9</v>
      </c>
    </row>
    <row r="359" spans="1:8">
      <c r="A359" t="s">
        <v>2101</v>
      </c>
      <c r="B359" s="1">
        <v>2.7466666666666599</v>
      </c>
      <c r="C359" s="1">
        <v>4.9233333333333302</v>
      </c>
      <c r="D359" s="1">
        <v>7.8499999999999899</v>
      </c>
      <c r="F359" s="1">
        <v>2.8</v>
      </c>
      <c r="G359" s="1">
        <v>4.4000000000000004</v>
      </c>
      <c r="H359" s="1">
        <v>9.6</v>
      </c>
    </row>
    <row r="360" spans="1:8">
      <c r="A360" t="s">
        <v>2103</v>
      </c>
      <c r="B360" s="1">
        <v>2.6766666666666601</v>
      </c>
      <c r="C360" s="1">
        <v>3.5666666666666602</v>
      </c>
      <c r="D360" s="1">
        <v>6.9466666666666601</v>
      </c>
      <c r="F360" s="1">
        <v>2.6</v>
      </c>
      <c r="G360" s="1">
        <v>5.3</v>
      </c>
      <c r="H360" s="1">
        <v>17.3</v>
      </c>
    </row>
    <row r="361" spans="1:8">
      <c r="A361" t="s">
        <v>2105</v>
      </c>
      <c r="B361" s="1">
        <v>2.4933333333333301</v>
      </c>
      <c r="C361" s="1">
        <v>3.6566666666666601</v>
      </c>
      <c r="D361" s="1">
        <v>5.2166666666666597</v>
      </c>
      <c r="F361" s="1">
        <v>2.5</v>
      </c>
      <c r="G361" s="1">
        <v>4.5</v>
      </c>
      <c r="H361" s="1">
        <v>12.2</v>
      </c>
    </row>
    <row r="362" spans="1:8">
      <c r="A362" t="s">
        <v>2107</v>
      </c>
      <c r="B362" s="1">
        <v>2.85</v>
      </c>
      <c r="C362" s="1">
        <v>4.3499999999999996</v>
      </c>
      <c r="D362" s="1">
        <v>8.8000000000000007</v>
      </c>
      <c r="F362" s="1">
        <v>2.8</v>
      </c>
      <c r="G362" s="1">
        <v>4.5999999999999996</v>
      </c>
      <c r="H362" s="1">
        <v>12.1</v>
      </c>
    </row>
    <row r="363" spans="1:8">
      <c r="A363" t="s">
        <v>2108</v>
      </c>
      <c r="B363" s="1">
        <v>2.30666666666666</v>
      </c>
      <c r="C363" s="1">
        <v>3.2333333333333298</v>
      </c>
      <c r="D363" s="1">
        <v>4.7033333333333296</v>
      </c>
      <c r="F363" s="1">
        <v>2.5</v>
      </c>
      <c r="G363" s="1">
        <v>4.2</v>
      </c>
      <c r="H363" s="1">
        <v>10.6</v>
      </c>
    </row>
    <row r="364" spans="1:8">
      <c r="A364" t="s">
        <v>2110</v>
      </c>
      <c r="B364" s="1">
        <v>2.4633333333333298</v>
      </c>
      <c r="C364" s="1">
        <v>3.2533333333333299</v>
      </c>
      <c r="D364" s="1">
        <v>5.3333333333333304</v>
      </c>
      <c r="F364" s="1">
        <v>2</v>
      </c>
      <c r="G364" s="1">
        <v>3.8</v>
      </c>
      <c r="H364" s="1">
        <v>11.2</v>
      </c>
    </row>
    <row r="365" spans="1:8">
      <c r="A365" t="s">
        <v>2111</v>
      </c>
      <c r="B365" s="1">
        <v>2.09666666666666</v>
      </c>
      <c r="C365" s="1">
        <v>3.03666666666666</v>
      </c>
      <c r="D365" s="1">
        <v>3.7733333333333299</v>
      </c>
      <c r="F365" s="1">
        <v>2.2999999999999998</v>
      </c>
      <c r="G365" s="1">
        <v>3.8</v>
      </c>
      <c r="H365" s="1">
        <v>9.6999999999999993</v>
      </c>
    </row>
    <row r="366" spans="1:8">
      <c r="A366" t="s">
        <v>2113</v>
      </c>
      <c r="B366" s="1">
        <v>1.8533333333333299</v>
      </c>
      <c r="C366" s="1">
        <v>2.5233333333333299</v>
      </c>
      <c r="D366" s="1">
        <v>5.09</v>
      </c>
      <c r="F366" s="1">
        <v>2.2000000000000002</v>
      </c>
      <c r="G366" s="1">
        <v>3.6</v>
      </c>
      <c r="H366" s="1">
        <v>8</v>
      </c>
    </row>
    <row r="367" spans="1:8">
      <c r="A367" t="s">
        <v>2115</v>
      </c>
      <c r="B367" s="1">
        <v>1.37666666666666</v>
      </c>
      <c r="C367" s="1">
        <v>2.2999999999999998</v>
      </c>
      <c r="D367" s="1">
        <v>3.01</v>
      </c>
      <c r="F367" s="1">
        <v>1.8</v>
      </c>
      <c r="G367" s="1">
        <v>3.1</v>
      </c>
      <c r="H367" s="1">
        <v>6.6</v>
      </c>
    </row>
    <row r="368" spans="1:8">
      <c r="A368" t="s">
        <v>2117</v>
      </c>
      <c r="B368" s="1">
        <v>1.4299999999999899</v>
      </c>
      <c r="C368" s="1">
        <v>2.27</v>
      </c>
      <c r="D368" s="1">
        <v>3.74</v>
      </c>
      <c r="F368" s="1">
        <v>1.3</v>
      </c>
      <c r="G368" s="1">
        <v>2.5</v>
      </c>
      <c r="H368" s="1">
        <v>5.7</v>
      </c>
    </row>
    <row r="369" spans="1:8">
      <c r="A369" t="s">
        <v>2119</v>
      </c>
      <c r="B369" s="1">
        <v>1.61666666666666</v>
      </c>
      <c r="C369" s="1">
        <v>2.2466666666666599</v>
      </c>
      <c r="D369" s="1">
        <v>3.0166666666666599</v>
      </c>
      <c r="F369" s="1">
        <v>1.4</v>
      </c>
      <c r="G369" s="1">
        <v>2.4</v>
      </c>
      <c r="H369" s="1">
        <v>7</v>
      </c>
    </row>
    <row r="370" spans="1:8">
      <c r="A370" t="s">
        <v>2121</v>
      </c>
      <c r="B370" s="1">
        <v>1.5066666666666599</v>
      </c>
      <c r="C370" s="1">
        <v>2.0433333333333299</v>
      </c>
      <c r="D370" s="1">
        <v>3.9299999999999899</v>
      </c>
      <c r="F370" s="1">
        <v>1.4</v>
      </c>
      <c r="G370" s="1">
        <v>2.5</v>
      </c>
      <c r="H370" s="1">
        <v>7.6</v>
      </c>
    </row>
    <row r="371" spans="1:8">
      <c r="A371" t="s">
        <v>2123</v>
      </c>
      <c r="B371" s="1">
        <v>1.1000000000000001</v>
      </c>
      <c r="C371" s="1">
        <v>1.28666666666666</v>
      </c>
      <c r="D371" s="1">
        <v>2.41333333333333</v>
      </c>
      <c r="F371" s="1">
        <v>1.4</v>
      </c>
      <c r="G371" s="1">
        <v>3</v>
      </c>
      <c r="H371" s="1">
        <v>10.1</v>
      </c>
    </row>
    <row r="372" spans="1:8">
      <c r="A372" t="s">
        <v>2125</v>
      </c>
      <c r="B372" s="1">
        <v>1.29666666666666</v>
      </c>
      <c r="C372" s="1">
        <v>1.96333333333333</v>
      </c>
      <c r="D372" s="1">
        <v>2.7666666666666599</v>
      </c>
      <c r="F372" s="1">
        <v>1.1000000000000001</v>
      </c>
      <c r="G372" s="1">
        <v>2.2999999999999998</v>
      </c>
      <c r="H372" s="1">
        <v>6.7</v>
      </c>
    </row>
    <row r="373" spans="1:8">
      <c r="A373" t="s">
        <v>2127</v>
      </c>
      <c r="B373" s="1">
        <v>1.66333333333333</v>
      </c>
      <c r="C373" s="1">
        <v>2.86</v>
      </c>
      <c r="D373" s="1">
        <v>3.87333333333333</v>
      </c>
      <c r="F373" s="1">
        <v>1.3</v>
      </c>
      <c r="G373" s="1">
        <v>2.7</v>
      </c>
      <c r="H373" s="1">
        <v>7.7</v>
      </c>
    </row>
    <row r="374" spans="1:8">
      <c r="A374" t="s">
        <v>2129</v>
      </c>
      <c r="B374" s="1">
        <v>1.7233333333333301</v>
      </c>
      <c r="C374" s="1">
        <v>2.8033333333333301</v>
      </c>
      <c r="D374" s="1">
        <v>5.6633333333333304</v>
      </c>
      <c r="F374" s="1">
        <v>1.4</v>
      </c>
      <c r="G374" s="1">
        <v>2.7</v>
      </c>
      <c r="H374" s="1">
        <v>8.1</v>
      </c>
    </row>
    <row r="375" spans="1:8">
      <c r="A375" t="s">
        <v>2131</v>
      </c>
      <c r="B375" s="1">
        <v>1.61666666666666</v>
      </c>
      <c r="C375" s="1">
        <v>2.6366666666666601</v>
      </c>
      <c r="D375" s="1">
        <v>4.4066666666666601</v>
      </c>
      <c r="F375" s="1">
        <v>1.7</v>
      </c>
      <c r="G375" s="1">
        <v>3.9</v>
      </c>
      <c r="H375" s="1">
        <v>14.7</v>
      </c>
    </row>
    <row r="376" spans="1:8">
      <c r="A376" t="s">
        <v>2133</v>
      </c>
      <c r="B376" s="1">
        <v>2.57666666666666</v>
      </c>
      <c r="C376" s="1">
        <v>3.61</v>
      </c>
      <c r="D376" s="1">
        <v>5.3133333333333299</v>
      </c>
      <c r="F376" s="1">
        <v>1.6</v>
      </c>
      <c r="G376" s="1">
        <v>3.4</v>
      </c>
      <c r="H376" s="1">
        <v>11.8</v>
      </c>
    </row>
    <row r="377" spans="1:8">
      <c r="A377" t="s">
        <v>2135</v>
      </c>
      <c r="B377" s="1">
        <v>3.74</v>
      </c>
      <c r="C377" s="1">
        <v>6.4866666666666601</v>
      </c>
      <c r="D377" s="1">
        <v>10.563333333333301</v>
      </c>
      <c r="F377" s="1">
        <v>2.2999999999999998</v>
      </c>
      <c r="G377" s="1">
        <v>5</v>
      </c>
      <c r="H377" s="1">
        <v>13</v>
      </c>
    </row>
    <row r="378" spans="1:8">
      <c r="A378" t="s">
        <v>2137</v>
      </c>
      <c r="B378" s="1">
        <v>3.6199999999999899</v>
      </c>
      <c r="C378" s="1">
        <v>5.6566666666666601</v>
      </c>
      <c r="D378" s="1">
        <v>9.6033333333333299</v>
      </c>
      <c r="F378" s="1">
        <v>3</v>
      </c>
      <c r="G378" s="1">
        <v>6.4</v>
      </c>
      <c r="H378" s="1">
        <v>15.4</v>
      </c>
    </row>
    <row r="379" spans="1:8">
      <c r="A379" t="s">
        <v>2139</v>
      </c>
      <c r="B379" s="1">
        <v>3.6799999999999899</v>
      </c>
      <c r="C379" s="1">
        <v>5.6266666666666598</v>
      </c>
      <c r="D379" s="1">
        <v>11.479999999999899</v>
      </c>
      <c r="F379" s="1">
        <v>2.9</v>
      </c>
      <c r="G379" s="1">
        <v>6.3</v>
      </c>
      <c r="H379" s="1">
        <v>14.7</v>
      </c>
    </row>
    <row r="380" spans="1:8">
      <c r="A380" t="s">
        <v>2141</v>
      </c>
      <c r="B380" s="1">
        <v>3.3833333333333302</v>
      </c>
      <c r="C380" s="1">
        <v>5.3299999999999903</v>
      </c>
      <c r="D380" s="1">
        <v>9.6666666666666607</v>
      </c>
      <c r="F380" s="1">
        <v>3</v>
      </c>
      <c r="G380" s="1">
        <v>6.8</v>
      </c>
      <c r="H380" s="1">
        <v>17</v>
      </c>
    </row>
    <row r="381" spans="1:8">
      <c r="A381" t="s">
        <v>2142</v>
      </c>
      <c r="B381" s="1">
        <v>3.45333333333333</v>
      </c>
      <c r="C381" s="1">
        <v>5.3966666666666603</v>
      </c>
      <c r="D381" s="1">
        <v>7.0166666666666604</v>
      </c>
      <c r="F381" s="1">
        <v>3</v>
      </c>
      <c r="G381" s="1">
        <v>6.7</v>
      </c>
      <c r="H381" s="1">
        <v>16.7</v>
      </c>
    </row>
    <row r="382" spans="1:8">
      <c r="A382" t="s">
        <v>2143</v>
      </c>
      <c r="B382" s="1">
        <v>3.0033333333333299</v>
      </c>
      <c r="C382" s="1">
        <v>4.7766666666666602</v>
      </c>
      <c r="D382" s="1">
        <v>7.8033333333333301</v>
      </c>
      <c r="F382" s="1">
        <v>3</v>
      </c>
      <c r="G382" s="1">
        <v>6.5</v>
      </c>
      <c r="H382" s="1">
        <v>16.600000000000001</v>
      </c>
    </row>
    <row r="383" spans="1:8">
      <c r="A383" t="s">
        <v>2146</v>
      </c>
      <c r="B383" s="1">
        <v>3.6466666666666598</v>
      </c>
      <c r="C383" s="1">
        <v>5.7933333333333303</v>
      </c>
      <c r="D383" s="1">
        <v>10.393333333333301</v>
      </c>
      <c r="F383" s="1">
        <v>3.1</v>
      </c>
      <c r="G383" s="1">
        <v>6.6</v>
      </c>
      <c r="H383" s="1">
        <v>16.3</v>
      </c>
    </row>
    <row r="384" spans="1:8">
      <c r="A384" t="s">
        <v>2148</v>
      </c>
      <c r="B384" s="1">
        <v>4.28</v>
      </c>
      <c r="C384" s="1">
        <v>6.5733333333333297</v>
      </c>
      <c r="D384" s="1">
        <v>10.9366666666666</v>
      </c>
      <c r="F384" s="1">
        <v>3.2</v>
      </c>
      <c r="G384" s="1">
        <v>6.8</v>
      </c>
      <c r="H384" s="1">
        <v>14.4</v>
      </c>
    </row>
    <row r="385" spans="1:8">
      <c r="A385" t="s">
        <v>2150</v>
      </c>
      <c r="B385" s="1">
        <v>3.9833333333333298</v>
      </c>
      <c r="C385" s="1">
        <v>5.8133333333333299</v>
      </c>
      <c r="D385" s="1">
        <v>8.5433333333333294</v>
      </c>
      <c r="F385" s="1">
        <v>3.2</v>
      </c>
      <c r="G385" s="1">
        <v>6.7</v>
      </c>
      <c r="H385" s="1">
        <v>14</v>
      </c>
    </row>
    <row r="386" spans="1:8">
      <c r="A386" t="s">
        <v>2152</v>
      </c>
      <c r="B386" s="1">
        <v>4.2033333333333296</v>
      </c>
      <c r="C386" s="1">
        <v>6.55</v>
      </c>
      <c r="D386" s="1">
        <v>9.0666666666666593</v>
      </c>
      <c r="F386" s="1">
        <v>3.4</v>
      </c>
      <c r="G386" s="1">
        <v>6.9</v>
      </c>
      <c r="H386" s="1">
        <v>15.1</v>
      </c>
    </row>
    <row r="387" spans="1:8">
      <c r="A387" t="s">
        <v>2155</v>
      </c>
      <c r="B387" s="1">
        <v>4.47</v>
      </c>
      <c r="C387" s="1">
        <v>6.9266666666666596</v>
      </c>
      <c r="D387" s="1">
        <v>12.9499999999999</v>
      </c>
      <c r="F387" s="1">
        <v>3.3</v>
      </c>
      <c r="G387" s="1">
        <v>7</v>
      </c>
      <c r="H387" s="1">
        <v>15.7</v>
      </c>
    </row>
    <row r="388" spans="1:8">
      <c r="A388" t="s">
        <v>2157</v>
      </c>
      <c r="B388" s="1">
        <v>5.5533333333333301</v>
      </c>
      <c r="C388" s="1">
        <v>8.4466666666666601</v>
      </c>
      <c r="D388" s="1">
        <v>14.53</v>
      </c>
      <c r="F388" s="1">
        <v>3.4</v>
      </c>
      <c r="G388" s="1">
        <v>6.9</v>
      </c>
      <c r="H388" s="1">
        <v>14.6</v>
      </c>
    </row>
    <row r="389" spans="1:8">
      <c r="A389" t="s">
        <v>2158</v>
      </c>
      <c r="B389" s="1">
        <v>5.0333333333333297</v>
      </c>
      <c r="C389" s="1">
        <v>8.78666666666666</v>
      </c>
      <c r="D389" s="1">
        <v>15.983333333333301</v>
      </c>
      <c r="F389" s="1">
        <v>4</v>
      </c>
      <c r="G389" s="1">
        <v>7.6</v>
      </c>
      <c r="H389" s="1">
        <v>14.8</v>
      </c>
    </row>
    <row r="390" spans="1:8">
      <c r="A390" t="s">
        <v>2160</v>
      </c>
      <c r="B390" s="1">
        <v>6.52</v>
      </c>
      <c r="C390" s="1">
        <v>10.3366666666666</v>
      </c>
      <c r="D390" s="1">
        <v>17.336666666666599</v>
      </c>
      <c r="F390" s="1">
        <v>4</v>
      </c>
      <c r="G390" s="1">
        <v>7.5</v>
      </c>
      <c r="H390" s="1">
        <v>14.9</v>
      </c>
    </row>
    <row r="391" spans="1:8">
      <c r="A391" t="s">
        <v>2161</v>
      </c>
      <c r="B391" s="1">
        <v>5.95</v>
      </c>
      <c r="C391" s="1">
        <v>9.5533333333333292</v>
      </c>
      <c r="D391" s="1">
        <v>18.033333333333299</v>
      </c>
      <c r="F391" s="1">
        <v>5.0999999999999996</v>
      </c>
      <c r="G391" s="1">
        <v>8.8000000000000007</v>
      </c>
      <c r="H391" s="1">
        <v>15.8</v>
      </c>
    </row>
    <row r="392" spans="1:8">
      <c r="A392" t="s">
        <v>2164</v>
      </c>
      <c r="B392" s="1">
        <v>5.0166666666666604</v>
      </c>
      <c r="C392" s="1">
        <v>8.6466666666666594</v>
      </c>
      <c r="D392" s="1">
        <v>14.55</v>
      </c>
      <c r="F392" s="1">
        <v>4.5</v>
      </c>
      <c r="G392" s="1">
        <v>8.3000000000000007</v>
      </c>
      <c r="H392" s="1">
        <v>14.8</v>
      </c>
    </row>
    <row r="393" spans="1:8">
      <c r="A393" t="s">
        <v>2166</v>
      </c>
      <c r="B393" s="1">
        <v>4.7233333333333301</v>
      </c>
      <c r="C393" s="1">
        <v>6.9</v>
      </c>
      <c r="D393" s="1">
        <v>12.0233333333333</v>
      </c>
      <c r="F393" s="1">
        <v>4.2</v>
      </c>
      <c r="G393" s="1">
        <v>8.1999999999999993</v>
      </c>
      <c r="H393" s="1">
        <v>15.6</v>
      </c>
    </row>
    <row r="394" spans="1:8">
      <c r="A394" t="s">
        <v>2167</v>
      </c>
      <c r="B394" s="1">
        <v>3.8366666666666598</v>
      </c>
      <c r="C394" s="1">
        <v>5.8566666666666602</v>
      </c>
      <c r="D394" s="1">
        <v>10.81</v>
      </c>
      <c r="F394" s="1">
        <v>4.5999999999999996</v>
      </c>
      <c r="G394" s="1">
        <v>8.3000000000000007</v>
      </c>
      <c r="H394" s="1">
        <v>13.5</v>
      </c>
    </row>
    <row r="395" spans="1:8">
      <c r="A395" t="s">
        <v>2169</v>
      </c>
      <c r="B395" s="1">
        <v>4.9366666666666603</v>
      </c>
      <c r="C395" s="1">
        <v>7.4266666666666596</v>
      </c>
      <c r="D395" s="1">
        <v>12.5299999999999</v>
      </c>
      <c r="F395" s="1">
        <v>4.8</v>
      </c>
      <c r="G395" s="1">
        <v>8.6</v>
      </c>
      <c r="H395" s="1">
        <v>14.7</v>
      </c>
    </row>
    <row r="396" spans="1:8">
      <c r="A396" t="s">
        <v>2171</v>
      </c>
      <c r="B396" s="1">
        <v>6.9733333333333301</v>
      </c>
      <c r="C396" s="1">
        <v>11.046666666666599</v>
      </c>
      <c r="D396" s="1">
        <v>18.206666666666599</v>
      </c>
      <c r="F396" s="1">
        <v>5.4</v>
      </c>
      <c r="G396" s="1">
        <v>9.6</v>
      </c>
      <c r="H396" s="1">
        <v>17.899999999999999</v>
      </c>
    </row>
    <row r="397" spans="1:8">
      <c r="A397" t="s">
        <v>2173</v>
      </c>
      <c r="B397" s="1">
        <v>10.24</v>
      </c>
      <c r="C397" s="1">
        <v>14.6133333333333</v>
      </c>
      <c r="D397" s="1">
        <v>23.093333333333302</v>
      </c>
      <c r="F397" s="1">
        <v>7.8</v>
      </c>
      <c r="G397" s="1">
        <v>12</v>
      </c>
      <c r="H397" s="1">
        <v>21.6</v>
      </c>
    </row>
    <row r="398" spans="1:8">
      <c r="A398" t="s">
        <v>2175</v>
      </c>
      <c r="B398" s="1">
        <v>12.6899999999999</v>
      </c>
      <c r="C398" s="1">
        <v>18.0766666666666</v>
      </c>
      <c r="D398" s="1">
        <v>25.206666666666599</v>
      </c>
      <c r="F398" s="1">
        <v>12.7</v>
      </c>
      <c r="G398" s="1">
        <v>16.600000000000001</v>
      </c>
      <c r="H398" s="1">
        <v>23.3</v>
      </c>
    </row>
    <row r="399" spans="1:8">
      <c r="A399" t="s">
        <v>2178</v>
      </c>
      <c r="B399" s="1">
        <v>14.8333333333333</v>
      </c>
      <c r="C399" s="1">
        <v>20.783333333333299</v>
      </c>
      <c r="D399" s="1">
        <v>30.123333333333299</v>
      </c>
      <c r="F399" s="1">
        <v>15.4</v>
      </c>
      <c r="G399" s="1">
        <v>19.399999999999999</v>
      </c>
      <c r="H399" s="1">
        <v>27.9</v>
      </c>
    </row>
    <row r="400" spans="1:8">
      <c r="A400" t="s">
        <v>2182</v>
      </c>
      <c r="B400" s="1">
        <v>15.873333333333299</v>
      </c>
      <c r="C400" s="1">
        <v>22.569999999999901</v>
      </c>
      <c r="D400" s="1">
        <v>32.796666666666603</v>
      </c>
      <c r="F400" s="1">
        <v>17.399999999999999</v>
      </c>
      <c r="G400" s="1">
        <v>20.8</v>
      </c>
      <c r="H400" s="1">
        <v>29.2</v>
      </c>
    </row>
    <row r="401" spans="1:8">
      <c r="A401" t="s">
        <v>2186</v>
      </c>
      <c r="B401" s="1">
        <v>14.03</v>
      </c>
      <c r="C401" s="1">
        <v>18.286666666666601</v>
      </c>
      <c r="D401" s="1">
        <v>25.843333333333302</v>
      </c>
      <c r="F401" s="1">
        <v>19.399999999999999</v>
      </c>
      <c r="G401" s="1">
        <v>22.8</v>
      </c>
      <c r="H401" s="1">
        <v>31.6</v>
      </c>
    </row>
    <row r="402" spans="1:8">
      <c r="A402" t="s">
        <v>2189</v>
      </c>
      <c r="B402" s="1">
        <v>14.389999999999899</v>
      </c>
      <c r="C402" s="1">
        <v>18.556666666666601</v>
      </c>
      <c r="D402" s="1">
        <v>27.386666666666599</v>
      </c>
      <c r="F402" s="1">
        <v>22.7</v>
      </c>
      <c r="G402" s="1">
        <v>26.3</v>
      </c>
      <c r="H402" s="1">
        <v>33.4</v>
      </c>
    </row>
    <row r="403" spans="1:8">
      <c r="A403" t="s">
        <v>2193</v>
      </c>
      <c r="B403" s="1">
        <v>18.389999999999901</v>
      </c>
      <c r="C403" s="1">
        <v>25.146666666666601</v>
      </c>
      <c r="D403" s="1">
        <v>32.753333333333302</v>
      </c>
      <c r="F403" s="1">
        <v>25.7</v>
      </c>
      <c r="G403" s="1">
        <v>29.6</v>
      </c>
      <c r="H403" s="1">
        <v>36.799999999999997</v>
      </c>
    </row>
    <row r="404" spans="1:8">
      <c r="A404" t="s">
        <v>2197</v>
      </c>
      <c r="B404" s="1">
        <v>17.0766666666666</v>
      </c>
      <c r="C404" s="1">
        <v>23.25</v>
      </c>
      <c r="D404" s="1">
        <v>30.6166666666666</v>
      </c>
      <c r="F404" s="1">
        <v>26.2</v>
      </c>
      <c r="G404" s="1">
        <v>29.9</v>
      </c>
      <c r="H404" s="1">
        <v>37</v>
      </c>
    </row>
    <row r="405" spans="1:8">
      <c r="A405" t="s">
        <v>2202</v>
      </c>
      <c r="B405" s="1">
        <v>16.373333333333299</v>
      </c>
      <c r="C405" s="1">
        <v>21.803333333333299</v>
      </c>
      <c r="D405" s="1">
        <v>29.146666666666601</v>
      </c>
      <c r="F405" s="1">
        <v>24.7</v>
      </c>
      <c r="G405" s="1">
        <v>28.4</v>
      </c>
      <c r="H405" s="1">
        <v>34.4</v>
      </c>
    </row>
    <row r="406" spans="1:8">
      <c r="A406" t="s">
        <v>2205</v>
      </c>
      <c r="B406" s="1">
        <v>16.413333333333298</v>
      </c>
      <c r="C406" s="1">
        <v>22.473333333333301</v>
      </c>
      <c r="D406" s="1">
        <v>29.3466666666666</v>
      </c>
      <c r="F406" s="1">
        <v>24.4</v>
      </c>
      <c r="G406" s="1">
        <v>28.3</v>
      </c>
      <c r="H406" s="1">
        <v>36.1</v>
      </c>
    </row>
    <row r="407" spans="1:8">
      <c r="A407" t="s">
        <v>2209</v>
      </c>
      <c r="B407" s="1">
        <v>16.563333333333301</v>
      </c>
      <c r="C407" s="1">
        <v>22.959999999999901</v>
      </c>
      <c r="D407" s="1">
        <v>28.97</v>
      </c>
      <c r="F407" s="1">
        <v>22.7</v>
      </c>
      <c r="G407" s="1">
        <v>26.3</v>
      </c>
      <c r="H407" s="1">
        <v>32.700000000000003</v>
      </c>
    </row>
    <row r="408" spans="1:8">
      <c r="A408" t="s">
        <v>2212</v>
      </c>
      <c r="B408" s="1">
        <v>15.98</v>
      </c>
      <c r="C408" s="1">
        <v>20.996666666666599</v>
      </c>
      <c r="D408" s="1">
        <v>29.5966666666666</v>
      </c>
      <c r="F408" s="1">
        <v>21.4</v>
      </c>
      <c r="G408" s="1">
        <v>24.7</v>
      </c>
      <c r="H408" s="1">
        <v>29.6</v>
      </c>
    </row>
    <row r="409" spans="1:8">
      <c r="A409" t="s">
        <v>2215</v>
      </c>
      <c r="B409" s="1">
        <v>13.02</v>
      </c>
      <c r="C409" s="1">
        <v>17.709999999999901</v>
      </c>
      <c r="D409" s="1">
        <v>24.2766666666666</v>
      </c>
      <c r="F409" s="1">
        <v>19</v>
      </c>
      <c r="G409" s="1">
        <v>21.9</v>
      </c>
      <c r="H409" s="1">
        <v>25.7</v>
      </c>
    </row>
    <row r="410" spans="1:8">
      <c r="A410" t="s">
        <v>2217</v>
      </c>
      <c r="B410" s="1">
        <v>13.22</v>
      </c>
      <c r="C410" s="1">
        <v>18.876666666666601</v>
      </c>
      <c r="D410" s="1">
        <v>25.726666666666599</v>
      </c>
      <c r="F410" s="1">
        <v>16.899999999999999</v>
      </c>
      <c r="G410" s="1">
        <v>19.600000000000001</v>
      </c>
      <c r="H410" s="1">
        <v>24.2</v>
      </c>
    </row>
    <row r="411" spans="1:8">
      <c r="A411" t="s">
        <v>2220</v>
      </c>
      <c r="B411" s="1">
        <v>11.303333333333301</v>
      </c>
      <c r="C411" s="1">
        <v>15.983333333333301</v>
      </c>
      <c r="D411" s="1">
        <v>21.046666666666599</v>
      </c>
      <c r="F411" s="1">
        <v>16</v>
      </c>
      <c r="G411" s="1">
        <v>19</v>
      </c>
      <c r="H411" s="1">
        <v>25.4</v>
      </c>
    </row>
    <row r="412" spans="1:8">
      <c r="A412" t="s">
        <v>2223</v>
      </c>
      <c r="B412" s="1">
        <v>11.986666666666601</v>
      </c>
      <c r="C412" s="1">
        <v>16.0766666666666</v>
      </c>
      <c r="D412" s="1">
        <v>22.819999999999901</v>
      </c>
      <c r="F412" s="1">
        <v>15.1</v>
      </c>
      <c r="G412" s="1">
        <v>17.7</v>
      </c>
      <c r="H412" s="1">
        <v>21.8</v>
      </c>
    </row>
    <row r="413" spans="1:8">
      <c r="A413" t="s">
        <v>2225</v>
      </c>
      <c r="B413" s="1">
        <v>13.58</v>
      </c>
      <c r="C413" s="1">
        <v>18.803333333333299</v>
      </c>
      <c r="D413" s="1">
        <v>26.9033333333333</v>
      </c>
      <c r="F413" s="1">
        <v>16.899999999999999</v>
      </c>
      <c r="G413" s="1">
        <v>19.600000000000001</v>
      </c>
      <c r="H413" s="1">
        <v>24.3</v>
      </c>
    </row>
    <row r="414" spans="1:8">
      <c r="A414" t="s">
        <v>2227</v>
      </c>
      <c r="B414" s="1">
        <v>10.6966666666666</v>
      </c>
      <c r="C414" s="1">
        <v>14.066666666666601</v>
      </c>
      <c r="D414" s="1">
        <v>20.2566666666666</v>
      </c>
      <c r="F414" s="1">
        <v>16.399999999999999</v>
      </c>
      <c r="G414" s="1">
        <v>19.2</v>
      </c>
      <c r="H414" s="1">
        <v>23.8</v>
      </c>
    </row>
    <row r="415" spans="1:8">
      <c r="A415" t="s">
        <v>2230</v>
      </c>
      <c r="B415" s="1">
        <v>10.6066666666666</v>
      </c>
      <c r="C415" s="1">
        <v>15.0366666666666</v>
      </c>
      <c r="D415" s="1">
        <v>19.056666666666601</v>
      </c>
      <c r="F415" s="1">
        <v>14.1</v>
      </c>
      <c r="G415" s="1">
        <v>16.8</v>
      </c>
      <c r="H415" s="1">
        <v>20.6</v>
      </c>
    </row>
    <row r="416" spans="1:8">
      <c r="A416" t="s">
        <v>2232</v>
      </c>
      <c r="B416" s="1">
        <v>6.7266666666666604</v>
      </c>
      <c r="C416" s="1">
        <v>10.0066666666666</v>
      </c>
      <c r="D416" s="1">
        <v>16.79</v>
      </c>
      <c r="F416" s="1">
        <v>12.6</v>
      </c>
      <c r="G416" s="1">
        <v>15.3</v>
      </c>
      <c r="H416" s="1">
        <v>18.7</v>
      </c>
    </row>
    <row r="417" spans="1:8">
      <c r="A417" t="s">
        <v>2234</v>
      </c>
      <c r="B417" s="1">
        <v>6.67</v>
      </c>
      <c r="C417" s="1">
        <v>10.2633333333333</v>
      </c>
      <c r="D417" s="1">
        <v>16.146666666666601</v>
      </c>
      <c r="F417" s="1">
        <v>7.6</v>
      </c>
      <c r="G417" s="1">
        <v>10.199999999999999</v>
      </c>
      <c r="H417" s="1">
        <v>13.5</v>
      </c>
    </row>
    <row r="418" spans="1:8">
      <c r="A418" t="s">
        <v>2236</v>
      </c>
      <c r="B418" s="1">
        <v>8.9666666666666597</v>
      </c>
      <c r="C418" s="1">
        <v>13.1933333333333</v>
      </c>
      <c r="D418" s="1">
        <v>20.053333333333299</v>
      </c>
      <c r="F418" s="1">
        <v>6.2</v>
      </c>
      <c r="G418" s="1">
        <v>8.8000000000000007</v>
      </c>
      <c r="H418" s="1">
        <v>12.9</v>
      </c>
    </row>
    <row r="419" spans="1:8">
      <c r="A419" t="s">
        <v>2238</v>
      </c>
      <c r="B419" s="1">
        <v>9.3333333333333304</v>
      </c>
      <c r="C419" s="1">
        <v>13.1866666666666</v>
      </c>
      <c r="D419" s="1">
        <v>17.95</v>
      </c>
      <c r="F419" s="1">
        <v>8.9</v>
      </c>
      <c r="G419" s="1">
        <v>11.8</v>
      </c>
      <c r="H419" s="1">
        <v>15.5</v>
      </c>
    </row>
    <row r="420" spans="1:8">
      <c r="A420" t="s">
        <v>2241</v>
      </c>
      <c r="B420" s="1">
        <v>7.3</v>
      </c>
      <c r="C420" s="1">
        <v>10.18</v>
      </c>
      <c r="D420" s="1">
        <v>18.063333333333301</v>
      </c>
      <c r="F420" s="1">
        <v>9.9</v>
      </c>
      <c r="G420" s="1">
        <v>12.6</v>
      </c>
      <c r="H420" s="1">
        <v>16.100000000000001</v>
      </c>
    </row>
    <row r="421" spans="1:8">
      <c r="A421" t="s">
        <v>2243</v>
      </c>
      <c r="B421" s="1">
        <v>7.38</v>
      </c>
      <c r="C421" s="1">
        <v>10.3466666666666</v>
      </c>
      <c r="D421" s="1">
        <v>15.486666666666601</v>
      </c>
      <c r="F421" s="1">
        <v>8</v>
      </c>
      <c r="G421" s="1">
        <v>10.5</v>
      </c>
      <c r="H421" s="1">
        <v>13.9</v>
      </c>
    </row>
    <row r="422" spans="1:8">
      <c r="A422" t="s">
        <v>2245</v>
      </c>
      <c r="B422" s="1">
        <v>7.1899999999999897</v>
      </c>
      <c r="C422" s="1">
        <v>10.5233333333333</v>
      </c>
      <c r="D422" s="1">
        <v>16.239999999999998</v>
      </c>
      <c r="F422" s="1">
        <v>7.4</v>
      </c>
      <c r="G422" s="1">
        <v>9.8000000000000007</v>
      </c>
      <c r="H422" s="1">
        <v>13.1</v>
      </c>
    </row>
    <row r="423" spans="1:8">
      <c r="A423" t="s">
        <v>2247</v>
      </c>
      <c r="B423" s="1">
        <v>6.65</v>
      </c>
      <c r="C423" s="1">
        <v>9.5500000000000007</v>
      </c>
      <c r="D423" s="1">
        <v>13.2533333333333</v>
      </c>
      <c r="F423" s="1">
        <v>7.3</v>
      </c>
      <c r="G423" s="1">
        <v>9.4</v>
      </c>
      <c r="H423" s="1">
        <v>11.7</v>
      </c>
    </row>
    <row r="424" spans="1:8">
      <c r="A424" t="s">
        <v>2249</v>
      </c>
      <c r="B424" s="1">
        <v>6.1966666666666601</v>
      </c>
      <c r="C424" s="1">
        <v>8.0466666666666598</v>
      </c>
      <c r="D424" s="1">
        <v>12.78</v>
      </c>
      <c r="F424" s="1">
        <v>7.2</v>
      </c>
      <c r="G424" s="1">
        <v>8.8000000000000007</v>
      </c>
      <c r="H424" s="1">
        <v>10.3</v>
      </c>
    </row>
    <row r="425" spans="1:8">
      <c r="A425" t="s">
        <v>2251</v>
      </c>
      <c r="B425" s="1">
        <v>5.1233333333333304</v>
      </c>
      <c r="C425" s="1">
        <v>7.5033333333333303</v>
      </c>
      <c r="D425" s="1">
        <v>9.2799999999999994</v>
      </c>
      <c r="F425" s="1">
        <v>6.8</v>
      </c>
      <c r="G425" s="1">
        <v>8.3000000000000007</v>
      </c>
      <c r="H425" s="1">
        <v>9.8000000000000007</v>
      </c>
    </row>
    <row r="426" spans="1:8">
      <c r="A426" t="s">
        <v>2253</v>
      </c>
      <c r="B426" s="1">
        <v>4.13</v>
      </c>
      <c r="C426" s="1">
        <v>5.9033333333333298</v>
      </c>
      <c r="D426" s="1">
        <v>9.0633333333333308</v>
      </c>
      <c r="F426" s="1">
        <v>6</v>
      </c>
      <c r="G426" s="1">
        <v>7.6</v>
      </c>
      <c r="H426" s="1">
        <v>9.5</v>
      </c>
    </row>
    <row r="427" spans="1:8">
      <c r="A427" t="s">
        <v>2255</v>
      </c>
      <c r="B427" s="1">
        <v>4.5199999999999996</v>
      </c>
      <c r="C427" s="1">
        <v>6.5733333333333297</v>
      </c>
      <c r="D427" s="1">
        <v>8.5266666666666602</v>
      </c>
      <c r="F427" s="1">
        <v>5.3</v>
      </c>
      <c r="G427" s="1">
        <v>6.8</v>
      </c>
      <c r="H427" s="1">
        <v>9</v>
      </c>
    </row>
    <row r="428" spans="1:8">
      <c r="A428" t="s">
        <v>2256</v>
      </c>
      <c r="B428" s="1">
        <v>4.91</v>
      </c>
      <c r="C428" s="1">
        <v>7.1666666666666599</v>
      </c>
      <c r="D428" s="1">
        <v>11.963333333333299</v>
      </c>
      <c r="F428" s="1">
        <v>5.3</v>
      </c>
      <c r="G428" s="1">
        <v>6.8</v>
      </c>
      <c r="H428" s="1">
        <v>8.6999999999999993</v>
      </c>
    </row>
    <row r="429" spans="1:8">
      <c r="A429" t="s">
        <v>2258</v>
      </c>
      <c r="B429" s="1">
        <v>5.4466666666666601</v>
      </c>
      <c r="C429" s="1">
        <v>7.78</v>
      </c>
      <c r="D429" s="1">
        <v>9.7166666666666597</v>
      </c>
      <c r="F429" s="1">
        <v>5.2</v>
      </c>
      <c r="G429" s="1">
        <v>6.7</v>
      </c>
      <c r="H429" s="1">
        <v>8.3000000000000007</v>
      </c>
    </row>
    <row r="430" spans="1:8">
      <c r="A430" t="s">
        <v>2260</v>
      </c>
      <c r="B430" s="1">
        <v>4.3833333333333302</v>
      </c>
      <c r="C430" s="1">
        <v>6.2566666666666597</v>
      </c>
      <c r="D430" s="1">
        <v>9.6233333333333295</v>
      </c>
      <c r="F430" s="1">
        <v>5.0999999999999996</v>
      </c>
      <c r="G430" s="1">
        <v>6.5</v>
      </c>
      <c r="H430" s="1">
        <v>8</v>
      </c>
    </row>
    <row r="431" spans="1:8">
      <c r="A431" t="s">
        <v>2261</v>
      </c>
      <c r="B431" s="1">
        <v>4.2233333333333301</v>
      </c>
      <c r="C431" s="1">
        <v>6.3066666666666604</v>
      </c>
      <c r="D431" s="1">
        <v>10.19</v>
      </c>
      <c r="F431" s="1">
        <v>4.4000000000000004</v>
      </c>
      <c r="G431" s="1">
        <v>5.9</v>
      </c>
      <c r="H431" s="1">
        <v>7.8</v>
      </c>
    </row>
    <row r="432" spans="1:8">
      <c r="A432" t="s">
        <v>2263</v>
      </c>
      <c r="B432" s="1">
        <v>3.28</v>
      </c>
      <c r="C432" s="1">
        <v>4.4566666666666599</v>
      </c>
      <c r="D432" s="1">
        <v>8.9</v>
      </c>
      <c r="F432" s="1">
        <v>3.4</v>
      </c>
      <c r="G432" s="1">
        <v>4.8</v>
      </c>
      <c r="H432" s="1">
        <v>6.2</v>
      </c>
    </row>
    <row r="433" spans="1:8">
      <c r="A433" t="s">
        <v>2265</v>
      </c>
      <c r="B433" s="1">
        <v>3.55</v>
      </c>
      <c r="C433" s="1">
        <v>4.9166666666666599</v>
      </c>
      <c r="D433" s="1">
        <v>9.3466666666666605</v>
      </c>
      <c r="F433" s="1">
        <v>2.5</v>
      </c>
      <c r="G433" s="1">
        <v>3.8</v>
      </c>
      <c r="H433" s="1">
        <v>5.2</v>
      </c>
    </row>
    <row r="434" spans="1:8">
      <c r="A434" t="s">
        <v>2266</v>
      </c>
      <c r="B434" s="1">
        <v>3.29</v>
      </c>
      <c r="C434" s="1">
        <v>4.61666666666666</v>
      </c>
      <c r="D434" s="1">
        <v>6.42</v>
      </c>
      <c r="F434" s="1">
        <v>3</v>
      </c>
      <c r="G434" s="1">
        <v>4.5</v>
      </c>
      <c r="H434" s="1">
        <v>6.5</v>
      </c>
    </row>
    <row r="435" spans="1:8">
      <c r="A435" t="s">
        <v>2268</v>
      </c>
      <c r="B435" s="1">
        <v>3.1566666666666601</v>
      </c>
      <c r="C435" s="1">
        <v>4.43</v>
      </c>
      <c r="D435" s="1">
        <v>6.8833333333333302</v>
      </c>
      <c r="F435" s="1">
        <v>3.3</v>
      </c>
      <c r="G435" s="1">
        <v>4.5</v>
      </c>
      <c r="H435" s="1">
        <v>6.4</v>
      </c>
    </row>
    <row r="436" spans="1:8">
      <c r="A436" t="s">
        <v>2270</v>
      </c>
      <c r="B436" s="1">
        <v>3.25999999999999</v>
      </c>
      <c r="C436" s="1">
        <v>4.13</v>
      </c>
      <c r="D436" s="1">
        <v>6.25</v>
      </c>
      <c r="F436" s="1">
        <v>3.3</v>
      </c>
      <c r="G436" s="1">
        <v>4.5</v>
      </c>
      <c r="H436" s="1">
        <v>6.5</v>
      </c>
    </row>
    <row r="437" spans="1:8">
      <c r="A437" t="s">
        <v>2272</v>
      </c>
      <c r="B437" s="1">
        <v>3.0466666666666602</v>
      </c>
      <c r="C437" s="1">
        <v>3.3966666666666598</v>
      </c>
      <c r="D437" s="1">
        <v>4.6033333333333299</v>
      </c>
      <c r="F437" s="1">
        <v>3.4</v>
      </c>
      <c r="G437" s="1">
        <v>4.5</v>
      </c>
      <c r="H437" s="1">
        <v>6</v>
      </c>
    </row>
    <row r="438" spans="1:8">
      <c r="A438" t="s">
        <v>2274</v>
      </c>
      <c r="B438" s="1">
        <v>2.8299999999999899</v>
      </c>
      <c r="C438" s="1">
        <v>3.1466666666666598</v>
      </c>
      <c r="D438" s="1">
        <v>4.2633333333333301</v>
      </c>
      <c r="F438" s="1">
        <v>3.4</v>
      </c>
      <c r="G438" s="1">
        <v>4.4000000000000004</v>
      </c>
      <c r="H438" s="1">
        <v>5.7</v>
      </c>
    </row>
    <row r="439" spans="1:8">
      <c r="A439" t="s">
        <v>2276</v>
      </c>
      <c r="B439" s="1">
        <v>2.2433333333333301</v>
      </c>
      <c r="C439" s="1">
        <v>2.4866666666666601</v>
      </c>
      <c r="D439" s="1">
        <v>3.39</v>
      </c>
      <c r="F439" s="1">
        <v>3</v>
      </c>
      <c r="G439" s="1">
        <v>3.8</v>
      </c>
      <c r="H439" s="1">
        <v>5.0999999999999996</v>
      </c>
    </row>
    <row r="440" spans="1:8">
      <c r="A440" t="s">
        <v>2278</v>
      </c>
      <c r="B440" s="1">
        <v>2.13</v>
      </c>
      <c r="C440" s="1">
        <v>2.3766666666666598</v>
      </c>
      <c r="D440" s="1">
        <v>3.21999999999999</v>
      </c>
      <c r="F440" s="1">
        <v>2.7</v>
      </c>
      <c r="G440" s="1">
        <v>3.5</v>
      </c>
      <c r="H440" s="1">
        <v>4.7</v>
      </c>
    </row>
    <row r="441" spans="1:8">
      <c r="A441" t="s">
        <v>2280</v>
      </c>
      <c r="B441" s="1">
        <v>1.8799999999999899</v>
      </c>
      <c r="C441" s="1">
        <v>2.09</v>
      </c>
      <c r="D441" s="1">
        <v>2.84666666666666</v>
      </c>
      <c r="F441" s="1">
        <v>2.5</v>
      </c>
      <c r="G441" s="1">
        <v>3.2</v>
      </c>
      <c r="H441" s="1">
        <v>4</v>
      </c>
    </row>
    <row r="442" spans="1:8">
      <c r="A442" t="s">
        <v>2282</v>
      </c>
      <c r="B442" s="1">
        <v>1.90333333333333</v>
      </c>
      <c r="C442" s="1">
        <v>2.12</v>
      </c>
      <c r="D442" s="1">
        <v>2.8833333333333302</v>
      </c>
      <c r="F442" s="1">
        <v>2.4</v>
      </c>
      <c r="G442" s="1">
        <v>2.9</v>
      </c>
      <c r="H442" s="1">
        <v>3.5</v>
      </c>
    </row>
    <row r="443" spans="1:8">
      <c r="A443" t="s">
        <v>2284</v>
      </c>
      <c r="B443" s="1">
        <v>1.2833333333333301</v>
      </c>
      <c r="C443" s="1">
        <v>1.4166666666666601</v>
      </c>
      <c r="D443" s="1">
        <v>1.95</v>
      </c>
      <c r="F443" s="1">
        <v>2.4</v>
      </c>
      <c r="G443" s="1">
        <v>3</v>
      </c>
      <c r="H443" s="1">
        <v>3.7</v>
      </c>
    </row>
    <row r="444" spans="1:8">
      <c r="A444" t="s">
        <v>2286</v>
      </c>
      <c r="B444" s="1">
        <v>1.0233333333333301</v>
      </c>
      <c r="C444" s="1">
        <v>1.4299999999999899</v>
      </c>
      <c r="D444" s="1">
        <v>2.03666666666666</v>
      </c>
      <c r="F444" s="1">
        <v>2.2000000000000002</v>
      </c>
      <c r="G444" s="1">
        <v>2.7</v>
      </c>
      <c r="H444" s="1">
        <v>3.3</v>
      </c>
    </row>
    <row r="445" spans="1:8">
      <c r="A445" t="s">
        <v>2288</v>
      </c>
      <c r="B445" s="1">
        <v>1.71333333333333</v>
      </c>
      <c r="C445" s="1">
        <v>1.90333333333333</v>
      </c>
      <c r="D445" s="1">
        <v>2.59666666666666</v>
      </c>
      <c r="F445" s="1">
        <v>2.4</v>
      </c>
      <c r="G445" s="1">
        <v>2.9</v>
      </c>
      <c r="H445" s="1">
        <v>3.7</v>
      </c>
    </row>
    <row r="446" spans="1:8">
      <c r="A446" t="s">
        <v>2290</v>
      </c>
      <c r="B446" s="1">
        <v>1.8333333333333299</v>
      </c>
      <c r="C446" s="1">
        <v>2.03666666666666</v>
      </c>
      <c r="D446" s="1">
        <v>2.7766666666666602</v>
      </c>
      <c r="F446" s="1">
        <v>2.5</v>
      </c>
      <c r="G446" s="1">
        <v>3.2</v>
      </c>
      <c r="H446" s="1">
        <v>4.5</v>
      </c>
    </row>
    <row r="447" spans="1:8">
      <c r="A447" t="s">
        <v>2291</v>
      </c>
      <c r="B447" s="1">
        <v>2.2633333333333301</v>
      </c>
      <c r="C447" s="1">
        <v>2.5166666666666599</v>
      </c>
      <c r="D447" s="1">
        <v>3.4166666666666599</v>
      </c>
      <c r="F447" s="1">
        <v>2.8</v>
      </c>
      <c r="G447" s="1">
        <v>3.8</v>
      </c>
      <c r="H447" s="1">
        <v>5.8</v>
      </c>
    </row>
    <row r="448" spans="1:8">
      <c r="A448" t="s">
        <v>2292</v>
      </c>
      <c r="B448" s="1">
        <v>2.5533333333333301</v>
      </c>
      <c r="C448" s="1">
        <v>2.8366666666666598</v>
      </c>
      <c r="D448" s="1">
        <v>3.8533333333333299</v>
      </c>
      <c r="F448" s="1">
        <v>3.2</v>
      </c>
      <c r="G448" s="1">
        <v>4.3</v>
      </c>
      <c r="H448" s="1">
        <v>6.8</v>
      </c>
    </row>
    <row r="449" spans="1:8">
      <c r="A449" t="s">
        <v>2294</v>
      </c>
      <c r="B449" s="1">
        <v>2.5033333333333299</v>
      </c>
      <c r="C449" s="1">
        <v>2.7733333333333299</v>
      </c>
      <c r="D449" s="1">
        <v>3.78666666666666</v>
      </c>
      <c r="F449" s="1">
        <v>3.5</v>
      </c>
      <c r="G449" s="1">
        <v>4.5</v>
      </c>
      <c r="H449" s="1">
        <v>6.4</v>
      </c>
    </row>
    <row r="450" spans="1:8">
      <c r="A450" t="s">
        <v>2296</v>
      </c>
      <c r="B450" s="1">
        <v>3.6333333333333302</v>
      </c>
      <c r="C450" s="1">
        <v>4.03666666666666</v>
      </c>
      <c r="D450" s="1">
        <v>5.4733333333333301</v>
      </c>
      <c r="F450" s="1">
        <v>3.5</v>
      </c>
      <c r="G450" s="1">
        <v>4.4000000000000004</v>
      </c>
      <c r="H450" s="1">
        <v>6.1</v>
      </c>
    </row>
    <row r="451" spans="1:8">
      <c r="A451" t="s">
        <v>2298</v>
      </c>
      <c r="B451" s="1">
        <v>2.6099999999999901</v>
      </c>
      <c r="C451" s="1">
        <v>2.8966666666666598</v>
      </c>
      <c r="D451" s="1">
        <v>3.93333333333333</v>
      </c>
      <c r="F451" s="1">
        <v>3.8</v>
      </c>
      <c r="G451" s="1">
        <v>4.5999999999999996</v>
      </c>
      <c r="H451" s="1">
        <v>6.2</v>
      </c>
    </row>
    <row r="452" spans="1:8">
      <c r="A452" t="s">
        <v>2300</v>
      </c>
      <c r="B452" s="1">
        <v>2.86</v>
      </c>
      <c r="C452" s="1">
        <v>3.18333333333333</v>
      </c>
      <c r="D452" s="1">
        <v>4.3233333333333297</v>
      </c>
      <c r="F452" s="1">
        <v>3.8</v>
      </c>
      <c r="G452" s="1">
        <v>4.7</v>
      </c>
      <c r="H452" s="1">
        <v>6.2</v>
      </c>
    </row>
    <row r="453" spans="1:8">
      <c r="A453" t="s">
        <v>2302</v>
      </c>
      <c r="B453" s="1">
        <v>2.4799999999999902</v>
      </c>
      <c r="C453" s="1">
        <v>2.7666666666666599</v>
      </c>
      <c r="D453" s="1">
        <v>3.7699999999999898</v>
      </c>
      <c r="F453" s="1">
        <v>3.8</v>
      </c>
      <c r="G453" s="1">
        <v>4.8</v>
      </c>
      <c r="H453" s="1">
        <v>6.5</v>
      </c>
    </row>
    <row r="454" spans="1:8">
      <c r="A454" t="s">
        <v>2304</v>
      </c>
      <c r="B454" s="1">
        <v>2.04</v>
      </c>
      <c r="C454" s="1">
        <v>2.2766666666666602</v>
      </c>
      <c r="D454" s="1">
        <v>3.09666666666666</v>
      </c>
      <c r="F454" s="1">
        <v>3.3</v>
      </c>
      <c r="G454" s="1">
        <v>4.0999999999999996</v>
      </c>
      <c r="H454" s="1">
        <v>5.9</v>
      </c>
    </row>
    <row r="455" spans="1:8">
      <c r="A455" t="s">
        <v>2306</v>
      </c>
      <c r="B455" s="1">
        <v>2.4599999999999902</v>
      </c>
      <c r="C455" s="1">
        <v>2.7466666666666599</v>
      </c>
      <c r="D455" s="1">
        <v>3.71</v>
      </c>
      <c r="F455" s="1">
        <v>2.7</v>
      </c>
      <c r="G455" s="1">
        <v>3.4</v>
      </c>
      <c r="H455" s="1">
        <v>4.5999999999999996</v>
      </c>
    </row>
    <row r="456" spans="1:8">
      <c r="A456" t="s">
        <v>2308</v>
      </c>
      <c r="B456" s="1">
        <v>2.46</v>
      </c>
      <c r="C456" s="1">
        <v>2.7366666666666601</v>
      </c>
      <c r="D456" s="1">
        <v>3.7133333333333298</v>
      </c>
      <c r="F456" s="1">
        <v>2.6</v>
      </c>
      <c r="G456" s="1">
        <v>3.2</v>
      </c>
      <c r="H456" s="1">
        <v>4.5</v>
      </c>
    </row>
    <row r="457" spans="1:8">
      <c r="A457" t="s">
        <v>2310</v>
      </c>
      <c r="B457" s="1">
        <v>1.4066666666666601</v>
      </c>
      <c r="C457" s="1">
        <v>1.55666666666666</v>
      </c>
      <c r="D457" s="1">
        <v>2.1333333333333302</v>
      </c>
      <c r="F457" s="1">
        <v>2.1</v>
      </c>
      <c r="G457" s="1">
        <v>2.5</v>
      </c>
      <c r="H457" s="1">
        <v>3.4</v>
      </c>
    </row>
    <row r="458" spans="1:8">
      <c r="A458" t="s">
        <v>2311</v>
      </c>
      <c r="B458" s="1">
        <v>1.3866666666666601</v>
      </c>
      <c r="C458" s="1">
        <v>1.5499999999999901</v>
      </c>
      <c r="D458" s="1">
        <v>2.11</v>
      </c>
      <c r="F458" s="1">
        <v>1.7</v>
      </c>
      <c r="G458" s="1">
        <v>2.1</v>
      </c>
      <c r="H458" s="1">
        <v>3.7</v>
      </c>
    </row>
    <row r="459" spans="1:8">
      <c r="A459" t="s">
        <v>2313</v>
      </c>
      <c r="B459" s="1">
        <v>1.5133333333333301</v>
      </c>
      <c r="C459" s="1">
        <v>1.67333333333333</v>
      </c>
      <c r="D459" s="1">
        <v>2.2999999999999901</v>
      </c>
      <c r="F459" s="1">
        <v>1.6</v>
      </c>
      <c r="G459" s="1">
        <v>1.9</v>
      </c>
      <c r="H459" s="1">
        <v>2.6</v>
      </c>
    </row>
    <row r="460" spans="1:8">
      <c r="A460" t="s">
        <v>2315</v>
      </c>
      <c r="B460" s="1">
        <v>1.75</v>
      </c>
      <c r="C460" s="1">
        <v>1.9466666666666601</v>
      </c>
      <c r="D460" s="1">
        <v>2.6466666666666598</v>
      </c>
      <c r="F460" s="1">
        <v>1.6</v>
      </c>
      <c r="G460" s="1">
        <v>2</v>
      </c>
      <c r="H460" s="1">
        <v>2.6</v>
      </c>
    </row>
    <row r="461" spans="1:8">
      <c r="A461" t="s">
        <v>2317</v>
      </c>
      <c r="B461" s="1">
        <v>2.5433333333333299</v>
      </c>
      <c r="C461" s="1">
        <v>2.8333333333333299</v>
      </c>
      <c r="D461" s="1">
        <v>3.8433333333333302</v>
      </c>
      <c r="F461" s="1">
        <v>2.4</v>
      </c>
      <c r="G461" s="1">
        <v>3</v>
      </c>
      <c r="H461" s="1">
        <v>4.2</v>
      </c>
    </row>
    <row r="462" spans="1:8">
      <c r="A462" t="s">
        <v>2319</v>
      </c>
      <c r="B462" s="1">
        <v>2.69999999999999</v>
      </c>
      <c r="C462" s="1">
        <v>2.9933333333333301</v>
      </c>
      <c r="D462" s="1">
        <v>4.0666666666666602</v>
      </c>
      <c r="F462" s="1">
        <v>3.3</v>
      </c>
      <c r="G462" s="1">
        <v>4.2</v>
      </c>
      <c r="H462" s="1">
        <v>6.5</v>
      </c>
    </row>
    <row r="463" spans="1:8">
      <c r="A463" t="s">
        <v>2321</v>
      </c>
      <c r="B463" s="1">
        <v>2.46999999999999</v>
      </c>
      <c r="C463" s="1">
        <v>2.7566666666666602</v>
      </c>
      <c r="D463" s="1">
        <v>4.1799999999999899</v>
      </c>
      <c r="F463" s="1">
        <v>4.0999999999999996</v>
      </c>
      <c r="G463" s="1">
        <v>5.3</v>
      </c>
      <c r="H463" s="1">
        <v>8.1</v>
      </c>
    </row>
    <row r="464" spans="1:8">
      <c r="A464" t="s">
        <v>2323</v>
      </c>
      <c r="B464" s="1">
        <v>3.2166666666666601</v>
      </c>
      <c r="C464" s="1">
        <v>3.7433333333333301</v>
      </c>
      <c r="D464" s="1">
        <v>5.9266666666666596</v>
      </c>
      <c r="F464" s="1">
        <v>3.9</v>
      </c>
      <c r="G464" s="1">
        <v>4.9000000000000004</v>
      </c>
      <c r="H464" s="1">
        <v>7.1</v>
      </c>
    </row>
    <row r="465" spans="1:8">
      <c r="A465" t="s">
        <v>2325</v>
      </c>
      <c r="B465" s="1">
        <v>3.07</v>
      </c>
      <c r="C465" s="1">
        <v>3.8766666666666598</v>
      </c>
      <c r="D465" s="1">
        <v>5.4566666666666599</v>
      </c>
      <c r="F465" s="1">
        <v>4.3</v>
      </c>
      <c r="G465" s="1">
        <v>5.4</v>
      </c>
      <c r="H465" s="1">
        <v>7.6</v>
      </c>
    </row>
    <row r="466" spans="1:8">
      <c r="A466" t="s">
        <v>2327</v>
      </c>
      <c r="B466" s="1">
        <v>3.2733333333333299</v>
      </c>
      <c r="C466" s="1">
        <v>4.25</v>
      </c>
      <c r="D466" s="1">
        <v>5.9233333333333302</v>
      </c>
      <c r="F466" s="1">
        <v>4.5</v>
      </c>
      <c r="G466" s="1">
        <v>5.6</v>
      </c>
      <c r="H466" s="1">
        <v>7.3</v>
      </c>
    </row>
    <row r="467" spans="1:8">
      <c r="A467" t="s">
        <v>2329</v>
      </c>
      <c r="B467" s="1">
        <v>3.62333333333333</v>
      </c>
      <c r="C467" s="1">
        <v>5.3366666666666598</v>
      </c>
      <c r="D467" s="1">
        <v>6.9033333333333298</v>
      </c>
      <c r="F467" s="1">
        <v>4.4000000000000004</v>
      </c>
      <c r="G467" s="1">
        <v>5.4</v>
      </c>
      <c r="H467" s="1">
        <v>6.9</v>
      </c>
    </row>
    <row r="468" spans="1:8">
      <c r="A468" t="s">
        <v>2331</v>
      </c>
      <c r="B468" s="1">
        <v>3.66333333333333</v>
      </c>
      <c r="C468" s="1">
        <v>5.2833333333333297</v>
      </c>
      <c r="D468" s="1">
        <v>7.09</v>
      </c>
      <c r="F468" s="1">
        <v>4.5</v>
      </c>
      <c r="G468" s="1">
        <v>5.5</v>
      </c>
      <c r="H468" s="1">
        <v>7.3</v>
      </c>
    </row>
    <row r="469" spans="1:8">
      <c r="A469" t="s">
        <v>2332</v>
      </c>
      <c r="B469" s="1">
        <v>2.3833333333333302</v>
      </c>
      <c r="C469" s="1">
        <v>3.6966666666666601</v>
      </c>
      <c r="D469" s="1">
        <v>6.91</v>
      </c>
      <c r="F469" s="1">
        <v>4.2</v>
      </c>
      <c r="G469" s="1">
        <v>5.0999999999999996</v>
      </c>
      <c r="H469" s="1">
        <v>6.5</v>
      </c>
    </row>
    <row r="470" spans="1:8">
      <c r="A470" t="s">
        <v>2334</v>
      </c>
      <c r="B470" s="1">
        <v>2.4733333333333301</v>
      </c>
      <c r="C470" s="1">
        <v>3.3833333333333302</v>
      </c>
      <c r="D470" s="1">
        <v>4.4233333333333302</v>
      </c>
      <c r="F470" s="1">
        <v>3.2</v>
      </c>
      <c r="G470" s="1">
        <v>4.0999999999999996</v>
      </c>
      <c r="H470" s="1">
        <v>5.9</v>
      </c>
    </row>
    <row r="471" spans="1:8">
      <c r="A471" t="s">
        <v>2336</v>
      </c>
      <c r="B471" s="1">
        <v>2.2933333333333299</v>
      </c>
      <c r="C471" s="1">
        <v>2.9933333333333301</v>
      </c>
      <c r="D471" s="1">
        <v>3.2933333333333299</v>
      </c>
      <c r="F471" s="1">
        <v>3.1</v>
      </c>
      <c r="G471" s="1">
        <v>4.0999999999999996</v>
      </c>
      <c r="H471" s="1">
        <v>5.6</v>
      </c>
    </row>
    <row r="472" spans="1:8">
      <c r="A472" t="s">
        <v>2337</v>
      </c>
      <c r="B472" s="1">
        <v>2.9966666666666599</v>
      </c>
      <c r="C472" s="1">
        <v>4.1899999999999897</v>
      </c>
      <c r="D472" s="1">
        <v>6.0866666666666598</v>
      </c>
      <c r="F472" s="1">
        <v>3.3</v>
      </c>
      <c r="G472" s="1">
        <v>4.2</v>
      </c>
      <c r="H472" s="1">
        <v>5.4</v>
      </c>
    </row>
    <row r="473" spans="1:8">
      <c r="A473" t="s">
        <v>2338</v>
      </c>
      <c r="B473" s="1">
        <v>3.20333333333333</v>
      </c>
      <c r="C473" s="1">
        <v>5.36</v>
      </c>
      <c r="D473" s="1">
        <v>8.2033333333333296</v>
      </c>
      <c r="F473" s="1">
        <v>3.5</v>
      </c>
      <c r="G473" s="1">
        <v>4.7</v>
      </c>
      <c r="H473" s="1">
        <v>7.3</v>
      </c>
    </row>
    <row r="474" spans="1:8">
      <c r="A474" t="s">
        <v>2340</v>
      </c>
      <c r="B474" s="1">
        <v>4.22</v>
      </c>
      <c r="C474" s="1">
        <v>6.2433333333333296</v>
      </c>
      <c r="D474" s="1">
        <v>8.64</v>
      </c>
      <c r="F474" s="1">
        <v>4.0999999999999996</v>
      </c>
      <c r="G474" s="1">
        <v>5.3</v>
      </c>
      <c r="H474" s="1">
        <v>7.5</v>
      </c>
    </row>
    <row r="475" spans="1:8">
      <c r="A475" t="s">
        <v>2341</v>
      </c>
      <c r="B475" s="1">
        <v>4.45</v>
      </c>
      <c r="C475" s="1">
        <v>6.7166666666666597</v>
      </c>
      <c r="D475" s="1">
        <v>11.5866666666666</v>
      </c>
      <c r="F475" s="1">
        <v>5</v>
      </c>
      <c r="G475" s="1">
        <v>6.2</v>
      </c>
      <c r="H475" s="1">
        <v>7.7</v>
      </c>
    </row>
    <row r="476" spans="1:8">
      <c r="A476" t="s">
        <v>2343</v>
      </c>
      <c r="B476" s="1">
        <v>4.5733333333333297</v>
      </c>
      <c r="C476" s="1">
        <v>6.56</v>
      </c>
      <c r="D476" s="1">
        <v>9.3433333333333302</v>
      </c>
      <c r="F476" s="1">
        <v>5.5</v>
      </c>
      <c r="G476" s="1">
        <v>6.7</v>
      </c>
      <c r="H476" s="1">
        <v>8.6</v>
      </c>
    </row>
    <row r="477" spans="1:8">
      <c r="A477" t="s">
        <v>2345</v>
      </c>
      <c r="B477" s="1">
        <v>4.8766666666666598</v>
      </c>
      <c r="C477" s="1">
        <v>7.0966666666666596</v>
      </c>
      <c r="D477" s="1">
        <v>10.09</v>
      </c>
      <c r="F477" s="1">
        <v>5.7</v>
      </c>
      <c r="G477" s="1">
        <v>7.1</v>
      </c>
      <c r="H477" s="1">
        <v>9.1999999999999993</v>
      </c>
    </row>
    <row r="478" spans="1:8">
      <c r="A478" t="s">
        <v>2346</v>
      </c>
      <c r="B478" s="1">
        <v>3.9799999999999902</v>
      </c>
      <c r="C478" s="1">
        <v>5.59</v>
      </c>
      <c r="D478" s="1">
        <v>9.2733333333333299</v>
      </c>
      <c r="F478" s="1">
        <v>5.8</v>
      </c>
      <c r="G478" s="1">
        <v>7.1</v>
      </c>
      <c r="H478" s="1">
        <v>8.9</v>
      </c>
    </row>
    <row r="479" spans="1:8">
      <c r="A479" t="s">
        <v>2348</v>
      </c>
      <c r="B479" s="1">
        <v>4.3466666666666596</v>
      </c>
      <c r="C479" s="1">
        <v>6.3399999999999901</v>
      </c>
      <c r="D479" s="1">
        <v>9.4733333333333292</v>
      </c>
      <c r="F479" s="1">
        <v>6.5</v>
      </c>
      <c r="G479" s="1">
        <v>8</v>
      </c>
      <c r="H479" s="1">
        <v>10.5</v>
      </c>
    </row>
    <row r="480" spans="1:8">
      <c r="A480" t="s">
        <v>2350</v>
      </c>
      <c r="B480" s="1">
        <v>4.7166666666666597</v>
      </c>
      <c r="C480" s="1">
        <v>6.2233333333333301</v>
      </c>
      <c r="D480" s="1">
        <v>8.8366666666666607</v>
      </c>
      <c r="F480" s="1">
        <v>7.1</v>
      </c>
      <c r="G480" s="1">
        <v>8.6999999999999993</v>
      </c>
      <c r="H480" s="1">
        <v>11</v>
      </c>
    </row>
    <row r="481" spans="1:8">
      <c r="A481" t="s">
        <v>2352</v>
      </c>
      <c r="B481" s="1">
        <v>2.8866666666666601</v>
      </c>
      <c r="C481" s="1">
        <v>3.70333333333333</v>
      </c>
      <c r="D481" s="1">
        <v>5.3033333333333301</v>
      </c>
      <c r="F481" s="1">
        <v>6.6</v>
      </c>
      <c r="G481" s="1">
        <v>8</v>
      </c>
      <c r="H481" s="1">
        <v>10.3</v>
      </c>
    </row>
    <row r="482" spans="1:8">
      <c r="A482" t="s">
        <v>2354</v>
      </c>
      <c r="B482" s="1">
        <v>3.49</v>
      </c>
      <c r="C482" s="1">
        <v>5.1733333333333302</v>
      </c>
      <c r="D482" s="1">
        <v>7.6266666666666598</v>
      </c>
      <c r="F482" s="1">
        <v>5.2</v>
      </c>
      <c r="G482" s="1">
        <v>6.5</v>
      </c>
      <c r="H482" s="1">
        <v>9.1999999999999993</v>
      </c>
    </row>
    <row r="483" spans="1:8">
      <c r="A483" t="s">
        <v>2356</v>
      </c>
      <c r="B483" s="1">
        <v>3.4999999999999898</v>
      </c>
      <c r="C483" s="1">
        <v>4.5133333333333301</v>
      </c>
      <c r="D483" s="1">
        <v>5.9833333333333298</v>
      </c>
      <c r="F483" s="1">
        <v>5.2</v>
      </c>
      <c r="G483" s="1">
        <v>6.3</v>
      </c>
      <c r="H483" s="1">
        <v>8.5</v>
      </c>
    </row>
    <row r="484" spans="1:8">
      <c r="A484" t="s">
        <v>2358</v>
      </c>
      <c r="B484" s="1">
        <v>3.42</v>
      </c>
      <c r="C484" s="1">
        <v>4.6233333333333304</v>
      </c>
      <c r="D484" s="1">
        <v>6.5266666666666602</v>
      </c>
      <c r="F484" s="1">
        <v>5.2</v>
      </c>
      <c r="G484" s="1">
        <v>6.5</v>
      </c>
      <c r="H484" s="1">
        <v>10.199999999999999</v>
      </c>
    </row>
    <row r="485" spans="1:8">
      <c r="A485" t="s">
        <v>2360</v>
      </c>
      <c r="B485" s="1">
        <v>3.53666666666666</v>
      </c>
      <c r="C485" s="1">
        <v>4.3899999999999997</v>
      </c>
      <c r="D485" s="1">
        <v>6.4799999999999898</v>
      </c>
      <c r="F485" s="1">
        <v>4.9000000000000004</v>
      </c>
      <c r="G485" s="1">
        <v>6.1</v>
      </c>
      <c r="H485" s="1">
        <v>8.6999999999999993</v>
      </c>
    </row>
    <row r="486" spans="1:8">
      <c r="A486" t="s">
        <v>2362</v>
      </c>
      <c r="B486" s="1">
        <v>3.8233333333333301</v>
      </c>
      <c r="C486" s="1">
        <v>4.87</v>
      </c>
      <c r="D486" s="1">
        <v>6.53666666666666</v>
      </c>
      <c r="F486" s="1">
        <v>4.9000000000000004</v>
      </c>
      <c r="G486" s="1">
        <v>6</v>
      </c>
      <c r="H486" s="1">
        <v>7.5</v>
      </c>
    </row>
    <row r="487" spans="1:8">
      <c r="A487" t="s">
        <v>2363</v>
      </c>
      <c r="B487" s="1">
        <v>3.30666666666666</v>
      </c>
      <c r="C487" s="1">
        <v>4.6933333333333298</v>
      </c>
      <c r="D487" s="1">
        <v>5.7533333333333303</v>
      </c>
      <c r="F487" s="1">
        <v>5.7</v>
      </c>
      <c r="G487" s="1">
        <v>6.8</v>
      </c>
      <c r="H487" s="1">
        <v>9</v>
      </c>
    </row>
    <row r="488" spans="1:8">
      <c r="A488" t="s">
        <v>2365</v>
      </c>
      <c r="B488" s="1">
        <v>3.1866666666666599</v>
      </c>
      <c r="C488" s="1">
        <v>4.2333333333333298</v>
      </c>
      <c r="D488" s="1">
        <v>5.9899999999999904</v>
      </c>
      <c r="F488" s="1">
        <v>6.1</v>
      </c>
      <c r="G488" s="1">
        <v>7.3</v>
      </c>
      <c r="H488" s="1">
        <v>11.2</v>
      </c>
    </row>
    <row r="489" spans="1:8">
      <c r="A489" t="s">
        <v>2367</v>
      </c>
      <c r="B489" s="1">
        <v>3.99</v>
      </c>
      <c r="C489" s="1">
        <v>5.41</v>
      </c>
      <c r="D489" s="1">
        <v>7.1966666666666601</v>
      </c>
      <c r="F489" s="1">
        <v>6.6</v>
      </c>
      <c r="G489" s="1">
        <v>7.9</v>
      </c>
      <c r="H489" s="1">
        <v>11.4</v>
      </c>
    </row>
    <row r="490" spans="1:8">
      <c r="A490" t="s">
        <v>2369</v>
      </c>
      <c r="B490" s="1">
        <v>4.47</v>
      </c>
      <c r="C490" s="1">
        <v>5.4599999999999902</v>
      </c>
      <c r="D490" s="1">
        <v>6.3866666666666596</v>
      </c>
      <c r="F490" s="1">
        <v>6.6</v>
      </c>
      <c r="G490" s="1">
        <v>7.8</v>
      </c>
      <c r="H490" s="1">
        <v>10.9</v>
      </c>
    </row>
    <row r="491" spans="1:8">
      <c r="A491" t="s">
        <v>2370</v>
      </c>
      <c r="B491" s="1">
        <v>4.8999999999999897</v>
      </c>
      <c r="C491" s="1">
        <v>5.4166666666666599</v>
      </c>
      <c r="D491" s="1">
        <v>7.2433333333333296</v>
      </c>
      <c r="F491" s="1">
        <v>7.1</v>
      </c>
      <c r="G491" s="1">
        <v>8.3000000000000007</v>
      </c>
      <c r="H491" s="1">
        <v>11.3</v>
      </c>
    </row>
    <row r="492" spans="1:8">
      <c r="A492" t="s">
        <v>2372</v>
      </c>
      <c r="B492" s="1">
        <v>7.27</v>
      </c>
      <c r="C492" s="1">
        <v>8.0833333333333304</v>
      </c>
      <c r="D492" s="1">
        <v>10.9399999999999</v>
      </c>
      <c r="F492" s="1">
        <v>10</v>
      </c>
      <c r="G492" s="1">
        <v>11.2</v>
      </c>
      <c r="H492" s="1">
        <v>14.1</v>
      </c>
    </row>
    <row r="493" spans="1:8">
      <c r="A493" t="s">
        <v>2374</v>
      </c>
      <c r="B493" s="1">
        <v>8.24</v>
      </c>
      <c r="C493" s="1">
        <v>9.1633333333333304</v>
      </c>
      <c r="D493" s="1">
        <v>12.383333333333301</v>
      </c>
      <c r="F493" s="1">
        <v>12.4</v>
      </c>
      <c r="G493" s="1">
        <v>13.9</v>
      </c>
      <c r="H493" s="1">
        <v>18</v>
      </c>
    </row>
    <row r="494" spans="1:8">
      <c r="A494" t="s">
        <v>2377</v>
      </c>
      <c r="B494" s="1">
        <v>14.25</v>
      </c>
      <c r="C494" s="1">
        <v>15.8266666666666</v>
      </c>
      <c r="D494" s="1">
        <v>21.4</v>
      </c>
      <c r="F494" s="1">
        <v>16.399999999999999</v>
      </c>
      <c r="G494" s="1">
        <v>18.399999999999999</v>
      </c>
      <c r="H494" s="1">
        <v>24.2</v>
      </c>
    </row>
    <row r="495" spans="1:8">
      <c r="A495" t="s">
        <v>2379</v>
      </c>
      <c r="B495" s="1">
        <v>18.55</v>
      </c>
      <c r="C495" s="1">
        <v>20.599999999999898</v>
      </c>
      <c r="D495" s="1">
        <v>27.8533333333333</v>
      </c>
      <c r="F495" s="1">
        <v>21.4</v>
      </c>
      <c r="G495" s="1">
        <v>23.3</v>
      </c>
      <c r="H495" s="1">
        <v>28</v>
      </c>
    </row>
    <row r="496" spans="1:8">
      <c r="A496" t="s">
        <v>2382</v>
      </c>
      <c r="B496" s="1">
        <v>20.696666666666601</v>
      </c>
      <c r="C496" s="1">
        <v>22.976666666666599</v>
      </c>
      <c r="D496" s="1">
        <v>31.056666666666601</v>
      </c>
      <c r="F496" s="1">
        <v>27.8</v>
      </c>
      <c r="G496" s="1">
        <v>29.8</v>
      </c>
      <c r="H496" s="1">
        <v>34.1</v>
      </c>
    </row>
    <row r="497" spans="1:8">
      <c r="A497" t="s">
        <v>2387</v>
      </c>
      <c r="B497" s="1">
        <v>12.4199999999999</v>
      </c>
      <c r="C497" s="1">
        <v>13.796666666666599</v>
      </c>
      <c r="D497" s="1">
        <v>18.656666666666599</v>
      </c>
      <c r="F497" s="1">
        <v>32</v>
      </c>
      <c r="G497" s="1">
        <v>34.4</v>
      </c>
      <c r="H497" s="1">
        <v>40</v>
      </c>
    </row>
    <row r="498" spans="1:8">
      <c r="A498" t="s">
        <v>2390</v>
      </c>
      <c r="B498" s="1">
        <v>7.6866666666666603</v>
      </c>
      <c r="C498" s="1">
        <v>8.5399999999999991</v>
      </c>
      <c r="D498" s="1">
        <v>11.559999999999899</v>
      </c>
      <c r="F498" s="1">
        <v>24.2</v>
      </c>
      <c r="G498" s="1">
        <v>26.1</v>
      </c>
      <c r="H498" s="1">
        <v>30.6</v>
      </c>
    </row>
    <row r="499" spans="1:8">
      <c r="A499" t="s">
        <v>2394</v>
      </c>
      <c r="B499" s="1">
        <v>7.9666666666666597</v>
      </c>
      <c r="C499" s="1">
        <v>8.8499999999999908</v>
      </c>
      <c r="D499" s="1">
        <v>11.969999999999899</v>
      </c>
      <c r="F499" s="1">
        <v>17</v>
      </c>
      <c r="G499" s="1">
        <v>18.5</v>
      </c>
      <c r="H499" s="1">
        <v>22.3</v>
      </c>
    </row>
    <row r="500" spans="1:8">
      <c r="A500" t="s">
        <v>2397</v>
      </c>
      <c r="B500" s="1">
        <v>8.8833333333333293</v>
      </c>
      <c r="C500" s="1">
        <v>9.8699999999999903</v>
      </c>
      <c r="D500" s="1">
        <v>13.3566666666666</v>
      </c>
      <c r="F500" s="1">
        <v>17.2</v>
      </c>
      <c r="G500" s="1">
        <v>18.8</v>
      </c>
      <c r="H500" s="1">
        <v>22.4</v>
      </c>
    </row>
    <row r="501" spans="1:8">
      <c r="A501" t="s">
        <v>2401</v>
      </c>
      <c r="B501" s="1">
        <v>8.3466666666666605</v>
      </c>
      <c r="C501" s="1">
        <v>9.2933333333333294</v>
      </c>
      <c r="D501" s="1">
        <v>12.566666666666601</v>
      </c>
      <c r="F501" s="1">
        <v>17.7</v>
      </c>
      <c r="G501" s="1">
        <v>19.5</v>
      </c>
      <c r="H501" s="1">
        <v>23.8</v>
      </c>
    </row>
    <row r="502" spans="1:8">
      <c r="A502" t="s">
        <v>2403</v>
      </c>
      <c r="B502" s="1">
        <v>7.87</v>
      </c>
      <c r="C502" s="1">
        <v>8.7366666666666593</v>
      </c>
      <c r="D502" s="1">
        <v>11.8266666666666</v>
      </c>
      <c r="F502" s="1">
        <v>16.100000000000001</v>
      </c>
      <c r="G502" s="1">
        <v>17.600000000000001</v>
      </c>
      <c r="H502" s="1">
        <v>20.8</v>
      </c>
    </row>
    <row r="503" spans="1:8">
      <c r="A503" t="s">
        <v>2405</v>
      </c>
      <c r="B503" s="1">
        <v>6.1966666666666601</v>
      </c>
      <c r="C503" s="1">
        <v>6.9</v>
      </c>
      <c r="D503" s="1">
        <v>9.3433333333333302</v>
      </c>
      <c r="F503" s="1">
        <v>13.8</v>
      </c>
      <c r="G503" s="1">
        <v>15.3</v>
      </c>
      <c r="H503" s="1">
        <v>18.3</v>
      </c>
    </row>
    <row r="504" spans="1:8">
      <c r="A504" t="s">
        <v>2408</v>
      </c>
      <c r="B504" s="1">
        <v>4.8966666666666603</v>
      </c>
      <c r="C504" s="1">
        <v>5.4399999999999897</v>
      </c>
      <c r="D504" s="1">
        <v>7.3766666666666598</v>
      </c>
      <c r="F504" s="1">
        <v>11</v>
      </c>
      <c r="G504" s="1">
        <v>12.3</v>
      </c>
      <c r="H504" s="1">
        <v>15.7</v>
      </c>
    </row>
    <row r="505" spans="1:8">
      <c r="A505" t="s">
        <v>2410</v>
      </c>
      <c r="B505" s="1">
        <v>4.1266666666666598</v>
      </c>
      <c r="C505" s="1">
        <v>4.57666666666666</v>
      </c>
      <c r="D505" s="1">
        <v>6.2133333333333303</v>
      </c>
      <c r="F505" s="1">
        <v>9.5</v>
      </c>
      <c r="G505" s="1">
        <v>10.5</v>
      </c>
      <c r="H505" s="1">
        <v>12.7</v>
      </c>
    </row>
    <row r="506" spans="1:8">
      <c r="A506" t="s">
        <v>2412</v>
      </c>
      <c r="B506" s="1">
        <v>3.84666666666666</v>
      </c>
      <c r="C506" s="1">
        <v>4.6733333333333302</v>
      </c>
      <c r="D506" s="1">
        <v>6.4933333333333296</v>
      </c>
      <c r="F506" s="1">
        <v>7.9</v>
      </c>
      <c r="G506" s="1">
        <v>8.6999999999999993</v>
      </c>
      <c r="H506" s="1">
        <v>10.8</v>
      </c>
    </row>
    <row r="507" spans="1:8">
      <c r="A507" t="s">
        <v>2414</v>
      </c>
      <c r="B507" s="1">
        <v>2.7566666666666602</v>
      </c>
      <c r="C507" s="1">
        <v>4.0033333333333303</v>
      </c>
      <c r="D507" s="1">
        <v>4.5533333333333301</v>
      </c>
      <c r="F507" s="1">
        <v>5.0999999999999996</v>
      </c>
      <c r="G507" s="1">
        <v>5.7</v>
      </c>
      <c r="H507" s="1">
        <v>7.2</v>
      </c>
    </row>
    <row r="508" spans="1:8">
      <c r="A508" t="s">
        <v>2416</v>
      </c>
      <c r="B508" s="1">
        <v>2.3566666666666598</v>
      </c>
      <c r="C508" s="1">
        <v>2.9233333333333298</v>
      </c>
      <c r="D508" s="1">
        <v>3.89</v>
      </c>
      <c r="F508" s="1">
        <v>4.4000000000000004</v>
      </c>
      <c r="G508" s="1">
        <v>5</v>
      </c>
      <c r="H508" s="1">
        <v>6.1</v>
      </c>
    </row>
    <row r="509" spans="1:8">
      <c r="A509" t="s">
        <v>2418</v>
      </c>
      <c r="B509" s="1">
        <v>3.18333333333333</v>
      </c>
      <c r="C509" s="1">
        <v>4.5033333333333303</v>
      </c>
      <c r="D509" s="1">
        <v>5.1733333333333302</v>
      </c>
      <c r="F509" s="1">
        <v>4.9000000000000004</v>
      </c>
      <c r="G509" s="1">
        <v>5.6</v>
      </c>
      <c r="H509" s="1">
        <v>7.3</v>
      </c>
    </row>
    <row r="510" spans="1:8">
      <c r="A510" t="s">
        <v>2420</v>
      </c>
      <c r="B510" s="1">
        <v>2.7966666666666602</v>
      </c>
      <c r="C510" s="1">
        <v>3.7899999999999898</v>
      </c>
      <c r="D510" s="1">
        <v>5.53666666666666</v>
      </c>
      <c r="F510" s="1">
        <v>4.0999999999999996</v>
      </c>
      <c r="G510" s="1">
        <v>4.8</v>
      </c>
      <c r="H510" s="1">
        <v>6.2</v>
      </c>
    </row>
    <row r="511" spans="1:8">
      <c r="A511" t="s">
        <v>2422</v>
      </c>
      <c r="B511" s="1">
        <v>1.86666666666666</v>
      </c>
      <c r="C511" s="1">
        <v>2.5466666666666602</v>
      </c>
      <c r="D511" s="1">
        <v>4.1100000000000003</v>
      </c>
      <c r="F511" s="1">
        <v>3.2</v>
      </c>
      <c r="G511" s="1">
        <v>3.7</v>
      </c>
      <c r="H511" s="1">
        <v>4.9000000000000004</v>
      </c>
    </row>
    <row r="512" spans="1:8">
      <c r="A512" t="s">
        <v>2423</v>
      </c>
      <c r="B512" s="1">
        <v>1.7733333333333301</v>
      </c>
      <c r="C512" s="1">
        <v>2.7633333333333301</v>
      </c>
      <c r="D512" s="1">
        <v>4.0433333333333303</v>
      </c>
      <c r="F512" s="1">
        <v>2.8</v>
      </c>
      <c r="G512" s="1">
        <v>3.2</v>
      </c>
      <c r="H512" s="1">
        <v>4</v>
      </c>
    </row>
    <row r="513" spans="1:8">
      <c r="A513" t="s">
        <v>2425</v>
      </c>
      <c r="B513" s="1">
        <v>1.5699999999999901</v>
      </c>
      <c r="C513" s="1">
        <v>2.0499999999999998</v>
      </c>
      <c r="D513" s="1">
        <v>2.6133333333333302</v>
      </c>
      <c r="F513" s="1">
        <v>2.7</v>
      </c>
      <c r="G513" s="1">
        <v>3.1</v>
      </c>
      <c r="H513" s="1">
        <v>4</v>
      </c>
    </row>
    <row r="514" spans="1:8">
      <c r="A514" t="s">
        <v>2427</v>
      </c>
      <c r="B514" s="1">
        <v>1.96333333333333</v>
      </c>
      <c r="C514" s="1">
        <v>2.7133333333333298</v>
      </c>
      <c r="D514" s="1">
        <v>3.3166666666666602</v>
      </c>
      <c r="F514" s="1">
        <v>2.6</v>
      </c>
      <c r="G514" s="1">
        <v>3</v>
      </c>
      <c r="H514" s="1">
        <v>4.0999999999999996</v>
      </c>
    </row>
    <row r="515" spans="1:8">
      <c r="A515" t="s">
        <v>2429</v>
      </c>
      <c r="B515" s="1">
        <v>1.8133333333333299</v>
      </c>
      <c r="C515" s="1">
        <v>2.63</v>
      </c>
      <c r="D515" s="1">
        <v>3.0833333333333299</v>
      </c>
      <c r="F515" s="1">
        <v>2.5</v>
      </c>
      <c r="G515" s="1">
        <v>3.1</v>
      </c>
      <c r="H515" s="1">
        <v>4.5</v>
      </c>
    </row>
    <row r="516" spans="1:8">
      <c r="A516" t="s">
        <v>2430</v>
      </c>
      <c r="B516" s="1">
        <v>1.8333333333333299</v>
      </c>
      <c r="C516" s="1">
        <v>2.3566666666666598</v>
      </c>
      <c r="D516" s="1">
        <v>4.1500000000000004</v>
      </c>
      <c r="F516" s="1">
        <v>2.7</v>
      </c>
      <c r="G516" s="1">
        <v>3.3</v>
      </c>
      <c r="H516" s="1">
        <v>4.5999999999999996</v>
      </c>
    </row>
    <row r="517" spans="1:8">
      <c r="A517" t="s">
        <v>2432</v>
      </c>
      <c r="B517" s="1">
        <v>1.6666666666666601</v>
      </c>
      <c r="C517" s="1">
        <v>2.04</v>
      </c>
      <c r="D517" s="1">
        <v>2.9933333333333301</v>
      </c>
      <c r="F517" s="1">
        <v>2.8</v>
      </c>
      <c r="G517" s="1">
        <v>3.2</v>
      </c>
      <c r="H517" s="1">
        <v>4.0999999999999996</v>
      </c>
    </row>
    <row r="518" spans="1:8">
      <c r="A518" t="s">
        <v>2434</v>
      </c>
      <c r="B518" s="1">
        <v>1.64333333333333</v>
      </c>
      <c r="C518" s="1">
        <v>2.3099999999999898</v>
      </c>
      <c r="D518" s="1">
        <v>3.54</v>
      </c>
      <c r="F518" s="1">
        <v>2.8</v>
      </c>
      <c r="G518" s="1">
        <v>3.3</v>
      </c>
      <c r="H518" s="1">
        <v>4.5999999999999996</v>
      </c>
    </row>
    <row r="519" spans="1:8">
      <c r="A519" t="s">
        <v>2436</v>
      </c>
      <c r="B519" s="1">
        <v>2.1</v>
      </c>
      <c r="C519" s="1">
        <v>2.3433333333333302</v>
      </c>
      <c r="D519" s="1">
        <v>3.1766666666666601</v>
      </c>
      <c r="F519" s="1">
        <v>2.9</v>
      </c>
      <c r="G519" s="1">
        <v>3.4</v>
      </c>
      <c r="H519" s="1">
        <v>4.7</v>
      </c>
    </row>
    <row r="520" spans="1:8">
      <c r="A520" t="s">
        <v>2438</v>
      </c>
      <c r="B520" s="1">
        <v>1.94999999999999</v>
      </c>
      <c r="C520" s="1">
        <v>2.16</v>
      </c>
      <c r="D520" s="1">
        <v>2.9466666666666601</v>
      </c>
      <c r="F520" s="1">
        <v>2.9</v>
      </c>
      <c r="G520" s="1">
        <v>3.4</v>
      </c>
      <c r="H520" s="1">
        <v>4.7</v>
      </c>
    </row>
    <row r="521" spans="1:8">
      <c r="A521" t="s">
        <v>2440</v>
      </c>
      <c r="B521" s="1">
        <v>2.1566666666666601</v>
      </c>
      <c r="C521" s="1">
        <v>2.41333333333333</v>
      </c>
      <c r="D521" s="1">
        <v>3.2766666666666602</v>
      </c>
      <c r="F521" s="1">
        <v>2.9</v>
      </c>
      <c r="G521" s="1">
        <v>3.4</v>
      </c>
      <c r="H521" s="1">
        <v>4.4000000000000004</v>
      </c>
    </row>
    <row r="522" spans="1:8">
      <c r="A522" t="s">
        <v>2442</v>
      </c>
      <c r="B522" s="1">
        <v>1.9866666666666599</v>
      </c>
      <c r="C522" s="1">
        <v>2.21</v>
      </c>
      <c r="D522" s="1">
        <v>3.0166666666666599</v>
      </c>
      <c r="F522" s="1">
        <v>3.3</v>
      </c>
      <c r="G522" s="1">
        <v>3.7</v>
      </c>
      <c r="H522" s="1">
        <v>4.4000000000000004</v>
      </c>
    </row>
    <row r="523" spans="1:8">
      <c r="A523" t="s">
        <v>2444</v>
      </c>
      <c r="B523" s="1">
        <v>2.1866666666666599</v>
      </c>
      <c r="C523" s="1">
        <v>2.8966666666666598</v>
      </c>
      <c r="D523" s="1">
        <v>3.3866666666666601</v>
      </c>
      <c r="F523" s="1">
        <v>3</v>
      </c>
      <c r="G523" s="1">
        <v>3.5</v>
      </c>
      <c r="H523" s="1">
        <v>4</v>
      </c>
    </row>
    <row r="524" spans="1:8">
      <c r="A524" t="s">
        <v>2446</v>
      </c>
      <c r="B524" s="1">
        <v>1.7633333333333301</v>
      </c>
      <c r="C524" s="1">
        <v>2.0699999999999998</v>
      </c>
      <c r="D524" s="1">
        <v>2.52</v>
      </c>
      <c r="F524" s="1">
        <v>3</v>
      </c>
      <c r="G524" s="1">
        <v>3.4</v>
      </c>
      <c r="H524" s="1">
        <v>4.3</v>
      </c>
    </row>
    <row r="525" spans="1:8">
      <c r="A525" t="s">
        <v>2448</v>
      </c>
      <c r="B525" s="1">
        <v>2.4466666666666601</v>
      </c>
      <c r="C525" s="1">
        <v>3.33</v>
      </c>
      <c r="D525" s="1">
        <v>4.49</v>
      </c>
      <c r="F525" s="1">
        <v>3.1</v>
      </c>
      <c r="G525" s="1">
        <v>3.6</v>
      </c>
      <c r="H525" s="1">
        <v>4.5</v>
      </c>
    </row>
    <row r="526" spans="1:8">
      <c r="A526" t="s">
        <v>2450</v>
      </c>
      <c r="B526" s="1">
        <v>2.8133333333333299</v>
      </c>
      <c r="C526" s="1">
        <v>3.9933333333333301</v>
      </c>
      <c r="D526" s="1">
        <v>5.3133333333333299</v>
      </c>
      <c r="F526" s="1">
        <v>3.6</v>
      </c>
      <c r="G526" s="1">
        <v>4.0999999999999996</v>
      </c>
      <c r="H526" s="1">
        <v>5</v>
      </c>
    </row>
    <row r="527" spans="1:8">
      <c r="A527" t="s">
        <v>2451</v>
      </c>
      <c r="B527" s="1">
        <v>3.8366666666666598</v>
      </c>
      <c r="C527" s="1">
        <v>4.8499999999999996</v>
      </c>
      <c r="D527" s="1">
        <v>6.35</v>
      </c>
      <c r="F527" s="1">
        <v>4.3</v>
      </c>
      <c r="G527" s="1">
        <v>4.8</v>
      </c>
      <c r="H527" s="1">
        <v>5.8</v>
      </c>
    </row>
    <row r="528" spans="1:8">
      <c r="A528" t="s">
        <v>2453</v>
      </c>
      <c r="B528" s="1">
        <v>4.7133333333333303</v>
      </c>
      <c r="C528" s="1">
        <v>5.7066666666666599</v>
      </c>
      <c r="D528" s="1">
        <v>8</v>
      </c>
      <c r="F528" s="1">
        <v>4.7</v>
      </c>
      <c r="G528" s="1">
        <v>5.4</v>
      </c>
      <c r="H528" s="1">
        <v>6.6</v>
      </c>
    </row>
    <row r="529" spans="1:8">
      <c r="A529" t="s">
        <v>2454</v>
      </c>
      <c r="B529" s="1">
        <v>5.3233333333333297</v>
      </c>
      <c r="C529" s="1">
        <v>7.4233333333333302</v>
      </c>
      <c r="D529" s="1">
        <v>10.126666666666599</v>
      </c>
      <c r="F529" s="1">
        <v>5.3</v>
      </c>
      <c r="G529" s="1">
        <v>6</v>
      </c>
      <c r="H529" s="1">
        <v>6.8</v>
      </c>
    </row>
    <row r="530" spans="1:8">
      <c r="A530" t="s">
        <v>2455</v>
      </c>
      <c r="B530" s="1">
        <v>5.3799999999999901</v>
      </c>
      <c r="C530" s="1">
        <v>6.28666666666666</v>
      </c>
      <c r="D530" s="1">
        <v>8.75</v>
      </c>
      <c r="F530" s="1">
        <v>6.1</v>
      </c>
      <c r="G530" s="1">
        <v>6.8</v>
      </c>
      <c r="H530" s="1">
        <v>8.3000000000000007</v>
      </c>
    </row>
    <row r="531" spans="1:8">
      <c r="A531" t="s">
        <v>2456</v>
      </c>
      <c r="B531" s="1">
        <v>4.22</v>
      </c>
      <c r="C531" s="1">
        <v>5.8866666666666596</v>
      </c>
      <c r="D531" s="1">
        <v>7.7233333333333301</v>
      </c>
      <c r="F531" s="1">
        <v>6.1</v>
      </c>
      <c r="G531" s="1">
        <v>6.9</v>
      </c>
      <c r="H531" s="1">
        <v>8.8000000000000007</v>
      </c>
    </row>
    <row r="532" spans="1:8">
      <c r="A532" t="s">
        <v>2458</v>
      </c>
      <c r="B532" s="1">
        <v>3.84666666666666</v>
      </c>
      <c r="C532" s="1">
        <v>5.94</v>
      </c>
      <c r="D532" s="1">
        <v>6.3133333333333299</v>
      </c>
      <c r="F532" s="1">
        <v>5</v>
      </c>
      <c r="G532" s="1">
        <v>5.6</v>
      </c>
      <c r="H532" s="1">
        <v>6.4</v>
      </c>
    </row>
    <row r="533" spans="1:8">
      <c r="A533" t="s">
        <v>2460</v>
      </c>
      <c r="B533" s="1">
        <v>3.9833333333333298</v>
      </c>
      <c r="C533" s="1">
        <v>5.6366666666666596</v>
      </c>
      <c r="D533" s="1">
        <v>6.7466666666666599</v>
      </c>
      <c r="F533" s="1">
        <v>4.7</v>
      </c>
      <c r="G533" s="1">
        <v>5.4</v>
      </c>
      <c r="H533" s="1">
        <v>6.6</v>
      </c>
    </row>
    <row r="534" spans="1:8">
      <c r="A534" t="s">
        <v>2461</v>
      </c>
      <c r="B534" s="1">
        <v>4.1766666666666596</v>
      </c>
      <c r="C534" s="1">
        <v>5.3499999999999899</v>
      </c>
      <c r="D534" s="1">
        <v>6.82</v>
      </c>
      <c r="F534" s="1">
        <v>4.7</v>
      </c>
      <c r="G534" s="1">
        <v>5.4</v>
      </c>
      <c r="H534" s="1">
        <v>6.5</v>
      </c>
    </row>
    <row r="535" spans="1:8">
      <c r="A535" t="s">
        <v>2462</v>
      </c>
      <c r="B535" s="1">
        <v>3.55666666666666</v>
      </c>
      <c r="C535" s="1">
        <v>4.8766666666666598</v>
      </c>
      <c r="D535" s="1">
        <v>6.2633333333333301</v>
      </c>
      <c r="F535" s="1">
        <v>5</v>
      </c>
      <c r="G535" s="1">
        <v>5.8</v>
      </c>
      <c r="H535" s="1">
        <v>7.1</v>
      </c>
    </row>
    <row r="536" spans="1:8">
      <c r="A536" t="s">
        <v>2464</v>
      </c>
      <c r="B536" s="1">
        <v>3.8033333333333301</v>
      </c>
      <c r="C536" s="1">
        <v>4.5999999999999899</v>
      </c>
      <c r="D536" s="1">
        <v>7.0566666666666604</v>
      </c>
      <c r="F536" s="1">
        <v>4.5999999999999996</v>
      </c>
      <c r="G536" s="1">
        <v>5.2</v>
      </c>
      <c r="H536" s="1">
        <v>6.2</v>
      </c>
    </row>
    <row r="537" spans="1:8">
      <c r="A537" t="s">
        <v>2466</v>
      </c>
      <c r="B537" s="1">
        <v>4.0933333333333302</v>
      </c>
      <c r="C537" s="1">
        <v>5.5666666666666602</v>
      </c>
      <c r="D537" s="1">
        <v>7.26</v>
      </c>
      <c r="F537" s="1">
        <v>4.5</v>
      </c>
      <c r="G537" s="1">
        <v>5.3</v>
      </c>
      <c r="H537" s="1">
        <v>6.9</v>
      </c>
    </row>
    <row r="538" spans="1:8">
      <c r="A538" t="s">
        <v>2467</v>
      </c>
      <c r="B538" s="1">
        <v>4.4899999999999904</v>
      </c>
      <c r="C538" s="1">
        <v>5.9099999999999904</v>
      </c>
      <c r="D538" s="1">
        <v>8.7233333333333292</v>
      </c>
      <c r="F538" s="1">
        <v>5</v>
      </c>
      <c r="G538" s="1">
        <v>5.8</v>
      </c>
      <c r="H538" s="1">
        <v>8.1999999999999993</v>
      </c>
    </row>
    <row r="539" spans="1:8">
      <c r="A539" t="s">
        <v>2468</v>
      </c>
      <c r="B539" s="1">
        <v>4.6399999999999997</v>
      </c>
      <c r="C539" s="1">
        <v>6.46999999999999</v>
      </c>
      <c r="D539" s="1">
        <v>7.9999999999999902</v>
      </c>
      <c r="F539" s="1">
        <v>5.4</v>
      </c>
      <c r="G539" s="1">
        <v>6.2</v>
      </c>
      <c r="H539" s="1">
        <v>7.7</v>
      </c>
    </row>
    <row r="540" spans="1:8">
      <c r="A540" t="s">
        <v>2470</v>
      </c>
      <c r="B540" s="1">
        <v>5.0199999999999996</v>
      </c>
      <c r="C540" s="1">
        <v>7.2066666666666599</v>
      </c>
      <c r="D540" s="1">
        <v>8.8033333333333292</v>
      </c>
      <c r="F540" s="1">
        <v>6</v>
      </c>
      <c r="G540" s="1">
        <v>6.8</v>
      </c>
      <c r="H540" s="1">
        <v>8.4</v>
      </c>
    </row>
    <row r="541" spans="1:8">
      <c r="A541" t="s">
        <v>2472</v>
      </c>
      <c r="B541" s="1">
        <v>4.3233333333333297</v>
      </c>
      <c r="C541" s="1">
        <v>5.7</v>
      </c>
      <c r="D541" s="1">
        <v>8.1266666666666598</v>
      </c>
      <c r="F541" s="1">
        <v>6</v>
      </c>
      <c r="G541" s="1">
        <v>6.8</v>
      </c>
      <c r="H541" s="1">
        <v>7.8</v>
      </c>
    </row>
    <row r="542" spans="1:8">
      <c r="A542" t="s">
        <v>2474</v>
      </c>
      <c r="B542" s="1">
        <v>3.9866666666666601</v>
      </c>
      <c r="C542" s="1">
        <v>5.1566666666666601</v>
      </c>
      <c r="D542" s="1">
        <v>5.84</v>
      </c>
      <c r="F542" s="1">
        <v>5.2</v>
      </c>
      <c r="G542" s="1">
        <v>6</v>
      </c>
      <c r="H542" s="1">
        <v>8.1</v>
      </c>
    </row>
    <row r="543" spans="1:8">
      <c r="A543" t="s">
        <v>2476</v>
      </c>
      <c r="B543" s="1">
        <v>4.0666666666666602</v>
      </c>
      <c r="C543" s="1">
        <v>5.69</v>
      </c>
      <c r="D543" s="1">
        <v>8.2399999999999896</v>
      </c>
      <c r="F543" s="1">
        <v>5.3</v>
      </c>
      <c r="G543" s="1">
        <v>6</v>
      </c>
      <c r="H543" s="1">
        <v>7.2</v>
      </c>
    </row>
    <row r="544" spans="1:8">
      <c r="A544" t="s">
        <v>2478</v>
      </c>
      <c r="B544" s="1">
        <v>4.1966666666666601</v>
      </c>
      <c r="C544" s="1">
        <v>5.7266666666666604</v>
      </c>
      <c r="D544" s="1">
        <v>8.0433333333333294</v>
      </c>
      <c r="F544" s="1">
        <v>5.4</v>
      </c>
      <c r="G544" s="1">
        <v>6.2</v>
      </c>
      <c r="H544" s="1">
        <v>7.3</v>
      </c>
    </row>
    <row r="545" spans="1:8">
      <c r="A545" t="s">
        <v>2480</v>
      </c>
      <c r="B545" s="1">
        <v>4.4666666666666597</v>
      </c>
      <c r="C545" s="1">
        <v>6.53</v>
      </c>
      <c r="D545" s="1">
        <v>7.6799999999999899</v>
      </c>
      <c r="F545" s="1">
        <v>5.2</v>
      </c>
      <c r="G545" s="1">
        <v>5.9</v>
      </c>
      <c r="H545" s="1">
        <v>6.8</v>
      </c>
    </row>
    <row r="546" spans="1:8">
      <c r="A546" t="s">
        <v>2482</v>
      </c>
      <c r="B546" s="1">
        <v>4.1966666666666601</v>
      </c>
      <c r="C546" s="1">
        <v>4.76</v>
      </c>
      <c r="D546" s="1">
        <v>6.7633333333333301</v>
      </c>
      <c r="F546" s="1">
        <v>5.0999999999999996</v>
      </c>
      <c r="G546" s="1">
        <v>5.7</v>
      </c>
      <c r="H546" s="1">
        <v>6.7</v>
      </c>
    </row>
    <row r="547" spans="1:8">
      <c r="A547" t="s">
        <v>2484</v>
      </c>
      <c r="B547" s="1">
        <v>5.4833333333333298</v>
      </c>
      <c r="C547" s="1">
        <v>7.53666666666666</v>
      </c>
      <c r="D547" s="1">
        <v>10.149999999999901</v>
      </c>
      <c r="F547" s="1">
        <v>6</v>
      </c>
      <c r="G547" s="1">
        <v>6.9</v>
      </c>
      <c r="H547" s="1">
        <v>9.4</v>
      </c>
    </row>
    <row r="548" spans="1:8">
      <c r="A548" t="s">
        <v>2485</v>
      </c>
      <c r="B548" s="1">
        <v>4.4666666666666597</v>
      </c>
      <c r="C548" s="1">
        <v>5.8533333333333299</v>
      </c>
      <c r="D548" s="1">
        <v>7.9266666666666596</v>
      </c>
      <c r="F548" s="1">
        <v>6.6</v>
      </c>
      <c r="G548" s="1">
        <v>7.6</v>
      </c>
      <c r="H548" s="1">
        <v>10.3</v>
      </c>
    </row>
    <row r="549" spans="1:8">
      <c r="A549" t="s">
        <v>2487</v>
      </c>
      <c r="B549" s="1">
        <v>3.4066666666666601</v>
      </c>
      <c r="C549" s="1">
        <v>4.6666666666666599</v>
      </c>
      <c r="D549" s="1">
        <v>6.5533333333333301</v>
      </c>
      <c r="F549" s="1">
        <v>5.6</v>
      </c>
      <c r="G549" s="1">
        <v>6.5</v>
      </c>
      <c r="H549" s="1">
        <v>9</v>
      </c>
    </row>
    <row r="550" spans="1:8">
      <c r="A550" t="s">
        <v>2489</v>
      </c>
      <c r="B550" s="1">
        <v>3.1933333333333298</v>
      </c>
      <c r="C550" s="1">
        <v>4.2633333333333301</v>
      </c>
      <c r="D550" s="1">
        <v>5.5433333333333303</v>
      </c>
      <c r="F550" s="1">
        <v>4.3</v>
      </c>
      <c r="G550" s="1">
        <v>5</v>
      </c>
      <c r="H550" s="1">
        <v>7.1</v>
      </c>
    </row>
    <row r="551" spans="1:8">
      <c r="A551" t="s">
        <v>2490</v>
      </c>
      <c r="B551" s="1">
        <v>3.03</v>
      </c>
      <c r="C551" s="1">
        <v>3.64333333333333</v>
      </c>
      <c r="D551" s="1">
        <v>6.03666666666666</v>
      </c>
      <c r="F551" s="1">
        <v>3.9</v>
      </c>
      <c r="G551" s="1">
        <v>4.5999999999999996</v>
      </c>
      <c r="H551" s="1">
        <v>6.1</v>
      </c>
    </row>
    <row r="552" spans="1:8">
      <c r="A552" t="s">
        <v>2492</v>
      </c>
      <c r="B552" s="1">
        <v>2.4633333333333298</v>
      </c>
      <c r="C552" s="1">
        <v>3.6666666666666599</v>
      </c>
      <c r="D552" s="1">
        <v>4.9599999999999902</v>
      </c>
      <c r="F552" s="1">
        <v>3.5</v>
      </c>
      <c r="G552" s="1">
        <v>4</v>
      </c>
      <c r="H552" s="1">
        <v>5.4</v>
      </c>
    </row>
    <row r="553" spans="1:8">
      <c r="A553" t="s">
        <v>2494</v>
      </c>
      <c r="B553" s="1">
        <v>2.2000000000000002</v>
      </c>
      <c r="C553" s="1">
        <v>2.7233333333333301</v>
      </c>
      <c r="D553" s="1">
        <v>3.9066666666666601</v>
      </c>
      <c r="F553" s="1">
        <v>3</v>
      </c>
      <c r="G553" s="1">
        <v>3.6</v>
      </c>
      <c r="H553" s="1">
        <v>5.7</v>
      </c>
    </row>
    <row r="554" spans="1:8">
      <c r="A554" t="s">
        <v>2496</v>
      </c>
      <c r="B554" s="1">
        <v>2.31</v>
      </c>
      <c r="C554" s="1">
        <v>3.5533333333333301</v>
      </c>
      <c r="D554" s="1">
        <v>5.0166666666666604</v>
      </c>
      <c r="F554" s="1">
        <v>2.9</v>
      </c>
      <c r="G554" s="1">
        <v>3.4</v>
      </c>
      <c r="H554" s="1">
        <v>4.2</v>
      </c>
    </row>
    <row r="555" spans="1:8">
      <c r="A555" t="s">
        <v>2498</v>
      </c>
      <c r="B555" s="1">
        <v>2.4666666666666601</v>
      </c>
      <c r="C555" s="1">
        <v>3.62333333333333</v>
      </c>
      <c r="D555" s="1">
        <v>4.62</v>
      </c>
      <c r="F555" s="1">
        <v>3</v>
      </c>
      <c r="G555" s="1">
        <v>3.6</v>
      </c>
      <c r="H555" s="1">
        <v>4.9000000000000004</v>
      </c>
    </row>
    <row r="556" spans="1:8">
      <c r="A556" t="s">
        <v>2499</v>
      </c>
      <c r="B556" s="1">
        <v>2.33</v>
      </c>
      <c r="C556" s="1">
        <v>2.8399999999999901</v>
      </c>
      <c r="D556" s="1">
        <v>3.4366666666666599</v>
      </c>
      <c r="F556" s="1">
        <v>3.3</v>
      </c>
      <c r="G556" s="1">
        <v>4</v>
      </c>
      <c r="H556" s="1">
        <v>5.7</v>
      </c>
    </row>
    <row r="557" spans="1:8">
      <c r="A557" t="s">
        <v>2501</v>
      </c>
      <c r="B557" s="1">
        <v>2.3866666666666601</v>
      </c>
      <c r="C557" s="1">
        <v>3.66333333333333</v>
      </c>
      <c r="D557" s="1">
        <v>4.4133333333333304</v>
      </c>
      <c r="F557" s="1">
        <v>3.4</v>
      </c>
      <c r="G557" s="1">
        <v>4.0999999999999996</v>
      </c>
      <c r="H557" s="1">
        <v>5.8</v>
      </c>
    </row>
    <row r="558" spans="1:8">
      <c r="A558" t="s">
        <v>2503</v>
      </c>
      <c r="B558" s="1">
        <v>2.1133333333333302</v>
      </c>
      <c r="C558" s="1">
        <v>3.2133333333333298</v>
      </c>
      <c r="D558" s="1">
        <v>4.79</v>
      </c>
      <c r="F558" s="1">
        <v>3.1</v>
      </c>
      <c r="G558" s="1">
        <v>3.8</v>
      </c>
      <c r="H558" s="1">
        <v>5.2</v>
      </c>
    </row>
    <row r="559" spans="1:8">
      <c r="A559" t="s">
        <v>2504</v>
      </c>
      <c r="B559" s="1">
        <v>1.7466666666666599</v>
      </c>
      <c r="C559" s="1">
        <v>2.2999999999999998</v>
      </c>
      <c r="D559" s="1">
        <v>3.1333333333333302</v>
      </c>
      <c r="F559" s="1">
        <v>2.9</v>
      </c>
      <c r="G559" s="1">
        <v>3.5</v>
      </c>
      <c r="H559" s="1">
        <v>4.9000000000000004</v>
      </c>
    </row>
    <row r="560" spans="1:8">
      <c r="A560" t="s">
        <v>2505</v>
      </c>
      <c r="B560" s="1">
        <v>2.0166666666666599</v>
      </c>
      <c r="C560" s="1">
        <v>2.9033333333333302</v>
      </c>
      <c r="D560" s="1">
        <v>4.2766666666666602</v>
      </c>
      <c r="F560" s="1">
        <v>2.8</v>
      </c>
      <c r="G560" s="1">
        <v>3.4</v>
      </c>
      <c r="H560" s="1">
        <v>4.9000000000000004</v>
      </c>
    </row>
    <row r="561" spans="1:8">
      <c r="A561" t="s">
        <v>2507</v>
      </c>
      <c r="B561" s="1">
        <v>1.85666666666666</v>
      </c>
      <c r="C561" s="1">
        <v>2.4300000000000002</v>
      </c>
      <c r="D561" s="1">
        <v>2.9933333333333301</v>
      </c>
      <c r="F561" s="1">
        <v>2.9</v>
      </c>
      <c r="G561" s="1">
        <v>3.6</v>
      </c>
      <c r="H561" s="1">
        <v>5.6</v>
      </c>
    </row>
    <row r="562" spans="1:8">
      <c r="A562" t="s">
        <v>2509</v>
      </c>
      <c r="B562" s="1">
        <v>1.6</v>
      </c>
      <c r="C562" s="1">
        <v>2.1466666666666598</v>
      </c>
      <c r="D562" s="1">
        <v>3.1199999999999899</v>
      </c>
      <c r="F562" s="1">
        <v>2.8</v>
      </c>
      <c r="G562" s="1">
        <v>3.5</v>
      </c>
      <c r="H562" s="1">
        <v>6.2</v>
      </c>
    </row>
    <row r="563" spans="1:8">
      <c r="A563" t="s">
        <v>2510</v>
      </c>
      <c r="B563" s="1">
        <v>1.3333333333333299</v>
      </c>
      <c r="C563" s="1">
        <v>1.9266666666666601</v>
      </c>
      <c r="D563" s="1">
        <v>2.5733333333333301</v>
      </c>
      <c r="F563" s="1">
        <v>2.4</v>
      </c>
      <c r="G563" s="1">
        <v>3</v>
      </c>
      <c r="H563" s="1">
        <v>4.3</v>
      </c>
    </row>
    <row r="564" spans="1:8">
      <c r="A564" t="s">
        <v>2511</v>
      </c>
      <c r="B564" s="1">
        <v>1.08666666666666</v>
      </c>
      <c r="C564" s="1">
        <v>1.7066666666666599</v>
      </c>
      <c r="D564" s="1">
        <v>2.48</v>
      </c>
      <c r="F564" s="1">
        <v>1.8</v>
      </c>
      <c r="G564" s="1">
        <v>2.4</v>
      </c>
      <c r="H564" s="1">
        <v>3.5</v>
      </c>
    </row>
    <row r="565" spans="1:8">
      <c r="A565" t="s">
        <v>2513</v>
      </c>
      <c r="B565" s="1">
        <v>0.87</v>
      </c>
      <c r="C565" s="1">
        <v>1.1766666666666601</v>
      </c>
      <c r="D565" s="1">
        <v>2.4033333333333302</v>
      </c>
      <c r="F565" s="1">
        <v>1.4</v>
      </c>
      <c r="G565" s="1">
        <v>1.8</v>
      </c>
      <c r="H565" s="1">
        <v>3.1</v>
      </c>
    </row>
    <row r="566" spans="1:8">
      <c r="A566" t="s">
        <v>2514</v>
      </c>
      <c r="B566" s="1">
        <v>0.78</v>
      </c>
      <c r="C566" s="1">
        <v>1.1599999999999999</v>
      </c>
      <c r="D566" s="1">
        <v>1.17333333333333</v>
      </c>
      <c r="F566" s="1">
        <v>1.2</v>
      </c>
      <c r="G566" s="1">
        <v>1.6</v>
      </c>
      <c r="H566" s="1">
        <v>2.5</v>
      </c>
    </row>
    <row r="567" spans="1:8">
      <c r="A567" t="s">
        <v>2515</v>
      </c>
      <c r="B567" s="1">
        <v>0.67333333333333301</v>
      </c>
      <c r="C567" s="1">
        <v>0.93333333333333302</v>
      </c>
      <c r="D567" s="1">
        <v>1.08</v>
      </c>
      <c r="F567" s="1">
        <v>1.1000000000000001</v>
      </c>
      <c r="G567" s="1">
        <v>1.6</v>
      </c>
      <c r="H567" s="1">
        <v>2.9</v>
      </c>
    </row>
    <row r="568" spans="1:8">
      <c r="A568" t="s">
        <v>2517</v>
      </c>
      <c r="B568" s="1">
        <v>0.64999999999999902</v>
      </c>
      <c r="C568" s="1">
        <v>0.88999999999999901</v>
      </c>
      <c r="D568" s="1">
        <v>1.2933333333333299</v>
      </c>
      <c r="F568" s="1">
        <v>0.9</v>
      </c>
      <c r="G568" s="1">
        <v>1.2</v>
      </c>
      <c r="H568" s="1">
        <v>2.2000000000000002</v>
      </c>
    </row>
    <row r="569" spans="1:8">
      <c r="A569" t="s">
        <v>2519</v>
      </c>
      <c r="B569" s="1">
        <v>0.79</v>
      </c>
      <c r="C569" s="1">
        <v>1.0900000000000001</v>
      </c>
      <c r="D569" s="1">
        <v>1.2566666666666599</v>
      </c>
      <c r="F569" s="1">
        <v>0.9</v>
      </c>
      <c r="G569" s="1">
        <v>1.2</v>
      </c>
      <c r="H569" s="1">
        <v>2.6</v>
      </c>
    </row>
    <row r="570" spans="1:8">
      <c r="A570" t="s">
        <v>2521</v>
      </c>
      <c r="B570" s="1">
        <v>0.75666666666666704</v>
      </c>
      <c r="C570" s="1">
        <v>1.5</v>
      </c>
      <c r="D570" s="1">
        <v>1.68</v>
      </c>
      <c r="F570" s="1">
        <v>1</v>
      </c>
      <c r="G570" s="1">
        <v>1.4</v>
      </c>
      <c r="H570" s="1">
        <v>2.9</v>
      </c>
    </row>
    <row r="571" spans="1:8">
      <c r="A571" t="s">
        <v>2523</v>
      </c>
      <c r="B571" s="1">
        <v>0.96</v>
      </c>
      <c r="C571" s="1">
        <v>1.1366666666666601</v>
      </c>
      <c r="D571" s="1">
        <v>1.4566666666666599</v>
      </c>
      <c r="F571" s="1">
        <v>1</v>
      </c>
      <c r="G571" s="1">
        <v>1.3</v>
      </c>
      <c r="H571" s="1">
        <v>2.2000000000000002</v>
      </c>
    </row>
    <row r="572" spans="1:8">
      <c r="A572" t="s">
        <v>2525</v>
      </c>
      <c r="B572" s="1">
        <v>0.65333333333333299</v>
      </c>
      <c r="C572" s="1">
        <v>0.94666666666666599</v>
      </c>
      <c r="D572" s="1">
        <v>1.27</v>
      </c>
      <c r="F572" s="1">
        <v>1.3</v>
      </c>
      <c r="G572" s="1">
        <v>1.6</v>
      </c>
      <c r="H572" s="1">
        <v>2.7</v>
      </c>
    </row>
    <row r="573" spans="1:8">
      <c r="A573" t="s">
        <v>2527</v>
      </c>
      <c r="B573" s="1">
        <v>0.85</v>
      </c>
      <c r="C573" s="1">
        <v>1.13333333333333</v>
      </c>
      <c r="D573" s="1">
        <v>1.6866666666666601</v>
      </c>
      <c r="F573" s="1">
        <v>1</v>
      </c>
      <c r="G573" s="1">
        <v>1.3</v>
      </c>
      <c r="H573" s="1">
        <v>2.1</v>
      </c>
    </row>
    <row r="574" spans="1:8">
      <c r="A574" t="s">
        <v>2528</v>
      </c>
      <c r="B574" s="1">
        <v>0.62</v>
      </c>
      <c r="C574" s="1">
        <v>0.88333333333333297</v>
      </c>
      <c r="D574" s="1">
        <v>1.6033333333333299</v>
      </c>
      <c r="F574" s="1">
        <v>1.2</v>
      </c>
      <c r="G574" s="1">
        <v>1.6</v>
      </c>
      <c r="H574" s="1">
        <v>3.3</v>
      </c>
    </row>
    <row r="575" spans="1:8">
      <c r="A575" t="s">
        <v>2530</v>
      </c>
      <c r="B575" s="1">
        <v>1.03</v>
      </c>
      <c r="C575" s="1">
        <v>1.6666666666666601</v>
      </c>
      <c r="D575" s="1">
        <v>1.92333333333333</v>
      </c>
      <c r="F575" s="1">
        <v>1.2</v>
      </c>
      <c r="G575" s="1">
        <v>1.6</v>
      </c>
      <c r="H575" s="1">
        <v>2.8</v>
      </c>
    </row>
    <row r="576" spans="1:8">
      <c r="A576" t="s">
        <v>2532</v>
      </c>
      <c r="B576" s="1">
        <v>1.03</v>
      </c>
      <c r="C576" s="1">
        <v>1.5333333333333301</v>
      </c>
      <c r="D576" s="1">
        <v>1.7933333333333299</v>
      </c>
      <c r="F576" s="1">
        <v>1.3</v>
      </c>
      <c r="G576" s="1">
        <v>1.6</v>
      </c>
      <c r="H576" s="1">
        <v>2.8</v>
      </c>
    </row>
    <row r="577" spans="1:8">
      <c r="A577" t="s">
        <v>2534</v>
      </c>
      <c r="B577" s="1">
        <v>0.93666666666666698</v>
      </c>
      <c r="C577" s="1">
        <v>1.53666666666666</v>
      </c>
      <c r="D577" s="1">
        <v>2.58</v>
      </c>
      <c r="F577" s="1">
        <v>1.2</v>
      </c>
      <c r="G577" s="1">
        <v>1.6</v>
      </c>
      <c r="H577" s="1">
        <v>2.8</v>
      </c>
    </row>
    <row r="578" spans="1:8">
      <c r="A578" t="s">
        <v>2535</v>
      </c>
      <c r="B578" s="1">
        <v>1.2833333333333301</v>
      </c>
      <c r="C578" s="1">
        <v>1.61333333333333</v>
      </c>
      <c r="D578" s="1">
        <v>2.4033333333333302</v>
      </c>
      <c r="F578" s="1">
        <v>1.3</v>
      </c>
      <c r="G578" s="1">
        <v>1.7</v>
      </c>
      <c r="H578" s="1">
        <v>3</v>
      </c>
    </row>
    <row r="579" spans="1:8">
      <c r="A579" t="s">
        <v>2537</v>
      </c>
      <c r="B579" s="1">
        <v>1.01999999999999</v>
      </c>
      <c r="C579" s="1">
        <v>1.38</v>
      </c>
      <c r="D579" s="1">
        <v>2.3033333333333301</v>
      </c>
      <c r="F579" s="1">
        <v>1.4</v>
      </c>
      <c r="G579" s="1">
        <v>1.9</v>
      </c>
      <c r="H579" s="1">
        <v>3.2</v>
      </c>
    </row>
    <row r="580" spans="1:8">
      <c r="A580" t="s">
        <v>2538</v>
      </c>
      <c r="B580" s="1">
        <v>1.19333333333333</v>
      </c>
      <c r="C580" s="1">
        <v>1.44</v>
      </c>
      <c r="D580" s="1">
        <v>1.61333333333333</v>
      </c>
      <c r="F580" s="1">
        <v>1.4</v>
      </c>
      <c r="G580" s="1">
        <v>1.8</v>
      </c>
      <c r="H580" s="1">
        <v>3.4</v>
      </c>
    </row>
    <row r="581" spans="1:8">
      <c r="A581" t="s">
        <v>2540</v>
      </c>
      <c r="B581" s="1">
        <v>1.92</v>
      </c>
      <c r="C581" s="1">
        <v>2.65</v>
      </c>
      <c r="D581" s="1">
        <v>3.6066666666666598</v>
      </c>
      <c r="F581" s="1">
        <v>1.9</v>
      </c>
      <c r="G581" s="1">
        <v>2.4</v>
      </c>
      <c r="H581" s="1">
        <v>3.8</v>
      </c>
    </row>
    <row r="582" spans="1:8">
      <c r="A582" t="s">
        <v>2542</v>
      </c>
      <c r="B582" s="1">
        <v>1.34666666666666</v>
      </c>
      <c r="C582" s="1">
        <v>1.6566666666666601</v>
      </c>
      <c r="D582" s="1">
        <v>2.1766666666666601</v>
      </c>
      <c r="F582" s="1">
        <v>2.6</v>
      </c>
      <c r="G582" s="1">
        <v>3.2</v>
      </c>
      <c r="H582" s="1">
        <v>5.0999999999999996</v>
      </c>
    </row>
    <row r="583" spans="1:8">
      <c r="A583" t="s">
        <v>2543</v>
      </c>
      <c r="B583" s="1">
        <v>1.39333333333333</v>
      </c>
      <c r="C583" s="1">
        <v>1.68</v>
      </c>
      <c r="D583" s="1">
        <v>3.2433333333333301</v>
      </c>
      <c r="F583" s="1">
        <v>2.7</v>
      </c>
      <c r="G583" s="1">
        <v>3.4</v>
      </c>
      <c r="H583" s="1">
        <v>5.3</v>
      </c>
    </row>
    <row r="584" spans="1:8">
      <c r="A584" t="s">
        <v>2544</v>
      </c>
      <c r="B584" s="1">
        <v>1.2733333333333301</v>
      </c>
      <c r="C584" s="1">
        <v>1.52</v>
      </c>
      <c r="D584" s="1">
        <v>2.04</v>
      </c>
      <c r="F584" s="1">
        <v>2.2000000000000002</v>
      </c>
      <c r="G584" s="1">
        <v>2.8</v>
      </c>
      <c r="H584" s="1">
        <v>4.5</v>
      </c>
    </row>
    <row r="585" spans="1:8">
      <c r="A585" t="s">
        <v>2545</v>
      </c>
      <c r="B585" s="1">
        <v>1.8133333333333299</v>
      </c>
      <c r="C585" s="1">
        <v>2.67</v>
      </c>
      <c r="D585" s="1">
        <v>3.6266666666666598</v>
      </c>
      <c r="F585" s="1">
        <v>2.7</v>
      </c>
      <c r="G585" s="1">
        <v>3.6</v>
      </c>
      <c r="H585" s="1">
        <v>6.3</v>
      </c>
    </row>
    <row r="586" spans="1:8">
      <c r="A586" t="s">
        <v>2547</v>
      </c>
      <c r="B586" s="1">
        <v>2.1466666666666598</v>
      </c>
      <c r="C586" s="1">
        <v>2.7666666666666599</v>
      </c>
      <c r="D586" s="1">
        <v>4.07666666666666</v>
      </c>
      <c r="F586" s="1">
        <v>2.9</v>
      </c>
      <c r="G586" s="1">
        <v>4.0999999999999996</v>
      </c>
      <c r="H586" s="1">
        <v>8.3000000000000007</v>
      </c>
    </row>
    <row r="587" spans="1:8">
      <c r="A587" t="s">
        <v>2549</v>
      </c>
      <c r="B587" s="1">
        <v>2.7166666666666601</v>
      </c>
      <c r="C587" s="1">
        <v>4.2033333333333296</v>
      </c>
      <c r="D587" s="1">
        <v>6.7666666666666604</v>
      </c>
      <c r="F587" s="1">
        <v>3</v>
      </c>
      <c r="G587" s="1">
        <v>4.4000000000000004</v>
      </c>
      <c r="H587" s="1">
        <v>9.1999999999999993</v>
      </c>
    </row>
    <row r="588" spans="1:8">
      <c r="A588" t="s">
        <v>2551</v>
      </c>
      <c r="B588" s="1">
        <v>3.0833333333333299</v>
      </c>
      <c r="C588" s="1">
        <v>5.0333333333333297</v>
      </c>
      <c r="D588" s="1">
        <v>8.3733333333333295</v>
      </c>
      <c r="F588" s="1">
        <v>2.8</v>
      </c>
      <c r="G588" s="1">
        <v>4.5</v>
      </c>
      <c r="H588" s="1">
        <v>10.4</v>
      </c>
    </row>
    <row r="589" spans="1:8">
      <c r="A589" t="s">
        <v>2553</v>
      </c>
      <c r="B589" s="1">
        <v>2.4266666666666601</v>
      </c>
      <c r="C589" s="1">
        <v>3.34666666666666</v>
      </c>
      <c r="D589" s="1">
        <v>5.58</v>
      </c>
      <c r="F589" s="1">
        <v>2.6</v>
      </c>
      <c r="G589" s="1">
        <v>4.4000000000000004</v>
      </c>
      <c r="H589" s="1">
        <v>9.1</v>
      </c>
    </row>
    <row r="590" spans="1:8">
      <c r="A590" t="s">
        <v>2554</v>
      </c>
      <c r="B590" s="1">
        <v>3.47</v>
      </c>
      <c r="C590" s="1">
        <v>4.7833333333333297</v>
      </c>
      <c r="D590" s="1">
        <v>6.7333333333333298</v>
      </c>
      <c r="F590" s="1">
        <v>3.2</v>
      </c>
      <c r="G590" s="1">
        <v>5</v>
      </c>
      <c r="H590" s="1">
        <v>9.5</v>
      </c>
    </row>
    <row r="591" spans="1:8">
      <c r="A591" t="s">
        <v>2555</v>
      </c>
      <c r="B591" s="1">
        <v>4.0233333333333299</v>
      </c>
      <c r="C591" s="1">
        <v>5.6066666666666602</v>
      </c>
      <c r="D591" s="1">
        <v>10.226666666666601</v>
      </c>
      <c r="F591" s="1">
        <v>4.5</v>
      </c>
      <c r="G591" s="1">
        <v>6.5</v>
      </c>
      <c r="H591" s="1">
        <v>11.3</v>
      </c>
    </row>
    <row r="592" spans="1:8">
      <c r="A592" t="s">
        <v>2557</v>
      </c>
      <c r="B592" s="1">
        <v>14.2466666666666</v>
      </c>
      <c r="C592" s="1">
        <v>18.68</v>
      </c>
      <c r="D592" s="1">
        <v>21.41</v>
      </c>
      <c r="F592" s="1">
        <v>8.3000000000000007</v>
      </c>
      <c r="G592" s="1">
        <v>10.199999999999999</v>
      </c>
      <c r="H592" s="1">
        <v>15.9</v>
      </c>
    </row>
    <row r="593" spans="1:8">
      <c r="A593" t="s">
        <v>2560</v>
      </c>
      <c r="B593" s="1">
        <v>17.260000000000002</v>
      </c>
      <c r="C593" s="1">
        <v>22.213333333333299</v>
      </c>
      <c r="D593" s="1">
        <v>27.283333333333299</v>
      </c>
      <c r="F593" s="1">
        <v>21.2</v>
      </c>
      <c r="G593" s="1">
        <v>22.9</v>
      </c>
      <c r="H593" s="1">
        <v>27.3</v>
      </c>
    </row>
    <row r="594" spans="1:8">
      <c r="A594" t="s">
        <v>2565</v>
      </c>
      <c r="B594" s="1">
        <v>12.953333333333299</v>
      </c>
      <c r="C594" s="1">
        <v>16.286666666666601</v>
      </c>
      <c r="D594" s="1">
        <v>20.7433333333333</v>
      </c>
      <c r="F594" s="1">
        <v>25.3</v>
      </c>
      <c r="G594" s="1">
        <v>26.9</v>
      </c>
      <c r="H594" s="1">
        <v>31.2</v>
      </c>
    </row>
    <row r="595" spans="1:8">
      <c r="A595" t="s">
        <v>2569</v>
      </c>
      <c r="B595" s="1">
        <v>12.3666666666666</v>
      </c>
      <c r="C595" s="1">
        <v>16.3266666666666</v>
      </c>
      <c r="D595" s="1">
        <v>18.5266666666666</v>
      </c>
      <c r="F595" s="1">
        <v>21.5</v>
      </c>
      <c r="G595" s="1">
        <v>23</v>
      </c>
      <c r="H595" s="1">
        <v>26.6</v>
      </c>
    </row>
    <row r="596" spans="1:8">
      <c r="A596" t="s">
        <v>2572</v>
      </c>
      <c r="B596" s="1">
        <v>12.39</v>
      </c>
      <c r="C596" s="1">
        <v>16.1866666666666</v>
      </c>
      <c r="D596" s="1">
        <v>19.323333333333299</v>
      </c>
      <c r="F596" s="1">
        <v>20.5</v>
      </c>
      <c r="G596" s="1">
        <v>22.2</v>
      </c>
      <c r="H596" s="1">
        <v>27.8</v>
      </c>
    </row>
    <row r="597" spans="1:8">
      <c r="A597" t="s">
        <v>2574</v>
      </c>
      <c r="B597" s="1">
        <v>15.986666666666601</v>
      </c>
      <c r="C597" s="1">
        <v>20.8266666666666</v>
      </c>
      <c r="D597" s="1">
        <v>25.003333333333298</v>
      </c>
      <c r="F597" s="1">
        <v>22.3</v>
      </c>
      <c r="G597" s="1">
        <v>24</v>
      </c>
      <c r="H597" s="1">
        <v>28.5</v>
      </c>
    </row>
    <row r="598" spans="1:8">
      <c r="A598" t="s">
        <v>2576</v>
      </c>
      <c r="B598" s="1">
        <v>15.9133333333333</v>
      </c>
      <c r="C598" s="1">
        <v>20.023333333333301</v>
      </c>
      <c r="D598" s="1">
        <v>23.29</v>
      </c>
      <c r="F598" s="1">
        <v>26.8</v>
      </c>
      <c r="G598" s="1">
        <v>28.7</v>
      </c>
      <c r="H598" s="1">
        <v>31.6</v>
      </c>
    </row>
    <row r="599" spans="1:8">
      <c r="A599" t="s">
        <v>2580</v>
      </c>
      <c r="B599" s="1">
        <v>16.27</v>
      </c>
      <c r="C599" s="1">
        <v>20.856666666666602</v>
      </c>
      <c r="D599" s="1">
        <v>26.5066666666666</v>
      </c>
      <c r="F599" s="1">
        <v>27.7</v>
      </c>
      <c r="G599" s="1">
        <v>29.5</v>
      </c>
      <c r="H599" s="1">
        <v>33.1</v>
      </c>
    </row>
    <row r="600" spans="1:8">
      <c r="A600" t="s">
        <v>2584</v>
      </c>
      <c r="B600" s="1">
        <v>16.91</v>
      </c>
      <c r="C600" s="1">
        <v>21.043333333333301</v>
      </c>
      <c r="D600" s="1">
        <v>25.723333333333301</v>
      </c>
      <c r="F600" s="1">
        <v>29.4</v>
      </c>
      <c r="G600" s="1">
        <v>31.3</v>
      </c>
      <c r="H600" s="1">
        <v>34.9</v>
      </c>
    </row>
    <row r="601" spans="1:8">
      <c r="A601" t="s">
        <v>2589</v>
      </c>
      <c r="B601" s="1">
        <v>16.106666666666602</v>
      </c>
      <c r="C601" s="1">
        <v>19.8466666666666</v>
      </c>
      <c r="D601" s="1">
        <v>24.533333333333299</v>
      </c>
      <c r="F601" s="1">
        <v>28.7</v>
      </c>
      <c r="G601" s="1">
        <v>30.5</v>
      </c>
      <c r="H601" s="1">
        <v>35.1</v>
      </c>
    </row>
    <row r="602" spans="1:8">
      <c r="A602" t="s">
        <v>2593</v>
      </c>
      <c r="B602" s="1">
        <v>15.556666666666599</v>
      </c>
      <c r="C602" s="1">
        <v>19.989999999999998</v>
      </c>
      <c r="D602" s="1">
        <v>23.703333333333301</v>
      </c>
      <c r="F602" s="1">
        <v>29.8</v>
      </c>
      <c r="G602" s="1">
        <v>31.7</v>
      </c>
      <c r="H602" s="1">
        <v>35.6</v>
      </c>
    </row>
    <row r="603" spans="1:8">
      <c r="A603" t="s">
        <v>2597</v>
      </c>
      <c r="B603" s="1">
        <v>16.32</v>
      </c>
      <c r="C603" s="1">
        <v>20.079999999999998</v>
      </c>
      <c r="D603" s="1">
        <v>24.913333333333298</v>
      </c>
      <c r="F603" s="1">
        <v>31</v>
      </c>
      <c r="G603" s="1">
        <v>32.9</v>
      </c>
      <c r="H603" s="1">
        <v>35.6</v>
      </c>
    </row>
    <row r="604" spans="1:8">
      <c r="A604" t="s">
        <v>2601</v>
      </c>
      <c r="B604" s="1">
        <v>16.73</v>
      </c>
      <c r="C604" s="1">
        <v>20.6933333333333</v>
      </c>
      <c r="D604" s="1">
        <v>25.573333333333299</v>
      </c>
      <c r="F604" s="1">
        <v>29</v>
      </c>
      <c r="G604" s="1">
        <v>30.9</v>
      </c>
      <c r="H604" s="1">
        <v>33.799999999999997</v>
      </c>
    </row>
    <row r="605" spans="1:8">
      <c r="A605" t="s">
        <v>2605</v>
      </c>
      <c r="B605" s="1">
        <v>18.79</v>
      </c>
      <c r="C605" s="1">
        <v>23.523333333333301</v>
      </c>
      <c r="D605" s="1">
        <v>28.696666666666601</v>
      </c>
      <c r="F605" s="1">
        <v>29.5</v>
      </c>
      <c r="G605" s="1">
        <v>31.4</v>
      </c>
      <c r="H605" s="1">
        <v>34.200000000000003</v>
      </c>
    </row>
    <row r="606" spans="1:8">
      <c r="A606" t="s">
        <v>2609</v>
      </c>
      <c r="B606" s="1">
        <v>15.2</v>
      </c>
      <c r="C606" s="1">
        <v>19.91</v>
      </c>
      <c r="D606" s="1">
        <v>22.113333333333301</v>
      </c>
      <c r="F606" s="1">
        <v>28.5</v>
      </c>
      <c r="G606" s="1">
        <v>30.5</v>
      </c>
      <c r="H606" s="1">
        <v>33</v>
      </c>
    </row>
    <row r="607" spans="1:8">
      <c r="A607" t="s">
        <v>2612</v>
      </c>
      <c r="B607" s="1">
        <v>26.126666666666601</v>
      </c>
      <c r="C607" s="1">
        <v>34.213333333333303</v>
      </c>
      <c r="D607" s="1">
        <v>39.9433333333333</v>
      </c>
      <c r="F607" s="1">
        <v>26.7</v>
      </c>
      <c r="G607" s="1">
        <v>28.8</v>
      </c>
      <c r="H607" s="1">
        <v>31.7</v>
      </c>
    </row>
    <row r="608" spans="1:8">
      <c r="A608" t="s">
        <v>2615</v>
      </c>
      <c r="B608" s="1">
        <v>24.523333333333301</v>
      </c>
      <c r="C608" s="1">
        <v>33.056666666666601</v>
      </c>
      <c r="D608" s="1">
        <v>41.006666666666597</v>
      </c>
      <c r="F608" s="1">
        <v>39.299999999999997</v>
      </c>
      <c r="G608" s="1">
        <v>43.1</v>
      </c>
      <c r="H608" s="1">
        <v>49.1</v>
      </c>
    </row>
    <row r="609" spans="1:8">
      <c r="A609" t="s">
        <v>2620</v>
      </c>
      <c r="B609" s="1">
        <v>19.873333333333299</v>
      </c>
      <c r="C609" s="1">
        <v>26.82</v>
      </c>
      <c r="D609" s="1">
        <v>32.793333333333301</v>
      </c>
      <c r="F609" s="1">
        <v>35.200000000000003</v>
      </c>
      <c r="G609" s="1">
        <v>38.9</v>
      </c>
      <c r="H609" s="1">
        <v>42.8</v>
      </c>
    </row>
    <row r="610" spans="1:8">
      <c r="A610" t="s">
        <v>2625</v>
      </c>
      <c r="B610" s="1">
        <v>22.036666666666601</v>
      </c>
      <c r="C610" s="1">
        <v>25.843333333333302</v>
      </c>
      <c r="D610" s="1">
        <v>34.479999999999997</v>
      </c>
      <c r="F610" s="1">
        <v>28.1</v>
      </c>
      <c r="G610" s="1">
        <v>31</v>
      </c>
      <c r="H610" s="1">
        <v>34.1</v>
      </c>
    </row>
    <row r="611" spans="1:8">
      <c r="A611" t="s">
        <v>2628</v>
      </c>
      <c r="B611" s="1">
        <v>27.293333333333301</v>
      </c>
      <c r="C611" s="1">
        <v>30.286666666666601</v>
      </c>
      <c r="D611" s="1">
        <v>40.953333333333298</v>
      </c>
      <c r="F611" s="1">
        <v>30.3</v>
      </c>
      <c r="G611" s="1">
        <v>34</v>
      </c>
      <c r="H611" s="1">
        <v>39</v>
      </c>
    </row>
    <row r="612" spans="1:8">
      <c r="A612" t="s">
        <v>2633</v>
      </c>
      <c r="B612" s="1">
        <v>14.886666666666599</v>
      </c>
      <c r="C612" s="1">
        <v>16.53</v>
      </c>
      <c r="D612" s="1">
        <v>22.363333333333301</v>
      </c>
      <c r="F612" s="1">
        <v>30.1</v>
      </c>
      <c r="G612" s="1">
        <v>34.200000000000003</v>
      </c>
      <c r="H612" s="1">
        <v>39.299999999999997</v>
      </c>
    </row>
    <row r="613" spans="1:8">
      <c r="A613" t="s">
        <v>2636</v>
      </c>
      <c r="B613" s="1">
        <v>9.8433333333333302</v>
      </c>
      <c r="C613" s="1">
        <v>10.9299999999999</v>
      </c>
      <c r="D613" s="1">
        <v>14.79</v>
      </c>
      <c r="F613" s="1">
        <v>18.5</v>
      </c>
      <c r="G613" s="1">
        <v>21.2</v>
      </c>
      <c r="H613" s="1">
        <v>25.2</v>
      </c>
    </row>
    <row r="614" spans="1:8">
      <c r="A614" t="s">
        <v>2638</v>
      </c>
      <c r="B614" s="1">
        <v>9.15</v>
      </c>
      <c r="C614" s="1">
        <v>10.9166666666666</v>
      </c>
      <c r="D614" s="1">
        <v>14.52</v>
      </c>
      <c r="F614" s="1">
        <v>13.5</v>
      </c>
      <c r="G614" s="1">
        <v>15.5</v>
      </c>
      <c r="H614" s="1">
        <v>17.399999999999999</v>
      </c>
    </row>
    <row r="615" spans="1:8">
      <c r="A615" t="s">
        <v>2640</v>
      </c>
      <c r="B615" s="1">
        <v>7.7233333333333301</v>
      </c>
      <c r="C615" s="1">
        <v>10.466666666666599</v>
      </c>
      <c r="D615" s="1">
        <v>14.5766666666666</v>
      </c>
      <c r="F615" s="1">
        <v>12.1</v>
      </c>
      <c r="G615" s="1">
        <v>14</v>
      </c>
      <c r="H615" s="1">
        <v>16.100000000000001</v>
      </c>
    </row>
    <row r="616" spans="1:8">
      <c r="A616" t="s">
        <v>2642</v>
      </c>
      <c r="B616" s="1">
        <v>8.6300000000000008</v>
      </c>
      <c r="C616" s="1">
        <v>12.0233333333333</v>
      </c>
      <c r="D616" s="1">
        <v>17.2</v>
      </c>
      <c r="F616" s="1">
        <v>11.4</v>
      </c>
      <c r="G616" s="1">
        <v>13.5</v>
      </c>
      <c r="H616" s="1">
        <v>15.8</v>
      </c>
    </row>
    <row r="617" spans="1:8">
      <c r="A617" t="s">
        <v>2644</v>
      </c>
      <c r="B617" s="1">
        <v>7.9066666666666601</v>
      </c>
      <c r="C617" s="1">
        <v>11.963333333333299</v>
      </c>
      <c r="D617" s="1">
        <v>17.196666666666601</v>
      </c>
      <c r="F617" s="1">
        <v>11.2</v>
      </c>
      <c r="G617" s="1">
        <v>13.1</v>
      </c>
      <c r="H617" s="1">
        <v>15.9</v>
      </c>
    </row>
    <row r="618" spans="1:8">
      <c r="A618" t="s">
        <v>2646</v>
      </c>
      <c r="B618" s="1">
        <v>6.8066666666666604</v>
      </c>
      <c r="C618" s="1">
        <v>8.9266666666666694</v>
      </c>
      <c r="D618" s="1">
        <v>11.793333333333299</v>
      </c>
      <c r="F618" s="1">
        <v>10.1</v>
      </c>
      <c r="G618" s="1">
        <v>12</v>
      </c>
      <c r="H618" s="1">
        <v>14.7</v>
      </c>
    </row>
    <row r="619" spans="1:8">
      <c r="A619" t="s">
        <v>2648</v>
      </c>
      <c r="B619" s="1">
        <v>5.1266666666666598</v>
      </c>
      <c r="C619" s="1">
        <v>7.5899999999999901</v>
      </c>
      <c r="D619" s="1">
        <v>9.6199999999999992</v>
      </c>
      <c r="F619" s="1">
        <v>9.5</v>
      </c>
      <c r="G619" s="1">
        <v>11.5</v>
      </c>
      <c r="H619" s="1">
        <v>13.6</v>
      </c>
    </row>
    <row r="620" spans="1:8">
      <c r="A620" t="s">
        <v>2651</v>
      </c>
      <c r="B620" s="1">
        <v>4.3833333333333302</v>
      </c>
      <c r="C620" s="1">
        <v>6.4933333333333296</v>
      </c>
      <c r="D620" s="1">
        <v>9.2466666666666608</v>
      </c>
      <c r="F620" s="1">
        <v>8.1</v>
      </c>
      <c r="G620" s="1">
        <v>10</v>
      </c>
      <c r="H620" s="1">
        <v>12.1</v>
      </c>
    </row>
    <row r="621" spans="1:8">
      <c r="A621" t="s">
        <v>2653</v>
      </c>
      <c r="B621" s="1">
        <v>6.06</v>
      </c>
      <c r="C621" s="1">
        <v>7.9866666666666601</v>
      </c>
      <c r="D621" s="1">
        <v>11.13</v>
      </c>
      <c r="F621" s="1">
        <v>7.7</v>
      </c>
      <c r="G621" s="1">
        <v>9.6</v>
      </c>
      <c r="H621" s="1">
        <v>11.9</v>
      </c>
    </row>
    <row r="622" spans="1:8">
      <c r="A622" t="s">
        <v>2655</v>
      </c>
      <c r="B622" s="1">
        <v>6.1733333333333302</v>
      </c>
      <c r="C622" s="1">
        <v>8.3766666666666598</v>
      </c>
      <c r="D622" s="1">
        <v>11.733333333333301</v>
      </c>
      <c r="F622" s="1">
        <v>7.9</v>
      </c>
      <c r="G622" s="1">
        <v>9.9</v>
      </c>
      <c r="H622" s="1">
        <v>12.3</v>
      </c>
    </row>
    <row r="623" spans="1:8">
      <c r="A623" t="s">
        <v>2656</v>
      </c>
      <c r="B623" s="1">
        <v>4.7399999999999904</v>
      </c>
      <c r="C623" s="1">
        <v>6.82666666666666</v>
      </c>
      <c r="D623" s="1">
        <v>10.0033333333333</v>
      </c>
      <c r="F623" s="1">
        <v>7.2</v>
      </c>
      <c r="G623" s="1">
        <v>9.4</v>
      </c>
      <c r="H623" s="1">
        <v>12.3</v>
      </c>
    </row>
    <row r="624" spans="1:8">
      <c r="A624" t="s">
        <v>2658</v>
      </c>
      <c r="B624" s="1">
        <v>5.3466666666666596</v>
      </c>
      <c r="C624" s="1">
        <v>8.8566666666666602</v>
      </c>
      <c r="D624" s="1">
        <v>12.9466666666666</v>
      </c>
      <c r="F624" s="1">
        <v>6.6</v>
      </c>
      <c r="G624" s="1">
        <v>8.8000000000000007</v>
      </c>
      <c r="H624" s="1">
        <v>12.3</v>
      </c>
    </row>
    <row r="625" spans="1:8">
      <c r="A625" t="s">
        <v>2660</v>
      </c>
      <c r="B625" s="1">
        <v>4.9800000000000004</v>
      </c>
      <c r="C625" s="1">
        <v>6.8699999999999903</v>
      </c>
      <c r="D625" s="1">
        <v>9.3333333333333304</v>
      </c>
      <c r="F625" s="1">
        <v>6.5</v>
      </c>
      <c r="G625" s="1">
        <v>8.6</v>
      </c>
      <c r="H625" s="1">
        <v>11.8</v>
      </c>
    </row>
    <row r="626" spans="1:8">
      <c r="A626" t="s">
        <v>2662</v>
      </c>
      <c r="B626" s="1">
        <v>6.5166666666666604</v>
      </c>
      <c r="C626" s="1">
        <v>9.4600000000000009</v>
      </c>
      <c r="D626" s="1">
        <v>13.1166666666666</v>
      </c>
      <c r="F626" s="1">
        <v>7.2</v>
      </c>
      <c r="G626" s="1">
        <v>9.1999999999999993</v>
      </c>
      <c r="H626" s="1">
        <v>12.6</v>
      </c>
    </row>
    <row r="627" spans="1:8">
      <c r="A627" t="s">
        <v>2664</v>
      </c>
      <c r="B627" s="1">
        <v>5.2466666666666599</v>
      </c>
      <c r="C627" s="1">
        <v>7.5433333333333303</v>
      </c>
      <c r="D627" s="1">
        <v>10.473333333333301</v>
      </c>
      <c r="F627" s="1">
        <v>7.4</v>
      </c>
      <c r="G627" s="1">
        <v>9.4</v>
      </c>
      <c r="H627" s="1">
        <v>12.3</v>
      </c>
    </row>
    <row r="628" spans="1:8">
      <c r="A628" t="s">
        <v>2666</v>
      </c>
      <c r="B628" s="1">
        <v>3.99</v>
      </c>
      <c r="C628" s="1">
        <v>5.9266666666666596</v>
      </c>
      <c r="D628" s="1">
        <v>10.0866666666666</v>
      </c>
      <c r="F628" s="1">
        <v>5.7</v>
      </c>
      <c r="G628" s="1">
        <v>7.9</v>
      </c>
      <c r="H628" s="1">
        <v>11.8</v>
      </c>
    </row>
    <row r="629" spans="1:8">
      <c r="A629" t="s">
        <v>2668</v>
      </c>
      <c r="B629" s="1">
        <v>4.1733333333333302</v>
      </c>
      <c r="C629" s="1">
        <v>6.4366666666666603</v>
      </c>
      <c r="D629" s="1">
        <v>12.56</v>
      </c>
      <c r="F629" s="1">
        <v>4.2</v>
      </c>
      <c r="G629" s="1">
        <v>6.5</v>
      </c>
      <c r="H629" s="1">
        <v>10.3</v>
      </c>
    </row>
    <row r="630" spans="1:8">
      <c r="A630" t="s">
        <v>2670</v>
      </c>
      <c r="B630" s="1">
        <v>3.9233333333333298</v>
      </c>
      <c r="C630" s="1">
        <v>5.7066666666666599</v>
      </c>
      <c r="D630" s="1">
        <v>14.6666666666666</v>
      </c>
      <c r="F630" s="1">
        <v>3.6</v>
      </c>
      <c r="G630" s="1">
        <v>6.1</v>
      </c>
      <c r="H630" s="1">
        <v>10.9</v>
      </c>
    </row>
    <row r="631" spans="1:8">
      <c r="A631" t="s">
        <v>2672</v>
      </c>
      <c r="B631" s="1">
        <v>4.37</v>
      </c>
      <c r="C631" s="1">
        <v>6.8033333333333301</v>
      </c>
      <c r="D631" s="1">
        <v>14.1899999999999</v>
      </c>
      <c r="F631" s="1">
        <v>3.2</v>
      </c>
      <c r="G631" s="1">
        <v>5.6</v>
      </c>
      <c r="H631" s="1">
        <v>10.3</v>
      </c>
    </row>
    <row r="632" spans="1:8">
      <c r="A632" t="s">
        <v>2673</v>
      </c>
      <c r="B632" s="1">
        <v>5.0633333333333299</v>
      </c>
      <c r="C632" s="1">
        <v>8.0233333333333299</v>
      </c>
      <c r="D632" s="1">
        <v>12.706666666666599</v>
      </c>
      <c r="F632" s="1">
        <v>3.1</v>
      </c>
      <c r="G632" s="1">
        <v>5.4</v>
      </c>
      <c r="H632" s="1">
        <v>9.6</v>
      </c>
    </row>
    <row r="633" spans="1:8">
      <c r="A633" t="s">
        <v>2675</v>
      </c>
      <c r="B633" s="1">
        <v>5.31</v>
      </c>
      <c r="C633" s="1">
        <v>7.95</v>
      </c>
      <c r="D633" s="1">
        <v>12.33</v>
      </c>
      <c r="F633" s="1">
        <v>4.4000000000000004</v>
      </c>
      <c r="G633" s="1">
        <v>6.5</v>
      </c>
      <c r="H633" s="1">
        <v>10.5</v>
      </c>
    </row>
    <row r="634" spans="1:8">
      <c r="A634" t="s">
        <v>2677</v>
      </c>
      <c r="B634" s="1">
        <v>5.1333333333333302</v>
      </c>
      <c r="C634" s="1">
        <v>5.7</v>
      </c>
      <c r="D634" s="1">
        <v>7.7233333333333301</v>
      </c>
      <c r="F634" s="1">
        <v>4.5999999999999996</v>
      </c>
      <c r="G634" s="1">
        <v>6.8</v>
      </c>
      <c r="H634" s="1">
        <v>10.4</v>
      </c>
    </row>
    <row r="635" spans="1:8">
      <c r="A635" t="s">
        <v>2679</v>
      </c>
      <c r="B635" s="1">
        <v>5.4433333333333298</v>
      </c>
      <c r="C635" s="1">
        <v>6.0533333333333301</v>
      </c>
      <c r="D635" s="1">
        <v>8.1933333333333298</v>
      </c>
      <c r="F635" s="1">
        <v>4.4000000000000004</v>
      </c>
      <c r="G635" s="1">
        <v>6.7</v>
      </c>
      <c r="H635" s="1">
        <v>10.6</v>
      </c>
    </row>
    <row r="636" spans="1:8">
      <c r="A636" t="s">
        <v>2680</v>
      </c>
      <c r="B636" s="1">
        <v>5.28666666666666</v>
      </c>
      <c r="C636" s="1">
        <v>5.8733333333333304</v>
      </c>
      <c r="D636" s="1">
        <v>7.9633333333333303</v>
      </c>
      <c r="F636" s="1">
        <v>4.8</v>
      </c>
      <c r="G636" s="1">
        <v>7.2</v>
      </c>
      <c r="H636" s="1">
        <v>11.3</v>
      </c>
    </row>
    <row r="637" spans="1:8">
      <c r="A637" t="s">
        <v>2682</v>
      </c>
      <c r="B637" s="1">
        <v>5.3733333333333304</v>
      </c>
      <c r="C637" s="1">
        <v>5.9666666666666597</v>
      </c>
      <c r="D637" s="1">
        <v>8.0933333333333302</v>
      </c>
      <c r="F637" s="1">
        <v>4.9000000000000004</v>
      </c>
      <c r="G637" s="1">
        <v>7.2</v>
      </c>
      <c r="H637" s="1">
        <v>12.1</v>
      </c>
    </row>
    <row r="638" spans="1:8">
      <c r="A638" t="s">
        <v>2684</v>
      </c>
      <c r="B638" s="1">
        <v>5.1599999999999904</v>
      </c>
      <c r="C638" s="1">
        <v>5.7333333333333298</v>
      </c>
      <c r="D638" s="1">
        <v>7.7699999999999898</v>
      </c>
      <c r="F638" s="1">
        <v>4.9000000000000004</v>
      </c>
      <c r="G638" s="1">
        <v>7.2</v>
      </c>
      <c r="H638" s="1">
        <v>11.8</v>
      </c>
    </row>
    <row r="639" spans="1:8">
      <c r="A639" t="s">
        <v>2686</v>
      </c>
      <c r="B639" s="1">
        <v>5.1933333333333298</v>
      </c>
      <c r="C639" s="1">
        <v>5.7666666666666604</v>
      </c>
      <c r="D639" s="1">
        <v>7.8199999999999896</v>
      </c>
      <c r="F639" s="1">
        <v>4.9000000000000004</v>
      </c>
      <c r="G639" s="1">
        <v>7.2</v>
      </c>
      <c r="H639" s="1">
        <v>11.8</v>
      </c>
    </row>
    <row r="640" spans="1:8">
      <c r="A640" t="s">
        <v>2688</v>
      </c>
      <c r="B640" s="1">
        <v>4.7966666666666598</v>
      </c>
      <c r="C640" s="1">
        <v>7.08</v>
      </c>
      <c r="D640" s="1">
        <v>12.9599999999999</v>
      </c>
      <c r="F640" s="1">
        <v>4.4000000000000004</v>
      </c>
      <c r="G640" s="1">
        <v>6.6</v>
      </c>
      <c r="H640" s="1">
        <v>10.5</v>
      </c>
    </row>
    <row r="641" spans="1:8">
      <c r="A641" t="s">
        <v>2690</v>
      </c>
      <c r="B641" s="1">
        <v>4.7766666666666602</v>
      </c>
      <c r="C641" s="1">
        <v>7.69</v>
      </c>
      <c r="D641" s="1">
        <v>13.1166666666666</v>
      </c>
      <c r="F641" s="1">
        <v>4</v>
      </c>
      <c r="G641" s="1">
        <v>6.3</v>
      </c>
      <c r="H641" s="1">
        <v>11</v>
      </c>
    </row>
    <row r="642" spans="1:8">
      <c r="A642" t="s">
        <v>2692</v>
      </c>
      <c r="B642" s="1">
        <v>4.75</v>
      </c>
      <c r="C642" s="1">
        <v>7.1899999999999897</v>
      </c>
      <c r="D642" s="1">
        <v>16.453333333333301</v>
      </c>
      <c r="F642" s="1">
        <v>3.6</v>
      </c>
      <c r="G642" s="1">
        <v>5.9</v>
      </c>
      <c r="H642" s="1">
        <v>10.6</v>
      </c>
    </row>
    <row r="643" spans="1:8">
      <c r="A643" t="s">
        <v>2694</v>
      </c>
      <c r="B643" s="1">
        <v>5.6366666666666596</v>
      </c>
      <c r="C643" s="1">
        <v>7.9966666666666599</v>
      </c>
      <c r="D643" s="1">
        <v>13.53</v>
      </c>
      <c r="F643" s="1">
        <v>3.4</v>
      </c>
      <c r="G643" s="1">
        <v>5.7</v>
      </c>
      <c r="H643" s="1">
        <v>11.2</v>
      </c>
    </row>
    <row r="644" spans="1:8">
      <c r="A644" t="s">
        <v>2696</v>
      </c>
      <c r="B644" s="1">
        <v>4.8600000000000003</v>
      </c>
      <c r="C644" s="1">
        <v>7.5166666666666604</v>
      </c>
      <c r="D644" s="1">
        <v>10.81</v>
      </c>
      <c r="F644" s="1">
        <v>3.9</v>
      </c>
      <c r="G644" s="1">
        <v>6.5</v>
      </c>
      <c r="H644" s="1">
        <v>12.3</v>
      </c>
    </row>
    <row r="645" spans="1:8">
      <c r="A645" t="s">
        <v>2698</v>
      </c>
      <c r="B645" s="1">
        <v>5.2433333333333296</v>
      </c>
      <c r="C645" s="1">
        <v>8.4766666666666595</v>
      </c>
      <c r="D645" s="1">
        <v>16.8666666666666</v>
      </c>
      <c r="F645" s="1">
        <v>3.8</v>
      </c>
      <c r="G645" s="1">
        <v>6.3</v>
      </c>
      <c r="H645" s="1">
        <v>11.3</v>
      </c>
    </row>
    <row r="646" spans="1:8">
      <c r="A646" t="s">
        <v>2700</v>
      </c>
      <c r="B646" s="1">
        <v>4.5466666666666598</v>
      </c>
      <c r="C646" s="1">
        <v>7.06</v>
      </c>
      <c r="D646" s="1">
        <v>12.049999999999899</v>
      </c>
      <c r="F646" s="1">
        <v>3.9</v>
      </c>
      <c r="G646" s="1">
        <v>6.7</v>
      </c>
      <c r="H646" s="1">
        <v>14.6</v>
      </c>
    </row>
    <row r="647" spans="1:8">
      <c r="A647" t="s">
        <v>2702</v>
      </c>
      <c r="B647" s="1">
        <v>3.89333333333333</v>
      </c>
      <c r="C647" s="1">
        <v>6.1733333333333302</v>
      </c>
      <c r="D647" s="1">
        <v>11.5833333333333</v>
      </c>
      <c r="F647" s="1">
        <v>3.2</v>
      </c>
      <c r="G647" s="1">
        <v>5.9</v>
      </c>
      <c r="H647" s="1">
        <v>12.5</v>
      </c>
    </row>
    <row r="648" spans="1:8">
      <c r="A648" t="s">
        <v>2705</v>
      </c>
      <c r="B648" s="1">
        <v>3.2833333333333301</v>
      </c>
      <c r="C648" s="1">
        <v>5.1266666666666598</v>
      </c>
      <c r="D648" s="1">
        <v>10.229999999999899</v>
      </c>
      <c r="F648" s="1">
        <v>2.7</v>
      </c>
      <c r="G648" s="1">
        <v>5.0999999999999996</v>
      </c>
      <c r="H648" s="1">
        <v>9.6999999999999993</v>
      </c>
    </row>
    <row r="649" spans="1:8">
      <c r="A649" t="s">
        <v>2707</v>
      </c>
      <c r="B649" s="1">
        <v>3.25999999999999</v>
      </c>
      <c r="C649" s="1">
        <v>5.2133333333333303</v>
      </c>
      <c r="D649" s="1">
        <v>10.906666666666601</v>
      </c>
      <c r="F649" s="1">
        <v>2.6</v>
      </c>
      <c r="G649" s="1">
        <v>4.8</v>
      </c>
      <c r="H649" s="1">
        <v>8.9</v>
      </c>
    </row>
    <row r="650" spans="1:8">
      <c r="A650" t="s">
        <v>2708</v>
      </c>
      <c r="B650" s="1">
        <v>4.05</v>
      </c>
      <c r="C650" s="1">
        <v>6.22</v>
      </c>
      <c r="D650" s="1">
        <v>11.78</v>
      </c>
      <c r="F650" s="1">
        <v>2.7</v>
      </c>
      <c r="G650" s="1">
        <v>4.8</v>
      </c>
      <c r="H650" s="1">
        <v>8.6999999999999993</v>
      </c>
    </row>
    <row r="651" spans="1:8">
      <c r="A651" t="s">
        <v>2710</v>
      </c>
      <c r="B651" s="1">
        <v>4.4299999999999899</v>
      </c>
      <c r="C651" s="1">
        <v>7.1033333333333299</v>
      </c>
      <c r="D651" s="1">
        <v>14.0133333333333</v>
      </c>
      <c r="F651" s="1">
        <v>3.3</v>
      </c>
      <c r="G651" s="1">
        <v>5.3</v>
      </c>
      <c r="H651" s="1">
        <v>8.9</v>
      </c>
    </row>
    <row r="652" spans="1:8">
      <c r="A652" t="s">
        <v>2711</v>
      </c>
      <c r="B652" s="1">
        <v>4.03</v>
      </c>
      <c r="C652" s="1">
        <v>6.1033333333333299</v>
      </c>
      <c r="D652" s="1">
        <v>11.25</v>
      </c>
      <c r="F652" s="1">
        <v>3.7</v>
      </c>
      <c r="G652" s="1">
        <v>5.8</v>
      </c>
      <c r="H652" s="1">
        <v>9.6999999999999993</v>
      </c>
    </row>
    <row r="653" spans="1:8">
      <c r="A653" t="s">
        <v>2712</v>
      </c>
      <c r="B653" s="1">
        <v>4.1633333333333304</v>
      </c>
      <c r="C653" s="1">
        <v>6.6299999999999901</v>
      </c>
      <c r="D653" s="1">
        <v>11.8633333333333</v>
      </c>
      <c r="F653" s="1">
        <v>3.5</v>
      </c>
      <c r="G653" s="1">
        <v>5.9</v>
      </c>
      <c r="H653" s="1">
        <v>10.7</v>
      </c>
    </row>
    <row r="654" spans="1:8">
      <c r="A654" t="s">
        <v>2714</v>
      </c>
      <c r="B654" s="1">
        <v>4.2699999999999996</v>
      </c>
      <c r="C654" s="1">
        <v>6.5266666666666602</v>
      </c>
      <c r="D654" s="1">
        <v>10.76</v>
      </c>
      <c r="F654" s="1">
        <v>3.4</v>
      </c>
      <c r="G654" s="1">
        <v>6</v>
      </c>
      <c r="H654" s="1">
        <v>11.7</v>
      </c>
    </row>
    <row r="655" spans="1:8">
      <c r="A655" t="s">
        <v>2716</v>
      </c>
      <c r="B655" s="1">
        <v>4.82</v>
      </c>
      <c r="C655" s="1">
        <v>7.36</v>
      </c>
      <c r="D655" s="1">
        <v>10.783333333333299</v>
      </c>
      <c r="F655" s="1">
        <v>3.5</v>
      </c>
      <c r="G655" s="1">
        <v>6.1</v>
      </c>
      <c r="H655" s="1">
        <v>11.4</v>
      </c>
    </row>
    <row r="656" spans="1:8">
      <c r="A656" t="s">
        <v>2718</v>
      </c>
      <c r="B656" s="1">
        <v>4.6566666666666601</v>
      </c>
      <c r="C656" s="1">
        <v>7.39</v>
      </c>
      <c r="D656" s="1">
        <v>12.9333333333333</v>
      </c>
      <c r="F656" s="1">
        <v>3.9</v>
      </c>
      <c r="G656" s="1">
        <v>6.4</v>
      </c>
      <c r="H656" s="1">
        <v>12.2</v>
      </c>
    </row>
    <row r="657" spans="1:8">
      <c r="A657" t="s">
        <v>2720</v>
      </c>
      <c r="B657" s="1">
        <v>4.5199999999999996</v>
      </c>
      <c r="C657" s="1">
        <v>7.3333333333333304</v>
      </c>
      <c r="D657" s="1">
        <v>10.62</v>
      </c>
      <c r="F657" s="1">
        <v>3.9</v>
      </c>
      <c r="G657" s="1">
        <v>6.4</v>
      </c>
      <c r="H657" s="1">
        <v>11.5</v>
      </c>
    </row>
    <row r="658" spans="1:8">
      <c r="A658" t="s">
        <v>2722</v>
      </c>
      <c r="B658" s="1">
        <v>4.9466666666666601</v>
      </c>
      <c r="C658" s="1">
        <v>7.86</v>
      </c>
      <c r="D658" s="1">
        <v>14.796666666666599</v>
      </c>
      <c r="F658" s="1">
        <v>3.9</v>
      </c>
      <c r="G658" s="1">
        <v>6.4</v>
      </c>
      <c r="H658" s="1">
        <v>10.6</v>
      </c>
    </row>
    <row r="659" spans="1:8">
      <c r="A659" t="s">
        <v>2724</v>
      </c>
      <c r="B659" s="1">
        <v>4.9466666666666601</v>
      </c>
      <c r="C659" s="1">
        <v>7.8533333333333299</v>
      </c>
      <c r="D659" s="1">
        <v>16.163333333333298</v>
      </c>
      <c r="F659" s="1">
        <v>3.8</v>
      </c>
      <c r="G659" s="1">
        <v>6.3</v>
      </c>
      <c r="H659" s="1">
        <v>10.9</v>
      </c>
    </row>
    <row r="660" spans="1:8">
      <c r="A660" t="s">
        <v>2726</v>
      </c>
      <c r="B660" s="1">
        <v>4.9466666666666601</v>
      </c>
      <c r="C660" s="1">
        <v>7.83</v>
      </c>
      <c r="D660" s="1">
        <v>13.8366666666666</v>
      </c>
      <c r="F660" s="1">
        <v>3.9</v>
      </c>
      <c r="G660" s="1">
        <v>6.5</v>
      </c>
      <c r="H660" s="1">
        <v>11.2</v>
      </c>
    </row>
    <row r="661" spans="1:8">
      <c r="A661" t="s">
        <v>2728</v>
      </c>
      <c r="B661" s="1">
        <v>4.6199999999999903</v>
      </c>
      <c r="C661" s="1">
        <v>7.1599999999999904</v>
      </c>
      <c r="D661" s="1">
        <v>11.97</v>
      </c>
      <c r="F661" s="1">
        <v>3.9</v>
      </c>
      <c r="G661" s="1">
        <v>6.6</v>
      </c>
      <c r="H661" s="1">
        <v>10.8</v>
      </c>
    </row>
    <row r="662" spans="1:8">
      <c r="A662" t="s">
        <v>2730</v>
      </c>
      <c r="B662" s="1">
        <v>4.91</v>
      </c>
      <c r="C662" s="1">
        <v>8.2933333333333294</v>
      </c>
      <c r="D662" s="1">
        <v>14.713333333333299</v>
      </c>
      <c r="F662" s="1">
        <v>3.7</v>
      </c>
      <c r="G662" s="1">
        <v>6.2</v>
      </c>
      <c r="H662" s="1">
        <v>11.1</v>
      </c>
    </row>
    <row r="663" spans="1:8">
      <c r="A663" t="s">
        <v>2731</v>
      </c>
      <c r="B663" s="1">
        <v>5.1666666666666599</v>
      </c>
      <c r="C663" s="1">
        <v>8.4066666666666592</v>
      </c>
      <c r="D663" s="1">
        <v>16.253333333333298</v>
      </c>
      <c r="F663" s="1">
        <v>3.7</v>
      </c>
      <c r="G663" s="1">
        <v>6.4</v>
      </c>
      <c r="H663" s="1">
        <v>10.8</v>
      </c>
    </row>
    <row r="664" spans="1:8">
      <c r="A664" t="s">
        <v>2733</v>
      </c>
      <c r="B664" s="1">
        <v>5.1766666666666596</v>
      </c>
      <c r="C664" s="1">
        <v>9.3866666666666596</v>
      </c>
      <c r="D664" s="1">
        <v>16.133333333333301</v>
      </c>
      <c r="F664" s="1">
        <v>3.8</v>
      </c>
      <c r="G664" s="1">
        <v>6.6</v>
      </c>
      <c r="H664" s="1">
        <v>10.9</v>
      </c>
    </row>
    <row r="665" spans="1:8">
      <c r="A665" t="s">
        <v>2734</v>
      </c>
      <c r="B665" s="1">
        <v>5.54</v>
      </c>
      <c r="C665" s="1">
        <v>8.2899999999999991</v>
      </c>
      <c r="D665" s="1">
        <v>15.04</v>
      </c>
      <c r="F665" s="1">
        <v>3.8</v>
      </c>
      <c r="G665" s="1">
        <v>6.8</v>
      </c>
      <c r="H665" s="1">
        <v>11.9</v>
      </c>
    </row>
    <row r="666" spans="1:8">
      <c r="A666" t="s">
        <v>2736</v>
      </c>
      <c r="B666" s="1">
        <v>5.7033333333333296</v>
      </c>
      <c r="C666" s="1">
        <v>9.6233333333333295</v>
      </c>
      <c r="D666" s="1">
        <v>17.96</v>
      </c>
      <c r="F666" s="1">
        <v>3.8</v>
      </c>
      <c r="G666" s="1">
        <v>7</v>
      </c>
      <c r="H666" s="1">
        <v>12.7</v>
      </c>
    </row>
    <row r="667" spans="1:8">
      <c r="A667" t="s">
        <v>2738</v>
      </c>
      <c r="B667" s="1">
        <v>5.6366666666666596</v>
      </c>
      <c r="C667" s="1">
        <v>9.3000000000000007</v>
      </c>
      <c r="D667" s="1">
        <v>17.343333333333302</v>
      </c>
      <c r="F667" s="1">
        <v>3.6</v>
      </c>
      <c r="G667" s="1">
        <v>6.6</v>
      </c>
      <c r="H667" s="1">
        <v>11.4</v>
      </c>
    </row>
    <row r="668" spans="1:8">
      <c r="A668" t="s">
        <v>2740</v>
      </c>
      <c r="B668" s="1">
        <v>6.07666666666666</v>
      </c>
      <c r="C668" s="1">
        <v>9.77</v>
      </c>
      <c r="D668" s="1">
        <v>17.28</v>
      </c>
      <c r="F668" s="1">
        <v>3.7</v>
      </c>
      <c r="G668" s="1">
        <v>6.4</v>
      </c>
      <c r="H668" s="1">
        <v>10.1</v>
      </c>
    </row>
    <row r="669" spans="1:8">
      <c r="A669" t="s">
        <v>2742</v>
      </c>
      <c r="B669" s="1">
        <v>6.0733333333333297</v>
      </c>
      <c r="C669" s="1">
        <v>9.2466666666666608</v>
      </c>
      <c r="D669" s="1">
        <v>16.96</v>
      </c>
      <c r="F669" s="1">
        <v>3.9</v>
      </c>
      <c r="G669" s="1">
        <v>6.6</v>
      </c>
      <c r="H669" s="1">
        <v>9.4</v>
      </c>
    </row>
    <row r="670" spans="1:8">
      <c r="A670" t="s">
        <v>2744</v>
      </c>
      <c r="B670" s="1">
        <v>6.1899999999999897</v>
      </c>
      <c r="C670" s="1">
        <v>10.476666666666601</v>
      </c>
      <c r="D670" s="1">
        <v>22.889999999999901</v>
      </c>
      <c r="F670" s="1">
        <v>3.9</v>
      </c>
      <c r="G670" s="1">
        <v>6.5</v>
      </c>
      <c r="H670" s="1">
        <v>9.1</v>
      </c>
    </row>
    <row r="671" spans="1:8">
      <c r="A671" t="s">
        <v>2745</v>
      </c>
      <c r="B671" s="1">
        <v>5.36</v>
      </c>
      <c r="C671" s="1">
        <v>5.9466666666666601</v>
      </c>
      <c r="D671" s="1">
        <v>8.0666666666666593</v>
      </c>
      <c r="F671" s="1">
        <v>3.6</v>
      </c>
      <c r="G671" s="1">
        <v>6.1</v>
      </c>
      <c r="H671" s="1">
        <v>8.6</v>
      </c>
    </row>
    <row r="672" spans="1:8">
      <c r="A672" t="s">
        <v>2747</v>
      </c>
      <c r="B672" s="1">
        <v>4.9233333333333302</v>
      </c>
      <c r="C672" s="1">
        <v>5.4666666666666597</v>
      </c>
      <c r="D672" s="1">
        <v>7.4099999999999904</v>
      </c>
      <c r="F672" s="1">
        <v>3.4</v>
      </c>
      <c r="G672" s="1">
        <v>5.6</v>
      </c>
      <c r="H672" s="1">
        <v>8.1999999999999993</v>
      </c>
    </row>
    <row r="673" spans="1:8">
      <c r="A673" t="s">
        <v>2748</v>
      </c>
      <c r="B673" s="1">
        <v>4.9533333333333296</v>
      </c>
      <c r="C673" s="1">
        <v>5.4966666666666599</v>
      </c>
      <c r="D673" s="1">
        <v>7.4466666666666601</v>
      </c>
      <c r="F673" s="1">
        <v>3.3</v>
      </c>
      <c r="G673" s="1">
        <v>5</v>
      </c>
      <c r="H673" s="1">
        <v>6.9</v>
      </c>
    </row>
    <row r="674" spans="1:8">
      <c r="A674" t="s">
        <v>2749</v>
      </c>
      <c r="B674" s="1">
        <v>5.39</v>
      </c>
      <c r="C674" s="1">
        <v>6.0033333333333303</v>
      </c>
      <c r="D674" s="1">
        <v>8.1066666666666602</v>
      </c>
      <c r="F674" s="1">
        <v>3.3</v>
      </c>
      <c r="G674" s="1">
        <v>5</v>
      </c>
      <c r="H674" s="1">
        <v>7.3</v>
      </c>
    </row>
    <row r="675" spans="1:8">
      <c r="A675" t="s">
        <v>2751</v>
      </c>
      <c r="B675" s="1">
        <v>4.3566666666666602</v>
      </c>
      <c r="C675" s="1">
        <v>4.8533333333333299</v>
      </c>
      <c r="D675" s="1">
        <v>6.5666666666666602</v>
      </c>
      <c r="F675" s="1">
        <v>3.2</v>
      </c>
      <c r="G675" s="1">
        <v>4.5999999999999996</v>
      </c>
      <c r="H675" s="1">
        <v>5.8</v>
      </c>
    </row>
    <row r="676" spans="1:8">
      <c r="A676" t="s">
        <v>2752</v>
      </c>
      <c r="B676" s="1">
        <v>3.12333333333333</v>
      </c>
      <c r="C676" s="1">
        <v>3.48</v>
      </c>
      <c r="D676" s="1">
        <v>4.72</v>
      </c>
      <c r="F676" s="1">
        <v>2.5</v>
      </c>
      <c r="G676" s="1">
        <v>3.6</v>
      </c>
      <c r="H676" s="1">
        <v>4.4000000000000004</v>
      </c>
    </row>
    <row r="677" spans="1:8">
      <c r="A677" t="s">
        <v>2754</v>
      </c>
      <c r="B677" s="1">
        <v>2.8</v>
      </c>
      <c r="C677" s="1">
        <v>3.11666666666666</v>
      </c>
      <c r="D677" s="1">
        <v>4.22</v>
      </c>
      <c r="F677" s="1">
        <v>2</v>
      </c>
      <c r="G677" s="1">
        <v>2.8</v>
      </c>
      <c r="H677" s="1">
        <v>3.9</v>
      </c>
    </row>
    <row r="678" spans="1:8">
      <c r="A678" t="s">
        <v>2755</v>
      </c>
      <c r="B678" s="1">
        <v>4.0166666666666604</v>
      </c>
      <c r="C678" s="1">
        <v>4.4633333333333303</v>
      </c>
      <c r="D678" s="1">
        <v>6.0466666666666598</v>
      </c>
      <c r="F678" s="1">
        <v>2.4</v>
      </c>
      <c r="G678" s="1">
        <v>3.2</v>
      </c>
      <c r="H678" s="1">
        <v>4.0999999999999996</v>
      </c>
    </row>
    <row r="679" spans="1:8">
      <c r="A679" t="s">
        <v>2757</v>
      </c>
      <c r="B679" s="1">
        <v>4.0133333333333301</v>
      </c>
      <c r="C679" s="1">
        <v>4.4666666666666597</v>
      </c>
      <c r="D679" s="1">
        <v>6.06</v>
      </c>
      <c r="F679" s="1">
        <v>3.1</v>
      </c>
      <c r="G679" s="1">
        <v>4</v>
      </c>
      <c r="H679" s="1">
        <v>5.7</v>
      </c>
    </row>
    <row r="680" spans="1:8">
      <c r="A680" t="s">
        <v>2759</v>
      </c>
      <c r="B680" s="1">
        <v>3.9099999999999899</v>
      </c>
      <c r="C680" s="1">
        <v>4.3466666666666596</v>
      </c>
      <c r="D680" s="1">
        <v>5.89333333333333</v>
      </c>
      <c r="F680" s="1">
        <v>2.7</v>
      </c>
      <c r="G680" s="1">
        <v>3.8</v>
      </c>
      <c r="H680" s="1">
        <v>5.8</v>
      </c>
    </row>
    <row r="681" spans="1:8">
      <c r="A681" t="s">
        <v>2761</v>
      </c>
      <c r="B681" s="1">
        <v>3.7666666666666599</v>
      </c>
      <c r="C681" s="1">
        <v>4.1866666666666603</v>
      </c>
      <c r="D681" s="1">
        <v>5.6733333333333302</v>
      </c>
      <c r="F681" s="1">
        <v>2.4</v>
      </c>
      <c r="G681" s="1">
        <v>3.5</v>
      </c>
      <c r="H681" s="1">
        <v>5.2</v>
      </c>
    </row>
    <row r="682" spans="1:8">
      <c r="A682" t="s">
        <v>2762</v>
      </c>
      <c r="B682" s="1">
        <v>4.0299999999999896</v>
      </c>
      <c r="C682" s="1">
        <v>4.4666666666666597</v>
      </c>
      <c r="D682" s="1">
        <v>6.0733333333333297</v>
      </c>
      <c r="F682" s="1">
        <v>2.4</v>
      </c>
      <c r="G682" s="1">
        <v>3.5</v>
      </c>
      <c r="H682" s="1">
        <v>4.7</v>
      </c>
    </row>
    <row r="683" spans="1:8">
      <c r="A683" t="s">
        <v>2764</v>
      </c>
      <c r="B683" s="1">
        <v>3.3133333333333299</v>
      </c>
      <c r="C683" s="1">
        <v>3.68333333333333</v>
      </c>
      <c r="D683" s="1">
        <v>4.9966666666666599</v>
      </c>
      <c r="F683" s="1">
        <v>2.2999999999999998</v>
      </c>
      <c r="G683" s="1">
        <v>3.2</v>
      </c>
      <c r="H683" s="1">
        <v>4.3</v>
      </c>
    </row>
    <row r="684" spans="1:8">
      <c r="A684" t="s">
        <v>2765</v>
      </c>
      <c r="B684" s="1">
        <v>2.5833333333333299</v>
      </c>
      <c r="C684" s="1">
        <v>2.86666666666666</v>
      </c>
      <c r="D684" s="1">
        <v>3.8999999999999901</v>
      </c>
      <c r="F684" s="1">
        <v>2</v>
      </c>
      <c r="G684" s="1">
        <v>2.8</v>
      </c>
      <c r="H684" s="1">
        <v>3.6</v>
      </c>
    </row>
    <row r="685" spans="1:8">
      <c r="A685" t="s">
        <v>2767</v>
      </c>
      <c r="B685" s="1">
        <v>2.8</v>
      </c>
      <c r="C685" s="1">
        <v>3.11666666666666</v>
      </c>
      <c r="D685" s="1">
        <v>4.2266666666666604</v>
      </c>
      <c r="F685" s="1">
        <v>1.8</v>
      </c>
      <c r="G685" s="1">
        <v>2.4</v>
      </c>
      <c r="H685" s="1">
        <v>2.8</v>
      </c>
    </row>
    <row r="686" spans="1:8">
      <c r="A686" t="s">
        <v>2768</v>
      </c>
      <c r="B686" s="1">
        <v>3.9833333333333298</v>
      </c>
      <c r="C686" s="1">
        <v>4.43</v>
      </c>
      <c r="D686" s="1">
        <v>6.0166666666666604</v>
      </c>
      <c r="F686" s="1">
        <v>1.8</v>
      </c>
      <c r="G686" s="1">
        <v>2.5</v>
      </c>
      <c r="H686" s="1">
        <v>3.1</v>
      </c>
    </row>
    <row r="687" spans="1:8">
      <c r="A687" t="s">
        <v>2770</v>
      </c>
      <c r="B687" s="1">
        <v>6.47</v>
      </c>
      <c r="C687" s="1">
        <v>7.18</v>
      </c>
      <c r="D687" s="1">
        <v>9.7200000000000006</v>
      </c>
      <c r="F687" s="1">
        <v>2</v>
      </c>
      <c r="G687" s="1">
        <v>3.2</v>
      </c>
      <c r="H687" s="1">
        <v>4.2</v>
      </c>
    </row>
    <row r="688" spans="1:8">
      <c r="A688" t="s">
        <v>2772</v>
      </c>
      <c r="B688" s="1">
        <v>5.3366666666666598</v>
      </c>
      <c r="C688" s="1">
        <v>5.9366666666666603</v>
      </c>
      <c r="D688" s="1">
        <v>8.0399999999999991</v>
      </c>
      <c r="F688" s="1">
        <v>2.9</v>
      </c>
      <c r="G688" s="1">
        <v>5</v>
      </c>
      <c r="H688" s="1">
        <v>6.6</v>
      </c>
    </row>
    <row r="689" spans="1:8">
      <c r="A689" t="s">
        <v>2774</v>
      </c>
      <c r="B689" s="1">
        <v>9.3166666666666593</v>
      </c>
      <c r="C689" s="1">
        <v>10.3533333333333</v>
      </c>
      <c r="D689" s="1">
        <v>14.0066666666666</v>
      </c>
      <c r="F689" s="1">
        <v>3.3</v>
      </c>
      <c r="G689" s="1">
        <v>5.8</v>
      </c>
      <c r="H689" s="1">
        <v>7.8</v>
      </c>
    </row>
    <row r="690" spans="1:8">
      <c r="A690" t="s">
        <v>2776</v>
      </c>
      <c r="B690" s="1">
        <v>9.3099999999999898</v>
      </c>
      <c r="C690" s="1">
        <v>10.3433333333333</v>
      </c>
      <c r="D690" s="1">
        <v>13.9966666666666</v>
      </c>
      <c r="F690" s="1">
        <v>4.4000000000000004</v>
      </c>
      <c r="G690" s="1">
        <v>8.6</v>
      </c>
      <c r="H690" s="1">
        <v>12.7</v>
      </c>
    </row>
    <row r="691" spans="1:8">
      <c r="A691" t="s">
        <v>2778</v>
      </c>
      <c r="B691" s="1">
        <v>8.5566666666666595</v>
      </c>
      <c r="C691" s="1">
        <v>9.5266666666666602</v>
      </c>
      <c r="D691" s="1">
        <v>12.95</v>
      </c>
      <c r="F691" s="1">
        <v>4.7</v>
      </c>
      <c r="G691" s="1">
        <v>8.9</v>
      </c>
      <c r="H691" s="1">
        <v>12.9</v>
      </c>
    </row>
    <row r="692" spans="1:8">
      <c r="A692" t="s">
        <v>2780</v>
      </c>
      <c r="B692" s="1">
        <v>7.4866666666666601</v>
      </c>
      <c r="C692" s="1">
        <v>11.1299999999999</v>
      </c>
      <c r="D692" s="1">
        <v>22.003333333333298</v>
      </c>
      <c r="F692" s="1">
        <v>4.4000000000000004</v>
      </c>
      <c r="G692" s="1">
        <v>8.1</v>
      </c>
      <c r="H692" s="1">
        <v>11.8</v>
      </c>
    </row>
    <row r="693" spans="1:8">
      <c r="A693" t="s">
        <v>2782</v>
      </c>
      <c r="B693" s="1">
        <v>8.4966666666666608</v>
      </c>
      <c r="C693" s="1">
        <v>9.68</v>
      </c>
      <c r="D693" s="1">
        <v>13.84</v>
      </c>
      <c r="F693" s="1">
        <v>4.4000000000000004</v>
      </c>
      <c r="G693" s="1">
        <v>8.1</v>
      </c>
      <c r="H693" s="1">
        <v>11.7</v>
      </c>
    </row>
    <row r="694" spans="1:8">
      <c r="A694" t="s">
        <v>2784</v>
      </c>
      <c r="B694" s="1">
        <v>8.1466666666666594</v>
      </c>
      <c r="C694" s="1">
        <v>12.2099999999999</v>
      </c>
      <c r="D694" s="1">
        <v>24.4</v>
      </c>
      <c r="F694" s="1">
        <v>4.5999999999999996</v>
      </c>
      <c r="G694" s="1">
        <v>8.5</v>
      </c>
      <c r="H694" s="1">
        <v>12.9</v>
      </c>
    </row>
    <row r="695" spans="1:8">
      <c r="A695" t="s">
        <v>2786</v>
      </c>
      <c r="B695" s="1">
        <v>8.4599999999999902</v>
      </c>
      <c r="C695" s="1">
        <v>9.93</v>
      </c>
      <c r="D695" s="1">
        <v>14.643333333333301</v>
      </c>
      <c r="F695" s="1">
        <v>4.8</v>
      </c>
      <c r="G695" s="1">
        <v>8.9</v>
      </c>
      <c r="H695" s="1">
        <v>13.3</v>
      </c>
    </row>
    <row r="696" spans="1:8">
      <c r="A696" t="s">
        <v>2788</v>
      </c>
      <c r="B696" s="1">
        <v>9.1</v>
      </c>
      <c r="C696" s="1">
        <v>14.5266666666666</v>
      </c>
      <c r="D696" s="1">
        <v>28.61</v>
      </c>
      <c r="F696" s="1">
        <v>4.9000000000000004</v>
      </c>
      <c r="G696" s="1">
        <v>9.3000000000000007</v>
      </c>
      <c r="H696" s="1">
        <v>14</v>
      </c>
    </row>
    <row r="697" spans="1:8">
      <c r="A697" t="s">
        <v>2790</v>
      </c>
      <c r="B697" s="1">
        <v>9.4499999999999993</v>
      </c>
      <c r="C697" s="1">
        <v>15.236666666666601</v>
      </c>
      <c r="D697" s="1">
        <v>31.003333333333298</v>
      </c>
      <c r="F697" s="1">
        <v>4.9000000000000004</v>
      </c>
      <c r="G697" s="1">
        <v>9.4</v>
      </c>
      <c r="H697" s="1">
        <v>14.8</v>
      </c>
    </row>
    <row r="698" spans="1:8">
      <c r="A698" t="s">
        <v>2792</v>
      </c>
      <c r="B698" s="1">
        <v>10.1133333333333</v>
      </c>
      <c r="C698" s="1">
        <v>16.873333333333299</v>
      </c>
      <c r="D698" s="1">
        <v>36.466666666666598</v>
      </c>
      <c r="F698" s="1">
        <v>5</v>
      </c>
      <c r="G698" s="1">
        <v>9.5</v>
      </c>
      <c r="H698" s="1">
        <v>14.6</v>
      </c>
    </row>
    <row r="699" spans="1:8">
      <c r="A699" t="s">
        <v>2794</v>
      </c>
      <c r="B699" s="1">
        <v>11.8266666666666</v>
      </c>
      <c r="C699" s="1">
        <v>16.3333333333333</v>
      </c>
      <c r="D699" s="1">
        <v>27.523333333333301</v>
      </c>
      <c r="F699" s="1">
        <v>5.4</v>
      </c>
      <c r="G699" s="1">
        <v>10.7</v>
      </c>
      <c r="H699" s="1">
        <v>17.7</v>
      </c>
    </row>
    <row r="700" spans="1:8">
      <c r="A700" t="s">
        <v>2796</v>
      </c>
      <c r="B700" s="1">
        <v>12.1833333333333</v>
      </c>
      <c r="C700" s="1">
        <v>14.98</v>
      </c>
      <c r="D700" s="1">
        <v>23.8266666666666</v>
      </c>
      <c r="F700" s="1">
        <v>5.9</v>
      </c>
      <c r="G700" s="1">
        <v>11.6</v>
      </c>
      <c r="H700" s="1">
        <v>17.899999999999999</v>
      </c>
    </row>
    <row r="701" spans="1:8">
      <c r="A701" t="s">
        <v>2798</v>
      </c>
      <c r="B701" s="1">
        <v>12.45</v>
      </c>
      <c r="C701" s="1">
        <v>13.8233333333333</v>
      </c>
      <c r="D701" s="1">
        <v>18.689999999999898</v>
      </c>
      <c r="F701" s="1">
        <v>6</v>
      </c>
      <c r="G701" s="1">
        <v>11.8</v>
      </c>
      <c r="H701" s="1">
        <v>18.7</v>
      </c>
    </row>
    <row r="702" spans="1:8">
      <c r="A702" t="s">
        <v>2800</v>
      </c>
      <c r="B702" s="1">
        <v>12.056666666666599</v>
      </c>
      <c r="C702" s="1">
        <v>13.393333333333301</v>
      </c>
      <c r="D702" s="1">
        <v>18.113333333333301</v>
      </c>
      <c r="F702" s="1">
        <v>6.2</v>
      </c>
      <c r="G702" s="1">
        <v>12</v>
      </c>
      <c r="H702" s="1">
        <v>18.8</v>
      </c>
    </row>
    <row r="703" spans="1:8">
      <c r="A703" t="s">
        <v>2802</v>
      </c>
      <c r="B703" s="1">
        <v>12.4266666666666</v>
      </c>
      <c r="C703" s="1">
        <v>13.793333333333299</v>
      </c>
      <c r="D703" s="1">
        <v>18.6666666666666</v>
      </c>
      <c r="F703" s="1">
        <v>6</v>
      </c>
      <c r="G703" s="1">
        <v>11.8</v>
      </c>
      <c r="H703" s="1">
        <v>18.899999999999999</v>
      </c>
    </row>
    <row r="704" spans="1:8">
      <c r="A704" t="s">
        <v>2804</v>
      </c>
      <c r="B704" s="1">
        <v>7.2166666666666597</v>
      </c>
      <c r="C704" s="1">
        <v>8.0033333333333303</v>
      </c>
      <c r="D704" s="1">
        <v>10.8466666666666</v>
      </c>
      <c r="F704" s="1">
        <v>5.7</v>
      </c>
      <c r="G704" s="1">
        <v>11</v>
      </c>
      <c r="H704" s="1">
        <v>17.399999999999999</v>
      </c>
    </row>
    <row r="705" spans="1:8">
      <c r="A705" t="s">
        <v>2806</v>
      </c>
      <c r="B705" s="1">
        <v>12.213333333333299</v>
      </c>
      <c r="C705" s="1">
        <v>13.566666666666601</v>
      </c>
      <c r="D705" s="1">
        <v>18.336666666666599</v>
      </c>
      <c r="F705" s="1">
        <v>4.0999999999999996</v>
      </c>
      <c r="G705" s="1">
        <v>7.5</v>
      </c>
      <c r="H705" s="1">
        <v>11.5</v>
      </c>
    </row>
    <row r="706" spans="1:8">
      <c r="A706" t="s">
        <v>2807</v>
      </c>
      <c r="B706" s="1">
        <v>13.2433333333333</v>
      </c>
      <c r="C706" s="1">
        <v>14.706666666666599</v>
      </c>
      <c r="D706" s="1">
        <v>19.899999999999899</v>
      </c>
      <c r="F706" s="1">
        <v>5.7</v>
      </c>
      <c r="G706" s="1">
        <v>10.9</v>
      </c>
      <c r="H706" s="1">
        <v>16.7</v>
      </c>
    </row>
    <row r="707" spans="1:8">
      <c r="A707" t="s">
        <v>2809</v>
      </c>
      <c r="B707" s="1">
        <v>13.85</v>
      </c>
      <c r="C707" s="1">
        <v>15.386666666666599</v>
      </c>
      <c r="D707" s="1">
        <v>20.806666666666601</v>
      </c>
      <c r="F707" s="1">
        <v>6.5</v>
      </c>
      <c r="G707" s="1">
        <v>13</v>
      </c>
      <c r="H707" s="1">
        <v>21.6</v>
      </c>
    </row>
    <row r="708" spans="1:8">
      <c r="A708" t="s">
        <v>2811</v>
      </c>
      <c r="B708" s="1">
        <v>12.3599999999999</v>
      </c>
      <c r="C708" s="1">
        <v>13.706666666666599</v>
      </c>
      <c r="D708" s="1">
        <v>18.556666666666601</v>
      </c>
      <c r="F708" s="1">
        <v>6.6</v>
      </c>
      <c r="G708" s="1">
        <v>13.3</v>
      </c>
      <c r="H708" s="1">
        <v>21.9</v>
      </c>
    </row>
    <row r="709" spans="1:8">
      <c r="A709" t="s">
        <v>2813</v>
      </c>
      <c r="B709" s="1">
        <v>10.223333333333301</v>
      </c>
      <c r="C709" s="1">
        <v>11.3566666666666</v>
      </c>
      <c r="D709" s="1">
        <v>15.37</v>
      </c>
      <c r="F709" s="1">
        <v>5.7</v>
      </c>
      <c r="G709" s="1">
        <v>11.9</v>
      </c>
      <c r="H709" s="1">
        <v>21.7</v>
      </c>
    </row>
    <row r="710" spans="1:8">
      <c r="A710" t="s">
        <v>2815</v>
      </c>
      <c r="B710" s="1">
        <v>10.51</v>
      </c>
      <c r="C710" s="1">
        <v>11.6766666666666</v>
      </c>
      <c r="D710" s="1">
        <v>15.793333333333299</v>
      </c>
      <c r="F710" s="1">
        <v>5</v>
      </c>
      <c r="G710" s="1">
        <v>10.9</v>
      </c>
      <c r="H710" s="1">
        <v>20.100000000000001</v>
      </c>
    </row>
    <row r="711" spans="1:8">
      <c r="A711" t="s">
        <v>2817</v>
      </c>
      <c r="B711" s="1">
        <v>10.7633333333333</v>
      </c>
      <c r="C711" s="1">
        <v>15.906666666666601</v>
      </c>
      <c r="D711" s="1">
        <v>25.49</v>
      </c>
      <c r="F711" s="1">
        <v>5</v>
      </c>
      <c r="G711" s="1">
        <v>11.6</v>
      </c>
      <c r="H711" s="1">
        <v>23.7</v>
      </c>
    </row>
    <row r="712" spans="1:8">
      <c r="A712" t="s">
        <v>2818</v>
      </c>
      <c r="B712" s="1">
        <v>11.2433333333333</v>
      </c>
      <c r="C712" s="1">
        <v>14.39</v>
      </c>
      <c r="D712" s="1">
        <v>24.31</v>
      </c>
      <c r="F712" s="1">
        <v>5.2</v>
      </c>
      <c r="G712" s="1">
        <v>11.8</v>
      </c>
      <c r="H712" s="1">
        <v>23.9</v>
      </c>
    </row>
    <row r="713" spans="1:8">
      <c r="A713" t="s">
        <v>2820</v>
      </c>
      <c r="B713" s="1">
        <v>10.973333333333301</v>
      </c>
      <c r="C713" s="1">
        <v>13.0033333333333</v>
      </c>
      <c r="D713" s="1">
        <v>20.316666666666599</v>
      </c>
      <c r="F713" s="1">
        <v>5.2</v>
      </c>
      <c r="G713" s="1">
        <v>12</v>
      </c>
      <c r="H713" s="1">
        <v>24</v>
      </c>
    </row>
    <row r="714" spans="1:8">
      <c r="A714" t="s">
        <v>2822</v>
      </c>
      <c r="B714" s="1">
        <v>10.3633333333333</v>
      </c>
      <c r="C714" s="1">
        <v>18.586666666666599</v>
      </c>
      <c r="D714" s="1">
        <v>34.576666666666597</v>
      </c>
      <c r="F714" s="1">
        <v>5.4</v>
      </c>
      <c r="G714" s="1">
        <v>12.4</v>
      </c>
      <c r="H714" s="1">
        <v>26.3</v>
      </c>
    </row>
    <row r="715" spans="1:8">
      <c r="A715" t="s">
        <v>2824</v>
      </c>
      <c r="B715" s="1">
        <v>6.6666666666666696</v>
      </c>
      <c r="C715" s="1">
        <v>12.386666666666599</v>
      </c>
      <c r="D715" s="1">
        <v>20.283333333333299</v>
      </c>
      <c r="F715" s="1">
        <v>4.5999999999999996</v>
      </c>
      <c r="G715" s="1">
        <v>10.199999999999999</v>
      </c>
      <c r="H715" s="1">
        <v>22.7</v>
      </c>
    </row>
    <row r="716" spans="1:8">
      <c r="A716" t="s">
        <v>2825</v>
      </c>
      <c r="B716" s="1">
        <v>5.2166666666666597</v>
      </c>
      <c r="C716" s="1">
        <v>8.9733333333333292</v>
      </c>
      <c r="D716" s="1">
        <v>16.643333333333299</v>
      </c>
      <c r="F716" s="1">
        <v>3.2</v>
      </c>
      <c r="G716" s="1">
        <v>7.6</v>
      </c>
      <c r="H716" s="1">
        <v>17.100000000000001</v>
      </c>
    </row>
    <row r="717" spans="1:8">
      <c r="A717" t="s">
        <v>2826</v>
      </c>
      <c r="B717" s="1">
        <v>6.5266666666666602</v>
      </c>
      <c r="C717" s="1">
        <v>11.4233333333333</v>
      </c>
      <c r="D717" s="1">
        <v>21.92</v>
      </c>
      <c r="F717" s="1">
        <v>2.9</v>
      </c>
      <c r="G717" s="1">
        <v>8</v>
      </c>
      <c r="H717" s="1">
        <v>20.2</v>
      </c>
    </row>
    <row r="718" spans="1:8">
      <c r="A718" t="s">
        <v>2827</v>
      </c>
      <c r="B718" s="1">
        <v>1.9666666666666599</v>
      </c>
      <c r="C718" s="1">
        <v>3.0433333333333299</v>
      </c>
      <c r="D718" s="1">
        <v>5.5266666666666602</v>
      </c>
      <c r="F718" s="1">
        <v>2.6</v>
      </c>
      <c r="G718" s="1">
        <v>7.4</v>
      </c>
      <c r="H718" s="1">
        <v>19.600000000000001</v>
      </c>
    </row>
    <row r="719" spans="1:8">
      <c r="A719" t="s">
        <v>2829</v>
      </c>
      <c r="B719" s="1">
        <v>0.73333333333333295</v>
      </c>
      <c r="C719" s="1">
        <v>1.2233333333333301</v>
      </c>
      <c r="D719" s="1">
        <v>2.45333333333333</v>
      </c>
      <c r="F719" s="1">
        <v>1.1000000000000001</v>
      </c>
      <c r="G719" s="1">
        <v>2.8</v>
      </c>
      <c r="H719" s="1">
        <v>7.4</v>
      </c>
    </row>
    <row r="720" spans="1:8">
      <c r="A720" t="s">
        <v>2830</v>
      </c>
      <c r="B720" s="1">
        <v>0.73333333333333295</v>
      </c>
      <c r="C720" s="1">
        <v>1.06666666666666</v>
      </c>
      <c r="D720" s="1">
        <v>2.3399999999999901</v>
      </c>
      <c r="F720" s="1">
        <v>0.6</v>
      </c>
      <c r="G720" s="1">
        <v>1.6</v>
      </c>
      <c r="H720" s="1">
        <v>4.7</v>
      </c>
    </row>
    <row r="721" spans="1:8">
      <c r="A721" t="s">
        <v>2831</v>
      </c>
      <c r="B721" s="1">
        <v>0.51</v>
      </c>
      <c r="C721" s="1">
        <v>0.69333333333333302</v>
      </c>
      <c r="D721" s="1">
        <v>0.92333333333333301</v>
      </c>
      <c r="F721" s="1">
        <v>0.7</v>
      </c>
      <c r="G721" s="1">
        <v>1.4</v>
      </c>
      <c r="H721" s="1">
        <v>4.3</v>
      </c>
    </row>
    <row r="722" spans="1:8">
      <c r="A722" t="s">
        <v>2832</v>
      </c>
      <c r="B722" s="1">
        <v>0.64333333333333298</v>
      </c>
      <c r="C722" s="1">
        <v>0.8</v>
      </c>
      <c r="D722" s="1">
        <v>1.79666666666666</v>
      </c>
      <c r="F722" s="1">
        <v>0.5</v>
      </c>
      <c r="G722" s="1">
        <v>1</v>
      </c>
      <c r="H722" s="1">
        <v>2.2999999999999998</v>
      </c>
    </row>
    <row r="723" spans="1:8">
      <c r="A723" t="s">
        <v>2833</v>
      </c>
      <c r="B723" s="1">
        <v>0.63666666666666605</v>
      </c>
      <c r="C723" s="1">
        <v>1.1299999999999999</v>
      </c>
      <c r="D723" s="1">
        <v>1.7333333333333301</v>
      </c>
      <c r="F723" s="1">
        <v>0.5</v>
      </c>
      <c r="G723" s="1">
        <v>0.9</v>
      </c>
      <c r="H723" s="1">
        <v>2.5</v>
      </c>
    </row>
    <row r="724" spans="1:8">
      <c r="A724" t="s">
        <v>2835</v>
      </c>
      <c r="B724" s="1">
        <v>0.56666666666666599</v>
      </c>
      <c r="C724" s="1">
        <v>1.0033333333333301</v>
      </c>
      <c r="D724" s="1">
        <v>1.62</v>
      </c>
      <c r="F724" s="1">
        <v>0.6</v>
      </c>
      <c r="G724" s="1">
        <v>1.1000000000000001</v>
      </c>
      <c r="H724" s="1">
        <v>3.2</v>
      </c>
    </row>
    <row r="725" spans="1:8">
      <c r="A725" t="s">
        <v>2837</v>
      </c>
      <c r="B725" s="1">
        <v>0.49666666666666598</v>
      </c>
      <c r="C725" s="1">
        <v>1.0899999999999901</v>
      </c>
      <c r="D725" s="1">
        <v>1.2933333333333299</v>
      </c>
      <c r="F725" s="1">
        <v>0.6</v>
      </c>
      <c r="G725" s="1">
        <v>1</v>
      </c>
      <c r="H725" s="1">
        <v>2.9</v>
      </c>
    </row>
    <row r="726" spans="1:8">
      <c r="A726" t="s">
        <v>2839</v>
      </c>
      <c r="B726" s="1">
        <v>0.78666666666666596</v>
      </c>
      <c r="C726" s="1">
        <v>1.14333333333333</v>
      </c>
      <c r="D726" s="1">
        <v>1.2366666666666599</v>
      </c>
      <c r="F726" s="1">
        <v>1.9</v>
      </c>
      <c r="G726" s="1">
        <v>2.4</v>
      </c>
      <c r="H726" s="1">
        <v>3.5</v>
      </c>
    </row>
    <row r="727" spans="1:8">
      <c r="A727" t="s">
        <v>2840</v>
      </c>
      <c r="B727" s="1">
        <v>0.88333333333333297</v>
      </c>
      <c r="C727" s="1">
        <v>1.5066666666666599</v>
      </c>
      <c r="D727" s="1">
        <v>2.7899999999999898</v>
      </c>
      <c r="F727" s="1">
        <v>1.5</v>
      </c>
      <c r="G727" s="1">
        <v>2.1</v>
      </c>
      <c r="H727" s="1">
        <v>3.7</v>
      </c>
    </row>
    <row r="728" spans="1:8">
      <c r="A728" t="s">
        <v>2842</v>
      </c>
      <c r="B728" s="1">
        <v>0.81333333333333202</v>
      </c>
      <c r="C728" s="1">
        <v>1.4</v>
      </c>
      <c r="D728" s="1">
        <v>2.0433333333333299</v>
      </c>
      <c r="F728" s="1">
        <v>0.8</v>
      </c>
      <c r="G728" s="1">
        <v>1.4</v>
      </c>
      <c r="H728" s="1">
        <v>2.7</v>
      </c>
    </row>
    <row r="729" spans="1:8">
      <c r="A729" t="s">
        <v>2844</v>
      </c>
      <c r="B729" s="1">
        <v>1.0833333333333299</v>
      </c>
      <c r="C729" s="1">
        <v>1.4199999999999899</v>
      </c>
      <c r="D729" s="1">
        <v>1.88333333333333</v>
      </c>
      <c r="F729" s="1">
        <v>1</v>
      </c>
      <c r="G729" s="1">
        <v>1.6</v>
      </c>
      <c r="H729" s="1">
        <v>3.9</v>
      </c>
    </row>
    <row r="730" spans="1:8">
      <c r="A730" t="s">
        <v>2846</v>
      </c>
      <c r="B730" s="1">
        <v>1.1666666666666601</v>
      </c>
      <c r="C730" s="1">
        <v>1.7233333333333301</v>
      </c>
      <c r="D730" s="1">
        <v>1.8866666666666601</v>
      </c>
      <c r="F730" s="1">
        <v>1.4</v>
      </c>
      <c r="G730" s="1">
        <v>2</v>
      </c>
      <c r="H730" s="1">
        <v>4.2</v>
      </c>
    </row>
    <row r="731" spans="1:8">
      <c r="A731" t="s">
        <v>2848</v>
      </c>
      <c r="B731" s="1">
        <v>1.43333333333333</v>
      </c>
      <c r="C731" s="1">
        <v>1.86666666666666</v>
      </c>
      <c r="D731" s="1">
        <v>2.44999999999999</v>
      </c>
      <c r="F731" s="1">
        <v>2</v>
      </c>
      <c r="G731" s="1">
        <v>2.4</v>
      </c>
      <c r="H731" s="1">
        <v>4</v>
      </c>
    </row>
    <row r="732" spans="1:8">
      <c r="A732" t="s">
        <v>2850</v>
      </c>
      <c r="B732" s="1">
        <v>1.70333333333333</v>
      </c>
      <c r="C732" s="1">
        <v>2.09666666666666</v>
      </c>
      <c r="D732" s="1">
        <v>2.9766666666666599</v>
      </c>
      <c r="F732" s="1">
        <v>2.2000000000000002</v>
      </c>
      <c r="G732" s="1">
        <v>2.7</v>
      </c>
      <c r="H732" s="1">
        <v>4.3</v>
      </c>
    </row>
    <row r="733" spans="1:8">
      <c r="A733" t="s">
        <v>2852</v>
      </c>
      <c r="B733" s="1">
        <v>1.57</v>
      </c>
      <c r="C733" s="1">
        <v>2.4233333333333298</v>
      </c>
      <c r="D733" s="1">
        <v>2.5066666666666602</v>
      </c>
      <c r="F733" s="1">
        <v>2.4</v>
      </c>
      <c r="G733" s="1">
        <v>2.8</v>
      </c>
      <c r="H733" s="1">
        <v>4.2</v>
      </c>
    </row>
    <row r="734" spans="1:8">
      <c r="A734" t="s">
        <v>2854</v>
      </c>
      <c r="B734" s="1">
        <v>2.2766666666666602</v>
      </c>
      <c r="C734" s="1">
        <v>2.5499999999999998</v>
      </c>
      <c r="D734" s="1">
        <v>3.4566666666666599</v>
      </c>
      <c r="F734" s="1">
        <v>2.5</v>
      </c>
      <c r="G734" s="1">
        <v>3.2</v>
      </c>
      <c r="H734" s="1">
        <v>5.8</v>
      </c>
    </row>
    <row r="735" spans="1:8">
      <c r="A735" t="s">
        <v>2856</v>
      </c>
      <c r="B735" s="1">
        <v>2.5266666666666602</v>
      </c>
      <c r="C735" s="1">
        <v>2.8366666666666598</v>
      </c>
      <c r="D735" s="1">
        <v>4.5266666666666602</v>
      </c>
      <c r="F735" s="1">
        <v>3.1</v>
      </c>
      <c r="G735" s="1">
        <v>3.8</v>
      </c>
      <c r="H735" s="1">
        <v>6.4</v>
      </c>
    </row>
    <row r="736" spans="1:8">
      <c r="A736" t="s">
        <v>2858</v>
      </c>
      <c r="B736" s="1">
        <v>2.6266666666666598</v>
      </c>
      <c r="C736" s="1">
        <v>3.0333333333333301</v>
      </c>
      <c r="D736" s="1">
        <v>4.3966666666666603</v>
      </c>
      <c r="F736" s="1">
        <v>3.3</v>
      </c>
      <c r="G736" s="1">
        <v>4.2</v>
      </c>
      <c r="H736" s="1">
        <v>7.6</v>
      </c>
    </row>
    <row r="737" spans="1:8">
      <c r="A737" t="s">
        <v>2860</v>
      </c>
      <c r="B737" s="1">
        <v>2.88</v>
      </c>
      <c r="C737" s="1">
        <v>3.7766666666666602</v>
      </c>
      <c r="D737" s="1">
        <v>5.3633333333333297</v>
      </c>
      <c r="F737" s="1">
        <v>3.7</v>
      </c>
      <c r="G737" s="1">
        <v>4.5999999999999996</v>
      </c>
      <c r="H737" s="1">
        <v>8.8000000000000007</v>
      </c>
    </row>
    <row r="738" spans="1:8">
      <c r="A738" t="s">
        <v>2862</v>
      </c>
      <c r="B738" s="1">
        <v>3.1666666666666599</v>
      </c>
      <c r="C738" s="1">
        <v>4.14333333333333</v>
      </c>
      <c r="D738" s="1">
        <v>5.1399999999999899</v>
      </c>
      <c r="F738" s="1">
        <v>4.2</v>
      </c>
      <c r="G738" s="1">
        <v>5.2</v>
      </c>
      <c r="H738" s="1">
        <v>9.4</v>
      </c>
    </row>
    <row r="739" spans="1:8">
      <c r="A739" t="s">
        <v>2864</v>
      </c>
      <c r="B739" s="1">
        <v>1.9833333333333301</v>
      </c>
      <c r="C739" s="1">
        <v>3.27999999999999</v>
      </c>
      <c r="D739" s="1">
        <v>4.7</v>
      </c>
      <c r="F739" s="1">
        <v>3.8</v>
      </c>
      <c r="G739" s="1">
        <v>5.3</v>
      </c>
      <c r="H739" s="1">
        <v>11.9</v>
      </c>
    </row>
    <row r="740" spans="1:8">
      <c r="A740" t="s">
        <v>2866</v>
      </c>
      <c r="B740" s="1">
        <v>1.7166666666666599</v>
      </c>
      <c r="C740" s="1">
        <v>2.6533333333333302</v>
      </c>
      <c r="D740" s="1">
        <v>3.69</v>
      </c>
      <c r="F740" s="1">
        <v>2.2999999999999998</v>
      </c>
      <c r="G740" s="1">
        <v>3.6</v>
      </c>
      <c r="H740" s="1">
        <v>9.5</v>
      </c>
    </row>
    <row r="741" spans="1:8">
      <c r="A741" t="s">
        <v>2868</v>
      </c>
      <c r="B741" s="1">
        <v>1.78666666666666</v>
      </c>
      <c r="C741" s="1">
        <v>2.3866666666666601</v>
      </c>
      <c r="D741" s="1">
        <v>4.5933333333333302</v>
      </c>
      <c r="F741" s="1">
        <v>1.8</v>
      </c>
      <c r="G741" s="1">
        <v>3.2</v>
      </c>
      <c r="H741" s="1">
        <v>8.6999999999999993</v>
      </c>
    </row>
    <row r="742" spans="1:8">
      <c r="A742" t="s">
        <v>2869</v>
      </c>
      <c r="B742" s="1">
        <v>1.7166666666666599</v>
      </c>
      <c r="C742" s="1">
        <v>2.6133333333333302</v>
      </c>
      <c r="D742" s="1">
        <v>3.6899999999999902</v>
      </c>
      <c r="F742" s="1">
        <v>1.6</v>
      </c>
      <c r="G742" s="1">
        <v>3.3</v>
      </c>
      <c r="H742" s="1">
        <v>11.6</v>
      </c>
    </row>
    <row r="743" spans="1:8">
      <c r="A743" t="s">
        <v>2871</v>
      </c>
      <c r="B743" s="1">
        <v>2.4866666666666601</v>
      </c>
      <c r="C743" s="1">
        <v>3.6566666666666601</v>
      </c>
      <c r="D743" s="1">
        <v>4.8566666666666602</v>
      </c>
      <c r="F743" s="1">
        <v>1.9</v>
      </c>
      <c r="G743" s="1">
        <v>3.5</v>
      </c>
      <c r="H743" s="1">
        <v>9.5</v>
      </c>
    </row>
    <row r="744" spans="1:8">
      <c r="A744" t="s">
        <v>2873</v>
      </c>
      <c r="B744" s="1">
        <v>2.3199999999999998</v>
      </c>
      <c r="C744" s="1">
        <v>3.49</v>
      </c>
      <c r="D744" s="1">
        <v>6.2333333333333298</v>
      </c>
      <c r="F744" s="1">
        <v>2.1</v>
      </c>
      <c r="G744" s="1">
        <v>3.7</v>
      </c>
      <c r="H744" s="1">
        <v>8.8000000000000007</v>
      </c>
    </row>
    <row r="745" spans="1:8">
      <c r="A745" t="s">
        <v>2875</v>
      </c>
      <c r="B745" s="1">
        <v>2.6133333333333302</v>
      </c>
      <c r="C745" s="1">
        <v>3.53666666666666</v>
      </c>
      <c r="D745" s="1">
        <v>5.57666666666666</v>
      </c>
      <c r="F745" s="1">
        <v>2.1</v>
      </c>
      <c r="G745" s="1">
        <v>3.8</v>
      </c>
      <c r="H745" s="1">
        <v>9.4</v>
      </c>
    </row>
    <row r="746" spans="1:8">
      <c r="A746" t="s">
        <v>2877</v>
      </c>
      <c r="B746" s="1">
        <v>3.3333333333333299</v>
      </c>
      <c r="C746" s="1">
        <v>4.96999999999999</v>
      </c>
      <c r="D746" s="1">
        <v>9.6233333333333295</v>
      </c>
      <c r="F746" s="1">
        <v>2.5</v>
      </c>
      <c r="G746" s="1">
        <v>4.5</v>
      </c>
      <c r="H746" s="1">
        <v>10</v>
      </c>
    </row>
    <row r="747" spans="1:8">
      <c r="A747" t="s">
        <v>2879</v>
      </c>
      <c r="B747" s="1">
        <v>3.6033333333333299</v>
      </c>
      <c r="C747" s="1">
        <v>5.9999999999999902</v>
      </c>
      <c r="D747" s="1">
        <v>11.08</v>
      </c>
      <c r="F747" s="1">
        <v>3.1</v>
      </c>
      <c r="G747" s="1">
        <v>5.5</v>
      </c>
      <c r="H747" s="1">
        <v>12.4</v>
      </c>
    </row>
    <row r="748" spans="1:8">
      <c r="A748" t="s">
        <v>2881</v>
      </c>
      <c r="B748" s="1">
        <v>4.2366666666666601</v>
      </c>
      <c r="C748" s="1">
        <v>5.83</v>
      </c>
      <c r="D748" s="1">
        <v>12.37</v>
      </c>
      <c r="F748" s="1">
        <v>3.7</v>
      </c>
      <c r="G748" s="1">
        <v>6.5</v>
      </c>
      <c r="H748" s="1">
        <v>15.3</v>
      </c>
    </row>
    <row r="749" spans="1:8">
      <c r="A749" t="s">
        <v>2883</v>
      </c>
      <c r="B749" s="1">
        <v>4.36666666666666</v>
      </c>
      <c r="C749" s="1">
        <v>6.2733333333333299</v>
      </c>
      <c r="D749" s="1">
        <v>11.79</v>
      </c>
      <c r="F749" s="1">
        <v>3.8</v>
      </c>
      <c r="G749" s="1">
        <v>6.7</v>
      </c>
      <c r="H749" s="1">
        <v>15.2</v>
      </c>
    </row>
    <row r="750" spans="1:8">
      <c r="A750" t="s">
        <v>2885</v>
      </c>
      <c r="B750" s="1">
        <v>3.2433333333333301</v>
      </c>
      <c r="C750" s="1">
        <v>6.11</v>
      </c>
      <c r="D750" s="1">
        <v>9.16</v>
      </c>
      <c r="F750" s="1">
        <v>3.3</v>
      </c>
      <c r="G750" s="1">
        <v>6.5</v>
      </c>
      <c r="H750" s="1">
        <v>14.2</v>
      </c>
    </row>
    <row r="751" spans="1:8">
      <c r="A751" t="s">
        <v>2887</v>
      </c>
      <c r="B751" s="1">
        <v>2.56</v>
      </c>
      <c r="C751" s="1">
        <v>3.68333333333333</v>
      </c>
      <c r="D751" s="1">
        <v>8.1233333333333295</v>
      </c>
      <c r="F751" s="1">
        <v>2.4</v>
      </c>
      <c r="G751" s="1">
        <v>5.6</v>
      </c>
      <c r="H751" s="1">
        <v>13.5</v>
      </c>
    </row>
    <row r="752" spans="1:8">
      <c r="A752" t="s">
        <v>2889</v>
      </c>
      <c r="B752" s="1">
        <v>2.4866666666666601</v>
      </c>
      <c r="C752" s="1">
        <v>3.7966666666666602</v>
      </c>
      <c r="D752" s="1">
        <v>9.8966666666666594</v>
      </c>
      <c r="F752" s="1">
        <v>2</v>
      </c>
      <c r="G752" s="1">
        <v>4.8</v>
      </c>
      <c r="H752" s="1">
        <v>11.3</v>
      </c>
    </row>
    <row r="753" spans="1:8">
      <c r="A753" t="s">
        <v>2891</v>
      </c>
      <c r="B753" s="1">
        <v>2.86666666666666</v>
      </c>
      <c r="C753" s="1">
        <v>4.3866666666666596</v>
      </c>
      <c r="D753" s="1">
        <v>9.9666666666666597</v>
      </c>
      <c r="F753" s="1">
        <v>1.9</v>
      </c>
      <c r="G753" s="1">
        <v>4.5999999999999996</v>
      </c>
      <c r="H753" s="1">
        <v>11.7</v>
      </c>
    </row>
    <row r="754" spans="1:8">
      <c r="A754" t="s">
        <v>2892</v>
      </c>
      <c r="B754" s="1">
        <v>2.38</v>
      </c>
      <c r="C754" s="1">
        <v>3.5833333333333299</v>
      </c>
      <c r="D754" s="1">
        <v>6.1566666666666601</v>
      </c>
      <c r="F754" s="1">
        <v>2</v>
      </c>
      <c r="G754" s="1">
        <v>4.4000000000000004</v>
      </c>
      <c r="H754" s="1">
        <v>11.2</v>
      </c>
    </row>
    <row r="755" spans="1:8">
      <c r="A755" t="s">
        <v>2894</v>
      </c>
      <c r="B755" s="1">
        <v>2.2599999999999998</v>
      </c>
      <c r="C755" s="1">
        <v>3.5599999999999898</v>
      </c>
      <c r="D755" s="1">
        <v>6.0633333333333299</v>
      </c>
      <c r="F755" s="1">
        <v>2.1</v>
      </c>
      <c r="G755" s="1">
        <v>4.5999999999999996</v>
      </c>
      <c r="H755" s="1">
        <v>12.3</v>
      </c>
    </row>
    <row r="756" spans="1:8">
      <c r="A756" t="s">
        <v>2896</v>
      </c>
      <c r="B756" s="1">
        <v>2.7166666666666601</v>
      </c>
      <c r="C756" s="1">
        <v>4.0733333333333297</v>
      </c>
      <c r="D756" s="1">
        <v>7.1799999999999899</v>
      </c>
      <c r="F756" s="1">
        <v>1.9</v>
      </c>
      <c r="G756" s="1">
        <v>4.3</v>
      </c>
      <c r="H756" s="1">
        <v>10.4</v>
      </c>
    </row>
    <row r="757" spans="1:8">
      <c r="A757" t="s">
        <v>2897</v>
      </c>
      <c r="B757" s="1">
        <v>2.2599999999999998</v>
      </c>
      <c r="C757" s="1">
        <v>3.2433333333333301</v>
      </c>
      <c r="D757" s="1">
        <v>4.7966666666666598</v>
      </c>
      <c r="F757" s="1">
        <v>1.8</v>
      </c>
      <c r="G757" s="1">
        <v>4.3</v>
      </c>
      <c r="H757" s="1">
        <v>10.8</v>
      </c>
    </row>
    <row r="758" spans="1:8">
      <c r="A758" t="s">
        <v>2899</v>
      </c>
      <c r="B758" s="1">
        <v>2.4066666666666601</v>
      </c>
      <c r="C758" s="1">
        <v>3.75</v>
      </c>
      <c r="D758" s="1">
        <v>5.9466666666666601</v>
      </c>
      <c r="F758" s="1">
        <v>1.7</v>
      </c>
      <c r="G758" s="1">
        <v>4.4000000000000004</v>
      </c>
      <c r="H758" s="1">
        <v>11.7</v>
      </c>
    </row>
    <row r="759" spans="1:8">
      <c r="A759" t="s">
        <v>2900</v>
      </c>
      <c r="B759" s="1">
        <v>1.72999999999999</v>
      </c>
      <c r="C759" s="1">
        <v>2.9266666666666601</v>
      </c>
      <c r="D759" s="1">
        <v>3.5499999999999901</v>
      </c>
      <c r="F759" s="1">
        <v>1.9</v>
      </c>
      <c r="G759" s="1">
        <v>4.5999999999999996</v>
      </c>
      <c r="H759" s="1">
        <v>11.4</v>
      </c>
    </row>
    <row r="760" spans="1:8">
      <c r="A760" t="s">
        <v>2901</v>
      </c>
      <c r="B760" s="1">
        <v>1.84</v>
      </c>
      <c r="C760" s="1">
        <v>2.8433333333333302</v>
      </c>
      <c r="D760" s="1">
        <v>5.5433333333333303</v>
      </c>
      <c r="F760" s="1">
        <v>1.7</v>
      </c>
      <c r="G760" s="1">
        <v>4.3</v>
      </c>
      <c r="H760" s="1">
        <v>10.199999999999999</v>
      </c>
    </row>
    <row r="761" spans="1:8">
      <c r="A761" t="s">
        <v>2902</v>
      </c>
      <c r="B761" s="1">
        <v>1.73</v>
      </c>
      <c r="C761" s="1">
        <v>2.2599999999999998</v>
      </c>
      <c r="D761" s="1">
        <v>4.6999999999999904</v>
      </c>
      <c r="F761" s="1">
        <v>1.6</v>
      </c>
      <c r="G761" s="1">
        <v>4</v>
      </c>
      <c r="H761" s="1">
        <v>9.1999999999999993</v>
      </c>
    </row>
    <row r="762" spans="1:8">
      <c r="A762" t="s">
        <v>2904</v>
      </c>
      <c r="B762" s="1">
        <v>1.81666666666666</v>
      </c>
      <c r="C762" s="1">
        <v>2.5666666666666602</v>
      </c>
      <c r="D762" s="1">
        <v>4.6299999999999901</v>
      </c>
      <c r="F762" s="1">
        <v>1.6</v>
      </c>
      <c r="G762" s="1">
        <v>3.9</v>
      </c>
      <c r="H762" s="1">
        <v>9.4</v>
      </c>
    </row>
    <row r="763" spans="1:8">
      <c r="A763" t="s">
        <v>2906</v>
      </c>
      <c r="B763" s="1">
        <v>2.1800000000000002</v>
      </c>
      <c r="C763" s="1">
        <v>2.9266666666666601</v>
      </c>
      <c r="D763" s="1">
        <v>5.0333333333333297</v>
      </c>
      <c r="F763" s="1">
        <v>1.5</v>
      </c>
      <c r="G763" s="1">
        <v>3.8</v>
      </c>
      <c r="H763" s="1">
        <v>9.1</v>
      </c>
    </row>
    <row r="764" spans="1:8">
      <c r="A764" t="s">
        <v>2907</v>
      </c>
      <c r="B764" s="1">
        <v>1.88</v>
      </c>
      <c r="C764" s="1">
        <v>2.2733333333333299</v>
      </c>
      <c r="D764" s="1">
        <v>4.6366666666666596</v>
      </c>
      <c r="F764" s="1">
        <v>1.6</v>
      </c>
      <c r="G764" s="1">
        <v>3.8</v>
      </c>
      <c r="H764" s="1">
        <v>9.3000000000000007</v>
      </c>
    </row>
    <row r="765" spans="1:8">
      <c r="A765" t="s">
        <v>2909</v>
      </c>
      <c r="B765" s="1">
        <v>2.2733333333333299</v>
      </c>
      <c r="C765" s="1">
        <v>3.28666666666666</v>
      </c>
      <c r="D765" s="1">
        <v>7.54</v>
      </c>
      <c r="F765" s="1">
        <v>1.6</v>
      </c>
      <c r="G765" s="1">
        <v>4</v>
      </c>
      <c r="H765" s="1">
        <v>9.4</v>
      </c>
    </row>
    <row r="766" spans="1:8">
      <c r="A766" t="s">
        <v>2911</v>
      </c>
      <c r="B766" s="1">
        <v>3.03666666666666</v>
      </c>
      <c r="C766" s="1">
        <v>4.37</v>
      </c>
      <c r="D766" s="1">
        <v>8.6233333333333295</v>
      </c>
      <c r="F766" s="1">
        <v>2</v>
      </c>
      <c r="G766" s="1">
        <v>5.3</v>
      </c>
      <c r="H766" s="1">
        <v>14.9</v>
      </c>
    </row>
    <row r="767" spans="1:8">
      <c r="A767" t="s">
        <v>2913</v>
      </c>
      <c r="B767" s="1">
        <v>3.9766666666666599</v>
      </c>
      <c r="C767" s="1">
        <v>6.5999999999999899</v>
      </c>
      <c r="D767" s="1">
        <v>13.74</v>
      </c>
      <c r="F767" s="1">
        <v>2.5</v>
      </c>
      <c r="G767" s="1">
        <v>6.2</v>
      </c>
      <c r="H767" s="1">
        <v>15.4</v>
      </c>
    </row>
    <row r="768" spans="1:8">
      <c r="A768" t="s">
        <v>2914</v>
      </c>
      <c r="B768" s="1">
        <v>4.9733333333333301</v>
      </c>
      <c r="C768" s="1">
        <v>6.8966666666666603</v>
      </c>
      <c r="D768" s="1">
        <v>12.703333333333299</v>
      </c>
      <c r="F768" s="1">
        <v>2.9</v>
      </c>
      <c r="G768" s="1">
        <v>6.9</v>
      </c>
      <c r="H768" s="1">
        <v>14.9</v>
      </c>
    </row>
    <row r="769" spans="1:8">
      <c r="A769" t="s">
        <v>2916</v>
      </c>
      <c r="B769" s="1">
        <v>4.6466666666666603</v>
      </c>
      <c r="C769" s="1">
        <v>7.1866666666666603</v>
      </c>
      <c r="D769" s="1">
        <v>17.279999999999902</v>
      </c>
      <c r="F769" s="1">
        <v>3.1</v>
      </c>
      <c r="G769" s="1">
        <v>7.3</v>
      </c>
      <c r="H769" s="1">
        <v>16.100000000000001</v>
      </c>
    </row>
    <row r="770" spans="1:8">
      <c r="A770" t="s">
        <v>2917</v>
      </c>
      <c r="B770" s="1">
        <v>5.25</v>
      </c>
      <c r="C770" s="1">
        <v>8.7566666666666606</v>
      </c>
      <c r="D770" s="1">
        <v>16.079999999999998</v>
      </c>
      <c r="F770" s="1">
        <v>3</v>
      </c>
      <c r="G770" s="1">
        <v>7.2</v>
      </c>
      <c r="H770" s="1">
        <v>15.6</v>
      </c>
    </row>
    <row r="771" spans="1:8">
      <c r="A771" t="s">
        <v>2919</v>
      </c>
      <c r="B771" s="1">
        <v>5.1266666666666598</v>
      </c>
      <c r="C771" s="1">
        <v>7.9466666666666601</v>
      </c>
      <c r="D771" s="1">
        <v>15.143333333333301</v>
      </c>
      <c r="F771" s="1">
        <v>3</v>
      </c>
      <c r="G771" s="1">
        <v>6.9</v>
      </c>
      <c r="H771" s="1">
        <v>14.5</v>
      </c>
    </row>
    <row r="772" spans="1:8">
      <c r="A772" t="s">
        <v>2920</v>
      </c>
      <c r="B772" s="1">
        <v>5.43333333333333</v>
      </c>
      <c r="C772" s="1">
        <v>8.9600000000000009</v>
      </c>
      <c r="D772" s="1">
        <v>15.2633333333333</v>
      </c>
      <c r="F772" s="1">
        <v>3</v>
      </c>
      <c r="G772" s="1">
        <v>6.7</v>
      </c>
      <c r="H772" s="1">
        <v>13</v>
      </c>
    </row>
    <row r="773" spans="1:8">
      <c r="A773" t="s">
        <v>2921</v>
      </c>
      <c r="B773" s="1">
        <v>5.1966666666666601</v>
      </c>
      <c r="C773" s="1">
        <v>8.6433333333333202</v>
      </c>
      <c r="D773" s="1">
        <v>19.856666666666602</v>
      </c>
      <c r="F773" s="1">
        <v>3.1</v>
      </c>
      <c r="G773" s="1">
        <v>7</v>
      </c>
      <c r="H773" s="1">
        <v>14</v>
      </c>
    </row>
    <row r="774" spans="1:8">
      <c r="A774" t="s">
        <v>2923</v>
      </c>
      <c r="B774" s="1">
        <v>5.4866666666666601</v>
      </c>
      <c r="C774" s="1">
        <v>9.32</v>
      </c>
      <c r="D774" s="1">
        <v>18.8266666666666</v>
      </c>
      <c r="F774" s="1">
        <v>3</v>
      </c>
      <c r="G774" s="1">
        <v>6.9</v>
      </c>
      <c r="H774" s="1">
        <v>13.5</v>
      </c>
    </row>
    <row r="775" spans="1:8">
      <c r="A775" t="s">
        <v>2925</v>
      </c>
      <c r="B775" s="1">
        <v>5.1033333333333299</v>
      </c>
      <c r="C775" s="1">
        <v>8.6666666666666607</v>
      </c>
      <c r="D775" s="1">
        <v>18.63</v>
      </c>
      <c r="F775" s="1">
        <v>3</v>
      </c>
      <c r="G775" s="1">
        <v>6.7</v>
      </c>
      <c r="H775" s="1">
        <v>13.5</v>
      </c>
    </row>
    <row r="776" spans="1:8">
      <c r="A776" t="s">
        <v>2927</v>
      </c>
      <c r="B776" s="1">
        <v>5.77</v>
      </c>
      <c r="C776" s="1">
        <v>8.9833333333333307</v>
      </c>
      <c r="D776" s="1">
        <v>16.3333333333333</v>
      </c>
      <c r="F776" s="1">
        <v>3.2</v>
      </c>
      <c r="G776" s="1">
        <v>7.2</v>
      </c>
      <c r="H776" s="1">
        <v>16.899999999999999</v>
      </c>
    </row>
    <row r="777" spans="1:8">
      <c r="A777" t="s">
        <v>2928</v>
      </c>
      <c r="B777" s="1">
        <v>5.0166666666666604</v>
      </c>
      <c r="C777" s="1">
        <v>8.3966666666666594</v>
      </c>
      <c r="D777" s="1">
        <v>18.573333333333299</v>
      </c>
      <c r="F777" s="1">
        <v>3.7</v>
      </c>
      <c r="G777" s="1">
        <v>7.9</v>
      </c>
      <c r="H777" s="1">
        <v>17.899999999999999</v>
      </c>
    </row>
    <row r="778" spans="1:8">
      <c r="A778" t="s">
        <v>2929</v>
      </c>
      <c r="B778" s="1">
        <v>4.7033333333333296</v>
      </c>
      <c r="C778" s="1">
        <v>7.2933333333333303</v>
      </c>
      <c r="D778" s="1">
        <v>13.1066666666666</v>
      </c>
      <c r="F778" s="1">
        <v>3.4</v>
      </c>
      <c r="G778" s="1">
        <v>7.3</v>
      </c>
      <c r="H778" s="1">
        <v>15.9</v>
      </c>
    </row>
    <row r="779" spans="1:8">
      <c r="A779" t="s">
        <v>2931</v>
      </c>
      <c r="B779" s="1">
        <v>4.6266666666666598</v>
      </c>
      <c r="C779" s="1">
        <v>7.2333333333333298</v>
      </c>
      <c r="D779" s="1">
        <v>12.7766666666666</v>
      </c>
      <c r="F779" s="1">
        <v>3.6</v>
      </c>
      <c r="G779" s="1">
        <v>7.4</v>
      </c>
      <c r="H779" s="1">
        <v>15.3</v>
      </c>
    </row>
    <row r="780" spans="1:8">
      <c r="A780" t="s">
        <v>2933</v>
      </c>
      <c r="B780" s="1">
        <v>4.2066666666666599</v>
      </c>
      <c r="C780" s="1">
        <v>6.7133333333333303</v>
      </c>
      <c r="D780" s="1">
        <v>12.313333333333301</v>
      </c>
      <c r="F780" s="1">
        <v>4.3</v>
      </c>
      <c r="G780" s="1">
        <v>7.7</v>
      </c>
      <c r="H780" s="1">
        <v>14.3</v>
      </c>
    </row>
    <row r="781" spans="1:8">
      <c r="A781" t="s">
        <v>2935</v>
      </c>
      <c r="B781" s="1">
        <v>4.7833333333333297</v>
      </c>
      <c r="C781" s="1">
        <v>8.4266666666666605</v>
      </c>
      <c r="D781" s="1">
        <v>16.266666666666602</v>
      </c>
      <c r="F781" s="1">
        <v>3.9</v>
      </c>
      <c r="G781" s="1">
        <v>7.1</v>
      </c>
      <c r="H781" s="1">
        <v>13.9</v>
      </c>
    </row>
    <row r="782" spans="1:8">
      <c r="A782" t="s">
        <v>2937</v>
      </c>
      <c r="B782" s="1">
        <v>3.98</v>
      </c>
      <c r="C782" s="1">
        <v>5.9866666666666601</v>
      </c>
      <c r="D782" s="1">
        <v>14.3599999999999</v>
      </c>
      <c r="F782" s="1">
        <v>3.5</v>
      </c>
      <c r="G782" s="1">
        <v>6.5</v>
      </c>
      <c r="H782" s="1">
        <v>12</v>
      </c>
    </row>
    <row r="783" spans="1:8">
      <c r="A783" t="s">
        <v>2939</v>
      </c>
      <c r="B783" s="1">
        <v>3.5233333333333299</v>
      </c>
      <c r="C783" s="1">
        <v>6.0799999999999903</v>
      </c>
      <c r="D783" s="1">
        <v>10.53</v>
      </c>
      <c r="F783" s="1">
        <v>2.9</v>
      </c>
      <c r="G783" s="1">
        <v>5.9</v>
      </c>
      <c r="H783" s="1">
        <v>12.5</v>
      </c>
    </row>
    <row r="784" spans="1:8">
      <c r="A784" t="s">
        <v>2940</v>
      </c>
      <c r="B784" s="1">
        <v>5.14333333333333</v>
      </c>
      <c r="C784" s="1">
        <v>7.9833333333333298</v>
      </c>
      <c r="D784" s="1">
        <v>15.7466666666666</v>
      </c>
      <c r="F784" s="1">
        <v>3.4</v>
      </c>
      <c r="G784" s="1">
        <v>6.4</v>
      </c>
      <c r="H784" s="1">
        <v>12.5</v>
      </c>
    </row>
    <row r="785" spans="1:8">
      <c r="A785" t="s">
        <v>2941</v>
      </c>
      <c r="B785" s="1">
        <v>4.1933333333333298</v>
      </c>
      <c r="C785" s="1">
        <v>6.1233333333333304</v>
      </c>
      <c r="D785" s="1">
        <v>9.34</v>
      </c>
      <c r="F785" s="1">
        <v>3.6</v>
      </c>
      <c r="G785" s="1">
        <v>6.9</v>
      </c>
      <c r="H785" s="1">
        <v>13.9</v>
      </c>
    </row>
    <row r="786" spans="1:8">
      <c r="A786" t="s">
        <v>2943</v>
      </c>
      <c r="B786" s="1">
        <v>5.35</v>
      </c>
      <c r="C786" s="1">
        <v>8.3366666666666607</v>
      </c>
      <c r="D786" s="1">
        <v>14.1866666666666</v>
      </c>
      <c r="F786" s="1">
        <v>3.6</v>
      </c>
      <c r="G786" s="1">
        <v>6.8</v>
      </c>
      <c r="H786" s="1">
        <v>14</v>
      </c>
    </row>
    <row r="787" spans="1:8">
      <c r="A787" t="s">
        <v>2945</v>
      </c>
      <c r="B787" s="1">
        <v>3.6933333333333298</v>
      </c>
      <c r="C787" s="1">
        <v>6.4133333333333304</v>
      </c>
      <c r="D787" s="1">
        <v>13.2766666666666</v>
      </c>
      <c r="F787" s="1">
        <v>3.7</v>
      </c>
      <c r="G787" s="1">
        <v>6.6</v>
      </c>
      <c r="H787" s="1">
        <v>12.6</v>
      </c>
    </row>
    <row r="788" spans="1:8">
      <c r="A788" t="s">
        <v>2947</v>
      </c>
      <c r="B788" s="1">
        <v>3.9433333333333298</v>
      </c>
      <c r="C788" s="1">
        <v>6.4966666666666599</v>
      </c>
      <c r="D788" s="1">
        <v>11.7466666666666</v>
      </c>
      <c r="F788" s="1">
        <v>2.5</v>
      </c>
      <c r="G788" s="1">
        <v>4.8</v>
      </c>
      <c r="H788" s="1">
        <v>8.5</v>
      </c>
    </row>
    <row r="789" spans="1:8">
      <c r="A789" t="s">
        <v>2948</v>
      </c>
      <c r="B789" s="1">
        <v>4.24</v>
      </c>
      <c r="C789" s="1">
        <v>6.4166666666666599</v>
      </c>
      <c r="D789" s="1">
        <v>13.63</v>
      </c>
      <c r="F789" s="1">
        <v>2.6</v>
      </c>
      <c r="G789" s="1">
        <v>5.3</v>
      </c>
      <c r="H789" s="1">
        <v>11.2</v>
      </c>
    </row>
    <row r="790" spans="1:8">
      <c r="A790" t="s">
        <v>2949</v>
      </c>
      <c r="B790" s="1">
        <v>3.78</v>
      </c>
      <c r="C790" s="1">
        <v>6.07666666666666</v>
      </c>
      <c r="D790" s="1">
        <v>11.5733333333333</v>
      </c>
      <c r="F790" s="1">
        <v>2.6</v>
      </c>
      <c r="G790" s="1">
        <v>5.6</v>
      </c>
      <c r="H790" s="1">
        <v>11.5</v>
      </c>
    </row>
    <row r="791" spans="1:8">
      <c r="A791" t="s">
        <v>2951</v>
      </c>
      <c r="B791" s="1">
        <v>3.9733333333333301</v>
      </c>
      <c r="C791" s="1">
        <v>7.2499999999999902</v>
      </c>
      <c r="D791" s="1">
        <v>12.486666666666601</v>
      </c>
      <c r="F791" s="1">
        <v>2.4</v>
      </c>
      <c r="G791" s="1">
        <v>5.2</v>
      </c>
      <c r="H791" s="1">
        <v>11.6</v>
      </c>
    </row>
    <row r="792" spans="1:8">
      <c r="A792" t="s">
        <v>2953</v>
      </c>
      <c r="B792" s="1">
        <v>3.78</v>
      </c>
      <c r="C792" s="1">
        <v>6.3566666666666602</v>
      </c>
      <c r="D792" s="1">
        <v>14.409999999999901</v>
      </c>
      <c r="F792" s="1">
        <v>2.2000000000000002</v>
      </c>
      <c r="G792" s="1">
        <v>4.9000000000000004</v>
      </c>
      <c r="H792" s="1">
        <v>10.3</v>
      </c>
    </row>
    <row r="793" spans="1:8">
      <c r="A793" t="s">
        <v>2954</v>
      </c>
      <c r="B793" s="1">
        <v>3.20333333333333</v>
      </c>
      <c r="C793" s="1">
        <v>4.93333333333333</v>
      </c>
      <c r="D793" s="1">
        <v>12.2666666666666</v>
      </c>
      <c r="F793" s="1">
        <v>2</v>
      </c>
      <c r="G793" s="1">
        <v>4.7</v>
      </c>
      <c r="H793" s="1">
        <v>10.199999999999999</v>
      </c>
    </row>
    <row r="794" spans="1:8">
      <c r="A794" t="s">
        <v>2955</v>
      </c>
      <c r="B794" s="1">
        <v>3.7166666666666601</v>
      </c>
      <c r="C794" s="1">
        <v>6.58</v>
      </c>
      <c r="D794" s="1">
        <v>12.9966666666666</v>
      </c>
      <c r="F794" s="1">
        <v>1.9</v>
      </c>
      <c r="G794" s="1">
        <v>4.5</v>
      </c>
      <c r="H794" s="1">
        <v>10.5</v>
      </c>
    </row>
    <row r="795" spans="1:8">
      <c r="A795" t="s">
        <v>2956</v>
      </c>
      <c r="B795" s="1">
        <v>3.1499999999999901</v>
      </c>
      <c r="C795" s="1">
        <v>4.68333333333333</v>
      </c>
      <c r="D795" s="1">
        <v>8.64</v>
      </c>
      <c r="F795" s="1">
        <v>1.9</v>
      </c>
      <c r="G795" s="1">
        <v>4.4000000000000004</v>
      </c>
      <c r="H795" s="1">
        <v>10.199999999999999</v>
      </c>
    </row>
    <row r="796" spans="1:8">
      <c r="A796" t="s">
        <v>2957</v>
      </c>
      <c r="B796" s="1">
        <v>3.4733333333333301</v>
      </c>
      <c r="C796" s="1">
        <v>5.7066666666666599</v>
      </c>
      <c r="D796" s="1">
        <v>11.0366666666666</v>
      </c>
      <c r="F796" s="1">
        <v>2</v>
      </c>
      <c r="G796" s="1">
        <v>4.4000000000000004</v>
      </c>
      <c r="H796" s="1">
        <v>8.6</v>
      </c>
    </row>
    <row r="797" spans="1:8">
      <c r="A797" t="s">
        <v>2958</v>
      </c>
      <c r="B797" s="1">
        <v>3.55</v>
      </c>
      <c r="C797" s="1">
        <v>6.03666666666666</v>
      </c>
      <c r="D797" s="1">
        <v>11.65</v>
      </c>
      <c r="F797" s="1">
        <v>2</v>
      </c>
      <c r="G797" s="1">
        <v>4.5</v>
      </c>
      <c r="H797" s="1">
        <v>9.1</v>
      </c>
    </row>
    <row r="798" spans="1:8">
      <c r="A798" t="s">
        <v>2959</v>
      </c>
      <c r="B798" s="1">
        <v>3.46</v>
      </c>
      <c r="C798" s="1">
        <v>5.9833333333333298</v>
      </c>
      <c r="D798" s="1">
        <v>12.1966666666666</v>
      </c>
      <c r="F798" s="1">
        <v>2.1</v>
      </c>
      <c r="G798" s="1">
        <v>4.8</v>
      </c>
      <c r="H798" s="1">
        <v>10.1</v>
      </c>
    </row>
    <row r="799" spans="1:8">
      <c r="A799" t="s">
        <v>2961</v>
      </c>
      <c r="B799" s="1">
        <v>4.13</v>
      </c>
      <c r="C799" s="1">
        <v>6.4366666666666603</v>
      </c>
      <c r="D799" s="1">
        <v>12.156666666666601</v>
      </c>
      <c r="F799" s="1">
        <v>2.4</v>
      </c>
      <c r="G799" s="1">
        <v>5.3</v>
      </c>
      <c r="H799" s="1">
        <v>11.2</v>
      </c>
    </row>
    <row r="800" spans="1:8">
      <c r="A800" t="s">
        <v>2962</v>
      </c>
      <c r="B800" s="1">
        <v>3.78</v>
      </c>
      <c r="C800" s="1">
        <v>6.39</v>
      </c>
      <c r="D800" s="1">
        <v>10.8433333333333</v>
      </c>
      <c r="F800" s="1">
        <v>2.8</v>
      </c>
      <c r="G800" s="1">
        <v>5.8</v>
      </c>
      <c r="H800" s="1">
        <v>12.2</v>
      </c>
    </row>
    <row r="801" spans="1:8">
      <c r="A801" t="s">
        <v>2963</v>
      </c>
      <c r="B801" s="1">
        <v>3.7433333333333301</v>
      </c>
      <c r="C801" s="1">
        <v>6.54</v>
      </c>
      <c r="D801" s="1">
        <v>12.6133333333333</v>
      </c>
      <c r="F801" s="1">
        <v>2.8</v>
      </c>
      <c r="G801" s="1">
        <v>5.7</v>
      </c>
      <c r="H801" s="1">
        <v>12</v>
      </c>
    </row>
    <row r="802" spans="1:8">
      <c r="A802" t="s">
        <v>2965</v>
      </c>
      <c r="B802" s="1">
        <v>4.43</v>
      </c>
      <c r="C802" s="1">
        <v>7.71999999999999</v>
      </c>
      <c r="D802" s="1">
        <v>16.133333333333301</v>
      </c>
      <c r="F802" s="1">
        <v>2.2000000000000002</v>
      </c>
      <c r="G802" s="1">
        <v>4.5999999999999996</v>
      </c>
      <c r="H802" s="1">
        <v>9.1999999999999993</v>
      </c>
    </row>
    <row r="803" spans="1:8">
      <c r="A803" t="s">
        <v>2967</v>
      </c>
      <c r="B803" s="1">
        <v>4.1466666666666603</v>
      </c>
      <c r="C803" s="1">
        <v>6.3366666666666598</v>
      </c>
      <c r="D803" s="1">
        <v>13.066666666666601</v>
      </c>
      <c r="F803" s="1">
        <v>2.4</v>
      </c>
      <c r="G803" s="1">
        <v>5</v>
      </c>
      <c r="H803" s="1">
        <v>9.1999999999999993</v>
      </c>
    </row>
    <row r="804" spans="1:8">
      <c r="A804" t="s">
        <v>2968</v>
      </c>
      <c r="B804" s="1">
        <v>3.8833333333333302</v>
      </c>
      <c r="C804" s="1">
        <v>6.3799999999999901</v>
      </c>
      <c r="D804" s="1">
        <v>13.296666666666599</v>
      </c>
      <c r="F804" s="1">
        <v>2.5</v>
      </c>
      <c r="G804" s="1">
        <v>5.3</v>
      </c>
      <c r="H804" s="1">
        <v>10.9</v>
      </c>
    </row>
    <row r="805" spans="1:8">
      <c r="A805" t="s">
        <v>2970</v>
      </c>
      <c r="B805" s="1">
        <v>3.6966666666666601</v>
      </c>
      <c r="C805" s="1">
        <v>6.1966666666666601</v>
      </c>
      <c r="D805" s="1">
        <v>13.6666666666666</v>
      </c>
      <c r="F805" s="1">
        <v>2.4</v>
      </c>
      <c r="G805" s="1">
        <v>4.9000000000000004</v>
      </c>
      <c r="H805" s="1">
        <v>8.6999999999999993</v>
      </c>
    </row>
    <row r="806" spans="1:8">
      <c r="A806" t="s">
        <v>2972</v>
      </c>
      <c r="B806" s="1">
        <v>3.3566666666666598</v>
      </c>
      <c r="C806" s="1">
        <v>5.08</v>
      </c>
      <c r="D806" s="1">
        <v>10.8566666666666</v>
      </c>
      <c r="F806" s="1">
        <v>2.2000000000000002</v>
      </c>
      <c r="G806" s="1">
        <v>4.5</v>
      </c>
      <c r="H806" s="1">
        <v>8.1999999999999993</v>
      </c>
    </row>
    <row r="807" spans="1:8">
      <c r="A807" t="s">
        <v>2973</v>
      </c>
      <c r="B807" s="1">
        <v>3.2466666666666599</v>
      </c>
      <c r="C807" s="1">
        <v>3.6199999999999899</v>
      </c>
      <c r="D807" s="1">
        <v>4.9099999999999904</v>
      </c>
      <c r="F807" s="1">
        <v>2.2000000000000002</v>
      </c>
      <c r="G807" s="1">
        <v>4.4000000000000004</v>
      </c>
      <c r="H807" s="1">
        <v>7</v>
      </c>
    </row>
    <row r="808" spans="1:8">
      <c r="A808" t="s">
        <v>2975</v>
      </c>
      <c r="B808" s="1">
        <v>3.4399999999999902</v>
      </c>
      <c r="C808" s="1">
        <v>3.8366666666666598</v>
      </c>
      <c r="D808" s="1">
        <v>5.1933333333333298</v>
      </c>
      <c r="F808" s="1">
        <v>2.2000000000000002</v>
      </c>
      <c r="G808" s="1">
        <v>4.2</v>
      </c>
      <c r="H808" s="1">
        <v>6.6</v>
      </c>
    </row>
    <row r="809" spans="1:8">
      <c r="A809" t="s">
        <v>2976</v>
      </c>
      <c r="B809" s="1">
        <v>3.1933333333333298</v>
      </c>
      <c r="C809" s="1">
        <v>3.7833333333333301</v>
      </c>
      <c r="D809" s="1">
        <v>6.0533333333333301</v>
      </c>
      <c r="F809" s="1">
        <v>2</v>
      </c>
      <c r="G809" s="1">
        <v>4</v>
      </c>
      <c r="H809" s="1">
        <v>6.6</v>
      </c>
    </row>
    <row r="810" spans="1:8">
      <c r="A810" t="s">
        <v>2978</v>
      </c>
      <c r="B810" s="1">
        <v>2.88</v>
      </c>
      <c r="C810" s="1">
        <v>3.2066666666666599</v>
      </c>
      <c r="D810" s="1">
        <v>4.3466666666666596</v>
      </c>
      <c r="F810" s="1">
        <v>1.9</v>
      </c>
      <c r="G810" s="1">
        <v>3.7</v>
      </c>
      <c r="H810" s="1">
        <v>6.6</v>
      </c>
    </row>
    <row r="811" spans="1:8">
      <c r="A811" t="s">
        <v>2980</v>
      </c>
      <c r="B811" s="1">
        <v>2.9033333333333302</v>
      </c>
      <c r="C811" s="1">
        <v>3.21999999999999</v>
      </c>
      <c r="D811" s="1">
        <v>4.3766666666666598</v>
      </c>
      <c r="F811" s="1">
        <v>1.9</v>
      </c>
      <c r="G811" s="1">
        <v>3.5</v>
      </c>
      <c r="H811" s="1">
        <v>6</v>
      </c>
    </row>
    <row r="812" spans="1:8">
      <c r="A812" t="s">
        <v>2982</v>
      </c>
      <c r="B812" s="1">
        <v>2.4733333333333301</v>
      </c>
      <c r="C812" s="1">
        <v>2.7533333333333299</v>
      </c>
      <c r="D812" s="1">
        <v>3.7366666666666601</v>
      </c>
      <c r="F812" s="1">
        <v>2</v>
      </c>
      <c r="G812" s="1">
        <v>3.5</v>
      </c>
      <c r="H812" s="1">
        <v>5.3</v>
      </c>
    </row>
    <row r="813" spans="1:8">
      <c r="A813" t="s">
        <v>2984</v>
      </c>
      <c r="B813" s="1">
        <v>2.4199999999999902</v>
      </c>
      <c r="C813" s="1">
        <v>2.6933333333333298</v>
      </c>
      <c r="D813" s="1">
        <v>3.6566666666666601</v>
      </c>
      <c r="F813" s="1">
        <v>1.9</v>
      </c>
      <c r="G813" s="1">
        <v>3.9</v>
      </c>
      <c r="H813" s="1">
        <v>7.5</v>
      </c>
    </row>
    <row r="814" spans="1:8">
      <c r="A814" t="s">
        <v>2985</v>
      </c>
      <c r="B814" s="1">
        <v>2.4033333333333302</v>
      </c>
      <c r="C814" s="1">
        <v>2.6733333333333298</v>
      </c>
      <c r="D814" s="1">
        <v>3.68</v>
      </c>
      <c r="F814" s="1">
        <v>1.7</v>
      </c>
      <c r="G814" s="1">
        <v>3.4</v>
      </c>
      <c r="H814" s="1">
        <v>6</v>
      </c>
    </row>
    <row r="815" spans="1:8">
      <c r="A815" t="s">
        <v>2987</v>
      </c>
      <c r="B815" s="1">
        <v>2.14</v>
      </c>
      <c r="C815" s="1">
        <v>2.3966666666666598</v>
      </c>
      <c r="D815" s="1">
        <v>3.2333333333333298</v>
      </c>
      <c r="F815" s="1">
        <v>1.8</v>
      </c>
      <c r="G815" s="1">
        <v>2.9</v>
      </c>
      <c r="H815" s="1">
        <v>4</v>
      </c>
    </row>
    <row r="816" spans="1:8">
      <c r="A816" t="s">
        <v>2989</v>
      </c>
      <c r="B816" s="1">
        <v>2.0633333333333299</v>
      </c>
      <c r="C816" s="1">
        <v>2.28666666666666</v>
      </c>
      <c r="D816" s="1">
        <v>3.1133333333333302</v>
      </c>
      <c r="F816" s="1">
        <v>1.5</v>
      </c>
      <c r="G816" s="1">
        <v>2.5</v>
      </c>
      <c r="H816" s="1">
        <v>4.2</v>
      </c>
    </row>
    <row r="817" spans="1:8">
      <c r="A817" t="s">
        <v>2991</v>
      </c>
      <c r="B817" s="1">
        <v>1.7</v>
      </c>
      <c r="C817" s="1">
        <v>1.9</v>
      </c>
      <c r="D817" s="1">
        <v>2.57666666666666</v>
      </c>
      <c r="F817" s="1">
        <v>1.3</v>
      </c>
      <c r="G817" s="1">
        <v>2.5</v>
      </c>
      <c r="H817" s="1">
        <v>4.3</v>
      </c>
    </row>
    <row r="818" spans="1:8">
      <c r="A818" t="s">
        <v>2992</v>
      </c>
      <c r="B818" s="1">
        <v>1.86666666666666</v>
      </c>
      <c r="C818" s="1">
        <v>2.0633333333333299</v>
      </c>
      <c r="D818" s="1">
        <v>2.7999999999999901</v>
      </c>
      <c r="F818" s="1">
        <v>1.3</v>
      </c>
      <c r="G818" s="1">
        <v>2.1</v>
      </c>
      <c r="H818" s="1">
        <v>3.6</v>
      </c>
    </row>
    <row r="819" spans="1:8">
      <c r="A819" t="s">
        <v>2994</v>
      </c>
      <c r="B819" s="1">
        <v>2.17</v>
      </c>
      <c r="C819" s="1">
        <v>2.3966666666666598</v>
      </c>
      <c r="D819" s="1">
        <v>3.2633333333333301</v>
      </c>
      <c r="F819" s="1">
        <v>1.3</v>
      </c>
      <c r="G819" s="1">
        <v>2.2000000000000002</v>
      </c>
      <c r="H819" s="1">
        <v>3.9</v>
      </c>
    </row>
    <row r="820" spans="1:8">
      <c r="A820" t="s">
        <v>2995</v>
      </c>
      <c r="B820" s="1">
        <v>1.8999999999999899</v>
      </c>
      <c r="C820" s="1">
        <v>2.1066666666666598</v>
      </c>
      <c r="D820" s="1">
        <v>2.8833333333333302</v>
      </c>
      <c r="F820" s="1">
        <v>1.3</v>
      </c>
      <c r="G820" s="1">
        <v>2.2000000000000002</v>
      </c>
      <c r="H820" s="1">
        <v>3.7</v>
      </c>
    </row>
    <row r="821" spans="1:8">
      <c r="A821" t="s">
        <v>2996</v>
      </c>
      <c r="B821" s="1">
        <v>2.0099999999999998</v>
      </c>
      <c r="C821" s="1">
        <v>2.2433333333333301</v>
      </c>
      <c r="D821" s="1">
        <v>3.04</v>
      </c>
      <c r="F821" s="1">
        <v>1.3</v>
      </c>
      <c r="G821" s="1">
        <v>2.2000000000000002</v>
      </c>
      <c r="H821" s="1">
        <v>3.4</v>
      </c>
    </row>
    <row r="822" spans="1:8">
      <c r="A822" t="s">
        <v>2998</v>
      </c>
      <c r="B822" s="1">
        <v>1.9066666666666601</v>
      </c>
      <c r="C822" s="1">
        <v>2.1133333333333302</v>
      </c>
      <c r="D822" s="1">
        <v>2.8833333333333302</v>
      </c>
      <c r="F822" s="1">
        <v>1.3</v>
      </c>
      <c r="G822" s="1">
        <v>2.2000000000000002</v>
      </c>
      <c r="H822" s="1">
        <v>3.4</v>
      </c>
    </row>
    <row r="823" spans="1:8">
      <c r="A823" t="s">
        <v>2999</v>
      </c>
      <c r="B823" s="1">
        <v>1.96</v>
      </c>
      <c r="C823" s="1">
        <v>2.1866666666666599</v>
      </c>
      <c r="D823" s="1">
        <v>2.9633333333333298</v>
      </c>
      <c r="F823" s="1">
        <v>1.3</v>
      </c>
      <c r="G823" s="1">
        <v>2.2000000000000002</v>
      </c>
      <c r="H823" s="1">
        <v>3.5</v>
      </c>
    </row>
    <row r="824" spans="1:8">
      <c r="A824" t="s">
        <v>3000</v>
      </c>
      <c r="B824" s="1">
        <v>1.7666666666666599</v>
      </c>
      <c r="C824" s="1">
        <v>1.9666666666666599</v>
      </c>
      <c r="D824" s="1">
        <v>2.6766666666666601</v>
      </c>
      <c r="F824" s="1">
        <v>1.3</v>
      </c>
      <c r="G824" s="1">
        <v>2.2000000000000002</v>
      </c>
      <c r="H824" s="1">
        <v>3.8</v>
      </c>
    </row>
    <row r="825" spans="1:8">
      <c r="A825" t="s">
        <v>3002</v>
      </c>
      <c r="B825" s="1">
        <v>1.7466666666666599</v>
      </c>
      <c r="C825" s="1">
        <v>1.9366666666666601</v>
      </c>
      <c r="D825" s="1">
        <v>2.6499999999999901</v>
      </c>
      <c r="F825" s="1">
        <v>1.3</v>
      </c>
      <c r="G825" s="1">
        <v>2.1</v>
      </c>
      <c r="H825" s="1">
        <v>3.2</v>
      </c>
    </row>
    <row r="826" spans="1:8">
      <c r="A826" t="s">
        <v>3004</v>
      </c>
      <c r="B826" s="1">
        <v>1.68</v>
      </c>
      <c r="C826" s="1">
        <v>1.8699999999999899</v>
      </c>
      <c r="D826" s="1">
        <v>2.5466666666666602</v>
      </c>
      <c r="F826" s="1">
        <v>1.2</v>
      </c>
      <c r="G826" s="1">
        <v>1.9</v>
      </c>
      <c r="H826" s="1">
        <v>3</v>
      </c>
    </row>
    <row r="827" spans="1:8">
      <c r="A827" t="s">
        <v>3005</v>
      </c>
      <c r="B827" s="1">
        <v>1.4166666666666601</v>
      </c>
      <c r="C827" s="1">
        <v>1.58</v>
      </c>
      <c r="D827" s="1">
        <v>2.1566666666666601</v>
      </c>
      <c r="F827" s="1">
        <v>1.1000000000000001</v>
      </c>
      <c r="G827" s="1">
        <v>1.7</v>
      </c>
      <c r="H827" s="1">
        <v>2.8</v>
      </c>
    </row>
    <row r="828" spans="1:8">
      <c r="A828" t="s">
        <v>3007</v>
      </c>
      <c r="B828" s="1">
        <v>1.12666666666666</v>
      </c>
      <c r="C828" s="1">
        <v>1.54666666666666</v>
      </c>
      <c r="D828" s="1">
        <v>1.90333333333333</v>
      </c>
      <c r="F828" s="1">
        <v>1.1000000000000001</v>
      </c>
      <c r="G828" s="1">
        <v>1.6</v>
      </c>
      <c r="H828" s="1">
        <v>2.9</v>
      </c>
    </row>
    <row r="829" spans="1:8">
      <c r="A829" t="s">
        <v>3008</v>
      </c>
      <c r="B829" s="1">
        <v>1.19333333333333</v>
      </c>
      <c r="C829" s="1">
        <v>1.78</v>
      </c>
      <c r="D829" s="1">
        <v>4.57</v>
      </c>
      <c r="F829" s="1">
        <v>0.9</v>
      </c>
      <c r="G829" s="1">
        <v>1.4</v>
      </c>
      <c r="H829" s="1">
        <v>2</v>
      </c>
    </row>
    <row r="830" spans="1:8">
      <c r="A830" t="s">
        <v>3010</v>
      </c>
      <c r="B830" s="1">
        <v>1.07</v>
      </c>
      <c r="C830" s="1">
        <v>1.66333333333333</v>
      </c>
      <c r="D830" s="1">
        <v>2.2066666666666599</v>
      </c>
      <c r="F830" s="1">
        <v>1</v>
      </c>
      <c r="G830" s="1">
        <v>1.5</v>
      </c>
      <c r="H830" s="1">
        <v>2.6</v>
      </c>
    </row>
    <row r="831" spans="1:8">
      <c r="A831" t="s">
        <v>3012</v>
      </c>
      <c r="B831" s="1">
        <v>1.17333333333333</v>
      </c>
      <c r="C831" s="1">
        <v>1.45</v>
      </c>
      <c r="D831" s="1">
        <v>2.1199999999999899</v>
      </c>
      <c r="F831" s="1">
        <v>1</v>
      </c>
      <c r="G831" s="1">
        <v>1.5</v>
      </c>
      <c r="H831" s="1">
        <v>3.1</v>
      </c>
    </row>
    <row r="832" spans="1:8">
      <c r="A832" t="s">
        <v>3014</v>
      </c>
      <c r="B832" s="1">
        <v>1.3133333333333299</v>
      </c>
      <c r="C832" s="1">
        <v>1.72</v>
      </c>
      <c r="D832" s="1">
        <v>3.01</v>
      </c>
      <c r="F832" s="1">
        <v>1.1000000000000001</v>
      </c>
      <c r="G832" s="1">
        <v>1.6</v>
      </c>
      <c r="H832" s="1">
        <v>3.5</v>
      </c>
    </row>
    <row r="833" spans="1:8">
      <c r="A833" t="s">
        <v>3016</v>
      </c>
      <c r="B833" s="1">
        <v>1.2999999999999901</v>
      </c>
      <c r="C833" s="1">
        <v>1.87333333333333</v>
      </c>
      <c r="D833" s="1">
        <v>2.84666666666666</v>
      </c>
      <c r="F833" s="1">
        <v>1.1000000000000001</v>
      </c>
      <c r="G833" s="1">
        <v>1.7</v>
      </c>
      <c r="H833" s="1">
        <v>3</v>
      </c>
    </row>
    <row r="834" spans="1:8">
      <c r="A834" t="s">
        <v>3017</v>
      </c>
      <c r="B834" s="1">
        <v>1.2566666666666599</v>
      </c>
      <c r="C834" s="1">
        <v>1.87333333333333</v>
      </c>
      <c r="D834" s="1">
        <v>3.0433333333333299</v>
      </c>
      <c r="F834" s="1">
        <v>1.1000000000000001</v>
      </c>
      <c r="G834" s="1">
        <v>1.6</v>
      </c>
      <c r="H834" s="1">
        <v>2.9</v>
      </c>
    </row>
    <row r="835" spans="1:8">
      <c r="A835" t="s">
        <v>3018</v>
      </c>
      <c r="B835" s="1">
        <v>1.1466666666666601</v>
      </c>
      <c r="C835" s="1">
        <v>1.96333333333333</v>
      </c>
      <c r="D835" s="1">
        <v>2.4766666666666599</v>
      </c>
      <c r="F835" s="1">
        <v>1.1000000000000001</v>
      </c>
      <c r="G835" s="1">
        <v>1.6</v>
      </c>
      <c r="H835" s="1">
        <v>3.5</v>
      </c>
    </row>
    <row r="836" spans="1:8">
      <c r="A836" t="s">
        <v>3020</v>
      </c>
      <c r="B836" s="1">
        <v>1.4933333333333301</v>
      </c>
      <c r="C836" s="1">
        <v>2.14</v>
      </c>
      <c r="D836" s="1">
        <v>3.4</v>
      </c>
      <c r="F836" s="1">
        <v>1</v>
      </c>
      <c r="G836" s="1">
        <v>1.6</v>
      </c>
      <c r="H836" s="1">
        <v>4.5</v>
      </c>
    </row>
    <row r="837" spans="1:8">
      <c r="A837" t="s">
        <v>3022</v>
      </c>
      <c r="B837" s="1">
        <v>1.37666666666666</v>
      </c>
      <c r="C837" s="1">
        <v>1.73</v>
      </c>
      <c r="D837" s="1">
        <v>4.1333333333333302</v>
      </c>
      <c r="F837" s="1">
        <v>1.4</v>
      </c>
      <c r="G837" s="1">
        <v>2.4</v>
      </c>
      <c r="H837" s="1">
        <v>6.5</v>
      </c>
    </row>
    <row r="838" spans="1:8">
      <c r="A838" t="s">
        <v>3023</v>
      </c>
      <c r="B838" s="1">
        <v>1.9666666666666599</v>
      </c>
      <c r="C838" s="1">
        <v>3.06</v>
      </c>
      <c r="D838" s="1">
        <v>4.57666666666666</v>
      </c>
      <c r="F838" s="1">
        <v>1.5</v>
      </c>
      <c r="G838" s="1">
        <v>2.4</v>
      </c>
      <c r="H838" s="1">
        <v>5.6</v>
      </c>
    </row>
    <row r="839" spans="1:8">
      <c r="A839" t="s">
        <v>3025</v>
      </c>
      <c r="B839" s="1">
        <v>1.83666666666666</v>
      </c>
      <c r="C839" s="1">
        <v>2.5866666666666598</v>
      </c>
      <c r="D839" s="1">
        <v>5.13</v>
      </c>
      <c r="F839" s="1">
        <v>1.6</v>
      </c>
      <c r="G839" s="1">
        <v>2.7</v>
      </c>
      <c r="H839" s="1">
        <v>7.3</v>
      </c>
    </row>
    <row r="840" spans="1:8">
      <c r="A840" t="s">
        <v>3027</v>
      </c>
      <c r="B840" s="1">
        <v>1.6966666666666601</v>
      </c>
      <c r="C840" s="1">
        <v>2.7233333333333301</v>
      </c>
      <c r="D840" s="1">
        <v>4.5166666666666604</v>
      </c>
      <c r="F840" s="1">
        <v>1.5</v>
      </c>
      <c r="G840" s="1">
        <v>2.5</v>
      </c>
      <c r="H840" s="1">
        <v>6.2</v>
      </c>
    </row>
    <row r="841" spans="1:8">
      <c r="A841" t="s">
        <v>3029</v>
      </c>
      <c r="B841" s="1">
        <v>1.9833333333333301</v>
      </c>
      <c r="C841" s="1">
        <v>2.98999999999999</v>
      </c>
      <c r="D841" s="1">
        <v>4.3199999999999896</v>
      </c>
      <c r="F841" s="1">
        <v>1.6</v>
      </c>
      <c r="G841" s="1">
        <v>2.7</v>
      </c>
      <c r="H841" s="1">
        <v>6.1</v>
      </c>
    </row>
    <row r="842" spans="1:8">
      <c r="A842" t="s">
        <v>3031</v>
      </c>
      <c r="B842" s="1">
        <v>1.31666666666666</v>
      </c>
      <c r="C842" s="1">
        <v>2.1533333333333302</v>
      </c>
      <c r="D842" s="1">
        <v>3.76</v>
      </c>
      <c r="F842" s="1">
        <v>1.7</v>
      </c>
      <c r="G842" s="1">
        <v>2.9</v>
      </c>
      <c r="H842" s="1">
        <v>6.9</v>
      </c>
    </row>
    <row r="843" spans="1:8">
      <c r="A843" t="s">
        <v>3033</v>
      </c>
      <c r="B843" s="1">
        <v>1.3966666666666601</v>
      </c>
      <c r="C843" s="1">
        <v>2.3866666666666601</v>
      </c>
      <c r="D843" s="1">
        <v>3.9466666666666601</v>
      </c>
      <c r="F843" s="1">
        <v>1.3</v>
      </c>
      <c r="G843" s="1">
        <v>2.2000000000000002</v>
      </c>
      <c r="H843" s="1">
        <v>5.3</v>
      </c>
    </row>
    <row r="844" spans="1:8">
      <c r="A844" t="s">
        <v>3035</v>
      </c>
      <c r="B844" s="1">
        <v>1.15333333333333</v>
      </c>
      <c r="C844" s="1">
        <v>1.51</v>
      </c>
      <c r="D844" s="1">
        <v>2.2733333333333299</v>
      </c>
      <c r="F844" s="1">
        <v>1.2</v>
      </c>
      <c r="G844" s="1">
        <v>2</v>
      </c>
      <c r="H844" s="1">
        <v>5.2</v>
      </c>
    </row>
    <row r="845" spans="1:8">
      <c r="A845" t="s">
        <v>3037</v>
      </c>
      <c r="B845" s="1">
        <v>1.33666666666666</v>
      </c>
      <c r="C845" s="1">
        <v>1.86333333333333</v>
      </c>
      <c r="D845" s="1">
        <v>3.5066666666666602</v>
      </c>
      <c r="F845" s="1">
        <v>1</v>
      </c>
      <c r="G845" s="1">
        <v>2</v>
      </c>
      <c r="H845" s="1">
        <v>5.4</v>
      </c>
    </row>
    <row r="846" spans="1:8">
      <c r="A846" t="s">
        <v>3039</v>
      </c>
      <c r="B846" s="1">
        <v>1.57</v>
      </c>
      <c r="C846" s="1">
        <v>2.59666666666666</v>
      </c>
      <c r="D846" s="1">
        <v>3.1866666666666599</v>
      </c>
      <c r="F846" s="1">
        <v>1.2</v>
      </c>
      <c r="G846" s="1">
        <v>2.1</v>
      </c>
      <c r="H846" s="1">
        <v>5.3</v>
      </c>
    </row>
    <row r="847" spans="1:8">
      <c r="A847" t="s">
        <v>3041</v>
      </c>
      <c r="B847" s="1">
        <v>1.67333333333333</v>
      </c>
      <c r="C847" s="1">
        <v>3.2133333333333298</v>
      </c>
      <c r="D847" s="1">
        <v>4.53666666666666</v>
      </c>
      <c r="F847" s="1">
        <v>1.5</v>
      </c>
      <c r="G847" s="1">
        <v>2.5</v>
      </c>
      <c r="H847" s="1">
        <v>5.0999999999999996</v>
      </c>
    </row>
    <row r="848" spans="1:8">
      <c r="A848" t="s">
        <v>3042</v>
      </c>
      <c r="B848" s="1">
        <v>1.5066666666666599</v>
      </c>
      <c r="C848" s="1">
        <v>2.68333333333333</v>
      </c>
      <c r="D848" s="1">
        <v>3.9066666666666601</v>
      </c>
      <c r="F848" s="1">
        <v>1.5</v>
      </c>
      <c r="G848" s="1">
        <v>2.6</v>
      </c>
      <c r="H848" s="1">
        <v>5.4</v>
      </c>
    </row>
    <row r="849" spans="1:8">
      <c r="A849" t="s">
        <v>3044</v>
      </c>
      <c r="B849" s="1">
        <v>1.0533333333333299</v>
      </c>
      <c r="C849" s="1">
        <v>1.3799999999999899</v>
      </c>
      <c r="D849" s="1">
        <v>3.6533333333333302</v>
      </c>
      <c r="F849" s="1">
        <v>1.3</v>
      </c>
      <c r="G849" s="1">
        <v>2.2000000000000002</v>
      </c>
      <c r="H849" s="1">
        <v>4.7</v>
      </c>
    </row>
    <row r="850" spans="1:8">
      <c r="A850" t="s">
        <v>3046</v>
      </c>
      <c r="B850" s="1">
        <v>1.08666666666666</v>
      </c>
      <c r="C850" s="1">
        <v>1.9933333333333301</v>
      </c>
      <c r="D850" s="1">
        <v>3.85</v>
      </c>
      <c r="F850" s="1">
        <v>1.1000000000000001</v>
      </c>
      <c r="G850" s="1">
        <v>1.8</v>
      </c>
      <c r="H850" s="1">
        <v>4.4000000000000004</v>
      </c>
    </row>
    <row r="851" spans="1:8">
      <c r="A851" t="s">
        <v>3048</v>
      </c>
      <c r="B851" s="1">
        <v>1.13333333333333</v>
      </c>
      <c r="C851" s="1">
        <v>1.7366666666666599</v>
      </c>
      <c r="D851" s="1">
        <v>2.44</v>
      </c>
      <c r="F851" s="1">
        <v>1.1000000000000001</v>
      </c>
      <c r="G851" s="1">
        <v>1.7</v>
      </c>
      <c r="H851" s="1">
        <v>3.9</v>
      </c>
    </row>
    <row r="852" spans="1:8">
      <c r="A852" t="s">
        <v>3050</v>
      </c>
      <c r="B852" s="1">
        <v>0.97666666666666602</v>
      </c>
      <c r="C852" s="1">
        <v>1.7433333333333301</v>
      </c>
      <c r="D852" s="1">
        <v>3.16333333333333</v>
      </c>
      <c r="F852" s="1">
        <v>1</v>
      </c>
      <c r="G852" s="1">
        <v>1.6</v>
      </c>
      <c r="H852" s="1">
        <v>3.3</v>
      </c>
    </row>
    <row r="853" spans="1:8">
      <c r="A853" t="s">
        <v>3052</v>
      </c>
      <c r="B853" s="1">
        <v>1.1599999999999999</v>
      </c>
      <c r="C853" s="1">
        <v>1.5799999999999901</v>
      </c>
      <c r="D853" s="1">
        <v>3.6899999999999902</v>
      </c>
      <c r="F853" s="1">
        <v>1</v>
      </c>
      <c r="G853" s="1">
        <v>1.8</v>
      </c>
      <c r="H853" s="1">
        <v>4.4000000000000004</v>
      </c>
    </row>
    <row r="854" spans="1:8">
      <c r="A854" t="s">
        <v>3054</v>
      </c>
      <c r="B854" s="1">
        <v>0.89333333333333298</v>
      </c>
      <c r="C854" s="1">
        <v>1.4099999999999899</v>
      </c>
      <c r="D854" s="1">
        <v>1.88</v>
      </c>
      <c r="F854" s="1">
        <v>1</v>
      </c>
      <c r="G854" s="1">
        <v>1.6</v>
      </c>
      <c r="H854" s="1">
        <v>3.7</v>
      </c>
    </row>
    <row r="855" spans="1:8">
      <c r="A855" t="s">
        <v>3055</v>
      </c>
      <c r="B855" s="1">
        <v>1.1566666666666601</v>
      </c>
      <c r="C855" s="1">
        <v>1.6</v>
      </c>
      <c r="D855" s="1">
        <v>3.16333333333333</v>
      </c>
      <c r="F855" s="1">
        <v>1</v>
      </c>
      <c r="G855" s="1">
        <v>1.5</v>
      </c>
      <c r="H855" s="1">
        <v>2.7</v>
      </c>
    </row>
    <row r="856" spans="1:8">
      <c r="A856" t="s">
        <v>3057</v>
      </c>
      <c r="B856" s="1">
        <v>1.3</v>
      </c>
      <c r="C856" s="1">
        <v>1.84666666666666</v>
      </c>
      <c r="D856" s="1">
        <v>3.7499999999999898</v>
      </c>
      <c r="F856" s="1">
        <v>1.1000000000000001</v>
      </c>
      <c r="G856" s="1">
        <v>1.7</v>
      </c>
      <c r="H856" s="1">
        <v>3.1</v>
      </c>
    </row>
    <row r="857" spans="1:8">
      <c r="A857" t="s">
        <v>3059</v>
      </c>
      <c r="B857" s="1">
        <v>1.4833333333333301</v>
      </c>
      <c r="C857" s="1">
        <v>2.2099999999999902</v>
      </c>
      <c r="D857" s="1">
        <v>2.8766666666666598</v>
      </c>
      <c r="F857" s="1">
        <v>1.1000000000000001</v>
      </c>
      <c r="G857" s="1">
        <v>1.9</v>
      </c>
      <c r="H857" s="1">
        <v>4.2</v>
      </c>
    </row>
    <row r="858" spans="1:8">
      <c r="A858" t="s">
        <v>3061</v>
      </c>
      <c r="B858" s="1">
        <v>1.79666666666666</v>
      </c>
      <c r="C858" s="1">
        <v>3.02999999999999</v>
      </c>
      <c r="D858" s="1">
        <v>5.0699999999999896</v>
      </c>
      <c r="F858" s="1">
        <v>1.4</v>
      </c>
      <c r="G858" s="1">
        <v>2.1</v>
      </c>
      <c r="H858" s="1">
        <v>3.8</v>
      </c>
    </row>
    <row r="859" spans="1:8">
      <c r="A859" t="s">
        <v>3062</v>
      </c>
      <c r="B859" s="1">
        <v>2.4233333333333298</v>
      </c>
      <c r="C859" s="1">
        <v>3.36</v>
      </c>
      <c r="D859" s="1">
        <v>4.7066666666666599</v>
      </c>
      <c r="F859" s="1">
        <v>1.9</v>
      </c>
      <c r="G859" s="1">
        <v>3</v>
      </c>
      <c r="H859" s="1">
        <v>5.7</v>
      </c>
    </row>
    <row r="860" spans="1:8">
      <c r="A860" t="s">
        <v>3064</v>
      </c>
      <c r="B860" s="1">
        <v>2.0833333333333299</v>
      </c>
      <c r="C860" s="1">
        <v>3.1199999999999899</v>
      </c>
      <c r="D860" s="1">
        <v>4.8966666666666603</v>
      </c>
      <c r="F860" s="1">
        <v>2.2000000000000002</v>
      </c>
      <c r="G860" s="1">
        <v>3.4</v>
      </c>
      <c r="H860" s="1">
        <v>6.5</v>
      </c>
    </row>
    <row r="861" spans="1:8">
      <c r="A861" t="s">
        <v>3066</v>
      </c>
      <c r="B861" s="1">
        <v>2.4166666666666599</v>
      </c>
      <c r="C861" s="1">
        <v>3.2666666666666599</v>
      </c>
      <c r="D861" s="1">
        <v>5.7666666666666604</v>
      </c>
      <c r="F861" s="1">
        <v>2.2000000000000002</v>
      </c>
      <c r="G861" s="1">
        <v>3.4</v>
      </c>
      <c r="H861" s="1">
        <v>5.8</v>
      </c>
    </row>
    <row r="862" spans="1:8">
      <c r="A862" t="s">
        <v>3068</v>
      </c>
      <c r="B862" s="1">
        <v>3.0866666666666598</v>
      </c>
      <c r="C862" s="1">
        <v>4.28666666666666</v>
      </c>
      <c r="D862" s="1">
        <v>7.7666666666666604</v>
      </c>
      <c r="F862" s="1">
        <v>2.2999999999999998</v>
      </c>
      <c r="G862" s="1">
        <v>3.4</v>
      </c>
      <c r="H862" s="1">
        <v>5.3</v>
      </c>
    </row>
    <row r="863" spans="1:8">
      <c r="A863" t="s">
        <v>3069</v>
      </c>
      <c r="B863" s="1">
        <v>3.1399999999999899</v>
      </c>
      <c r="C863" s="1">
        <v>5.0166666666666604</v>
      </c>
      <c r="D863" s="1">
        <v>9.36</v>
      </c>
      <c r="F863" s="1">
        <v>2.4</v>
      </c>
      <c r="G863" s="1">
        <v>3.8</v>
      </c>
      <c r="H863" s="1">
        <v>6</v>
      </c>
    </row>
    <row r="864" spans="1:8">
      <c r="A864" t="s">
        <v>3071</v>
      </c>
      <c r="B864" s="1">
        <v>2.94</v>
      </c>
      <c r="C864" s="1">
        <v>4.0999999999999996</v>
      </c>
      <c r="D864" s="1">
        <v>7.5833333333333304</v>
      </c>
      <c r="F864" s="1">
        <v>2.5</v>
      </c>
      <c r="G864" s="1">
        <v>3.9</v>
      </c>
      <c r="H864" s="1">
        <v>6.2</v>
      </c>
    </row>
    <row r="865" spans="1:8">
      <c r="A865" t="s">
        <v>3072</v>
      </c>
      <c r="B865" s="1">
        <v>3.0633333333333299</v>
      </c>
      <c r="C865" s="1">
        <v>3.4099999999999899</v>
      </c>
      <c r="D865" s="1">
        <v>4.61666666666666</v>
      </c>
      <c r="F865" s="1">
        <v>2.9</v>
      </c>
      <c r="G865" s="1">
        <v>4.2</v>
      </c>
      <c r="H865" s="1">
        <v>6</v>
      </c>
    </row>
    <row r="866" spans="1:8">
      <c r="A866" t="s">
        <v>3074</v>
      </c>
      <c r="B866" s="1">
        <v>2.63</v>
      </c>
      <c r="C866" s="1">
        <v>3.2099999999999902</v>
      </c>
      <c r="D866" s="1">
        <v>4.5233333333333299</v>
      </c>
      <c r="F866" s="1">
        <v>2.8</v>
      </c>
      <c r="G866" s="1">
        <v>4.0999999999999996</v>
      </c>
      <c r="H866" s="1">
        <v>6.1</v>
      </c>
    </row>
    <row r="867" spans="1:8">
      <c r="A867" t="s">
        <v>3076</v>
      </c>
      <c r="B867" s="1">
        <v>3.35</v>
      </c>
      <c r="C867" s="1">
        <v>4.5966666666666596</v>
      </c>
      <c r="D867" s="1">
        <v>7.9633333333333303</v>
      </c>
      <c r="F867" s="1">
        <v>2.4</v>
      </c>
      <c r="G867" s="1">
        <v>3.7</v>
      </c>
      <c r="H867" s="1">
        <v>5.9</v>
      </c>
    </row>
    <row r="868" spans="1:8">
      <c r="A868" t="s">
        <v>3077</v>
      </c>
      <c r="B868" s="1">
        <v>2.4733333333333301</v>
      </c>
      <c r="C868" s="1">
        <v>3.2966666666666602</v>
      </c>
      <c r="D868" s="1">
        <v>5.0866666666666598</v>
      </c>
      <c r="F868" s="1">
        <v>2.9</v>
      </c>
      <c r="G868" s="1">
        <v>4.2</v>
      </c>
      <c r="H868" s="1">
        <v>6.7</v>
      </c>
    </row>
    <row r="869" spans="1:8">
      <c r="A869" t="s">
        <v>3079</v>
      </c>
      <c r="B869" s="1">
        <v>2.82666666666666</v>
      </c>
      <c r="C869" s="1">
        <v>4.1533333333333298</v>
      </c>
      <c r="D869" s="1">
        <v>7.18333333333333</v>
      </c>
      <c r="F869" s="1">
        <v>3</v>
      </c>
      <c r="G869" s="1">
        <v>4</v>
      </c>
      <c r="H869" s="1">
        <v>6.4</v>
      </c>
    </row>
    <row r="870" spans="1:8">
      <c r="A870" t="s">
        <v>3080</v>
      </c>
      <c r="B870" s="1">
        <v>2.4466666666666601</v>
      </c>
      <c r="C870" s="1">
        <v>3.4433333333333298</v>
      </c>
      <c r="D870" s="1">
        <v>6.8466666666666596</v>
      </c>
      <c r="F870" s="1">
        <v>2.8</v>
      </c>
      <c r="G870" s="1">
        <v>3.8</v>
      </c>
      <c r="H870" s="1">
        <v>6.3</v>
      </c>
    </row>
    <row r="871" spans="1:8">
      <c r="A871" t="s">
        <v>3082</v>
      </c>
      <c r="B871" s="1">
        <v>3.5466666666666602</v>
      </c>
      <c r="C871" s="1">
        <v>3.9366666666666599</v>
      </c>
      <c r="D871" s="1">
        <v>5.3433333333333302</v>
      </c>
      <c r="F871" s="1">
        <v>3</v>
      </c>
      <c r="G871" s="1">
        <v>4</v>
      </c>
      <c r="H871" s="1">
        <v>6</v>
      </c>
    </row>
    <row r="872" spans="1:8">
      <c r="A872" t="s">
        <v>3084</v>
      </c>
      <c r="B872" s="1">
        <v>3.1066666666666598</v>
      </c>
      <c r="C872" s="1">
        <v>3.4733333333333301</v>
      </c>
      <c r="D872" s="1">
        <v>4.7033333333333296</v>
      </c>
      <c r="F872" s="1">
        <v>3.7</v>
      </c>
      <c r="G872" s="1">
        <v>4.7</v>
      </c>
      <c r="H872" s="1">
        <v>6.7</v>
      </c>
    </row>
    <row r="873" spans="1:8">
      <c r="A873" t="s">
        <v>3086</v>
      </c>
      <c r="B873" s="1">
        <v>2.63</v>
      </c>
      <c r="C873" s="1">
        <v>2.8633333333333302</v>
      </c>
      <c r="D873" s="1">
        <v>4.7966666666666598</v>
      </c>
      <c r="F873" s="1">
        <v>3.6</v>
      </c>
      <c r="G873" s="1">
        <v>4.5999999999999996</v>
      </c>
      <c r="H873" s="1">
        <v>7.3</v>
      </c>
    </row>
    <row r="874" spans="1:8">
      <c r="A874" t="s">
        <v>3087</v>
      </c>
      <c r="B874" s="1">
        <v>3.3533333333333299</v>
      </c>
      <c r="C874" s="1">
        <v>3.7299999999999902</v>
      </c>
      <c r="D874" s="1">
        <v>5.05</v>
      </c>
      <c r="F874" s="1">
        <v>3.3</v>
      </c>
      <c r="G874" s="1">
        <v>4.2</v>
      </c>
      <c r="H874" s="1">
        <v>6.8</v>
      </c>
    </row>
    <row r="875" spans="1:8">
      <c r="A875" t="s">
        <v>3089</v>
      </c>
      <c r="B875" s="1">
        <v>3.0333333333333301</v>
      </c>
      <c r="C875" s="1">
        <v>3.39</v>
      </c>
      <c r="D875" s="1">
        <v>4.5966666666666596</v>
      </c>
      <c r="F875" s="1">
        <v>3.9</v>
      </c>
      <c r="G875" s="1">
        <v>4.9000000000000004</v>
      </c>
      <c r="H875" s="1">
        <v>7</v>
      </c>
    </row>
    <row r="876" spans="1:8">
      <c r="A876" t="s">
        <v>3091</v>
      </c>
      <c r="B876" s="1">
        <v>2.3399999999999901</v>
      </c>
      <c r="C876" s="1">
        <v>2.6099999999999901</v>
      </c>
      <c r="D876" s="1">
        <v>3.54</v>
      </c>
      <c r="F876" s="1">
        <v>4.0999999999999996</v>
      </c>
      <c r="G876" s="1">
        <v>5.5</v>
      </c>
      <c r="H876" s="1">
        <v>8.6</v>
      </c>
    </row>
    <row r="877" spans="1:8">
      <c r="A877" t="s">
        <v>3092</v>
      </c>
      <c r="B877" s="1">
        <v>3.98</v>
      </c>
      <c r="C877" s="1">
        <v>4.42</v>
      </c>
      <c r="D877" s="1">
        <v>5.9933333333333296</v>
      </c>
      <c r="F877" s="1">
        <v>4.8</v>
      </c>
      <c r="G877" s="1">
        <v>6</v>
      </c>
      <c r="H877" s="1">
        <v>7.3</v>
      </c>
    </row>
    <row r="878" spans="1:8">
      <c r="A878" t="s">
        <v>3094</v>
      </c>
      <c r="B878" s="1">
        <v>6.2133333333333303</v>
      </c>
      <c r="C878" s="1">
        <v>6.91</v>
      </c>
      <c r="D878" s="1">
        <v>9.3533333333333299</v>
      </c>
      <c r="F878" s="1">
        <v>6.8</v>
      </c>
      <c r="G878" s="1">
        <v>7.8</v>
      </c>
      <c r="H878" s="1">
        <v>9.3000000000000007</v>
      </c>
    </row>
    <row r="879" spans="1:8">
      <c r="A879" t="s">
        <v>3095</v>
      </c>
      <c r="B879" s="1">
        <v>5.1533333333333298</v>
      </c>
      <c r="C879" s="1">
        <v>5.7266666666666604</v>
      </c>
      <c r="D879" s="1">
        <v>7.7566666666666597</v>
      </c>
      <c r="F879" s="1">
        <v>9</v>
      </c>
      <c r="G879" s="1">
        <v>10</v>
      </c>
      <c r="H879" s="1">
        <v>12.1</v>
      </c>
    </row>
    <row r="880" spans="1:8">
      <c r="A880" t="s">
        <v>3097</v>
      </c>
      <c r="B880" s="1">
        <v>5.6633333333333304</v>
      </c>
      <c r="C880" s="1">
        <v>6.2999999999999901</v>
      </c>
      <c r="D880" s="1">
        <v>8.53666666666666</v>
      </c>
      <c r="F880" s="1">
        <v>7.1</v>
      </c>
      <c r="G880" s="1">
        <v>8.1</v>
      </c>
      <c r="H880" s="1">
        <v>9.5</v>
      </c>
    </row>
    <row r="881" spans="1:8">
      <c r="A881" t="s">
        <v>3099</v>
      </c>
      <c r="B881" s="1">
        <v>4.32666666666666</v>
      </c>
      <c r="C881" s="1">
        <v>4.8133333333333299</v>
      </c>
      <c r="D881" s="1">
        <v>6.4966666666666599</v>
      </c>
      <c r="F881" s="1">
        <v>7</v>
      </c>
      <c r="G881" s="1">
        <v>8.1</v>
      </c>
      <c r="H881" s="1">
        <v>9.5</v>
      </c>
    </row>
    <row r="882" spans="1:8">
      <c r="A882" t="s">
        <v>3101</v>
      </c>
      <c r="B882" s="1">
        <v>3.2833333333333301</v>
      </c>
      <c r="C882" s="1">
        <v>3.65</v>
      </c>
      <c r="D882" s="1">
        <v>4.95</v>
      </c>
      <c r="F882" s="1">
        <v>5.9</v>
      </c>
      <c r="G882" s="1">
        <v>6.7</v>
      </c>
      <c r="H882" s="1">
        <v>8.4</v>
      </c>
    </row>
    <row r="883" spans="1:8">
      <c r="A883" t="s">
        <v>3103</v>
      </c>
      <c r="B883" s="1">
        <v>3.9966666666666599</v>
      </c>
      <c r="C883" s="1">
        <v>4.4466666666666601</v>
      </c>
      <c r="D883" s="1">
        <v>6.0166666666666604</v>
      </c>
      <c r="F883" s="1">
        <v>5.0999999999999996</v>
      </c>
      <c r="G883" s="1">
        <v>6.1</v>
      </c>
      <c r="H883" s="1">
        <v>8.4</v>
      </c>
    </row>
    <row r="884" spans="1:8">
      <c r="A884" t="s">
        <v>3105</v>
      </c>
      <c r="B884" s="1">
        <v>3.57</v>
      </c>
      <c r="C884" s="1">
        <v>3.9566666666666599</v>
      </c>
      <c r="D884" s="1">
        <v>5.36666666666666</v>
      </c>
      <c r="F884" s="1">
        <v>5.2</v>
      </c>
      <c r="G884" s="1">
        <v>6</v>
      </c>
      <c r="H884" s="1">
        <v>7.6</v>
      </c>
    </row>
    <row r="885" spans="1:8">
      <c r="A885" t="s">
        <v>3107</v>
      </c>
      <c r="B885" s="1">
        <v>2.4</v>
      </c>
      <c r="C885" s="1">
        <v>2.67</v>
      </c>
      <c r="D885" s="1">
        <v>3.61666666666666</v>
      </c>
      <c r="F885" s="1">
        <v>4.2</v>
      </c>
      <c r="G885" s="1">
        <v>4.9000000000000004</v>
      </c>
      <c r="H885" s="1">
        <v>6.7</v>
      </c>
    </row>
    <row r="886" spans="1:8">
      <c r="A886" t="s">
        <v>3109</v>
      </c>
      <c r="B886" s="1">
        <v>2.4866666666666601</v>
      </c>
      <c r="C886" s="1">
        <v>2.77</v>
      </c>
      <c r="D886" s="1">
        <v>3.7566666666666602</v>
      </c>
      <c r="F886" s="1">
        <v>3.3</v>
      </c>
      <c r="G886" s="1">
        <v>3.8</v>
      </c>
      <c r="H886" s="1">
        <v>4.5999999999999996</v>
      </c>
    </row>
    <row r="887" spans="1:8">
      <c r="A887" t="s">
        <v>3111</v>
      </c>
      <c r="B887" s="1">
        <v>2.5333333333333301</v>
      </c>
      <c r="C887" s="1">
        <v>2.8233333333333301</v>
      </c>
      <c r="D887" s="1">
        <v>3.82</v>
      </c>
      <c r="F887" s="1">
        <v>3.2</v>
      </c>
      <c r="G887" s="1">
        <v>3.6</v>
      </c>
      <c r="H887" s="1">
        <v>4</v>
      </c>
    </row>
    <row r="888" spans="1:8">
      <c r="A888" t="s">
        <v>3113</v>
      </c>
      <c r="B888" s="1">
        <v>2.75</v>
      </c>
      <c r="C888" s="1">
        <v>3.0433333333333299</v>
      </c>
      <c r="D888" s="1">
        <v>4.1466666666666603</v>
      </c>
      <c r="F888" s="1">
        <v>3.5</v>
      </c>
      <c r="G888" s="1">
        <v>3.9</v>
      </c>
      <c r="H888" s="1">
        <v>4.4000000000000004</v>
      </c>
    </row>
    <row r="889" spans="1:8">
      <c r="A889" t="s">
        <v>3115</v>
      </c>
      <c r="B889" s="1">
        <v>3.0866666666666598</v>
      </c>
      <c r="C889" s="1">
        <v>3.4366666666666599</v>
      </c>
      <c r="D889" s="1">
        <v>4.6633333333333304</v>
      </c>
      <c r="F889" s="1">
        <v>3.9</v>
      </c>
      <c r="G889" s="1">
        <v>4.4000000000000004</v>
      </c>
      <c r="H889" s="1">
        <v>5.4</v>
      </c>
    </row>
    <row r="890" spans="1:8">
      <c r="A890" t="s">
        <v>3116</v>
      </c>
      <c r="B890" s="1">
        <v>5.07666666666666</v>
      </c>
      <c r="C890" s="1">
        <v>5.6366666666666596</v>
      </c>
      <c r="D890" s="1">
        <v>7.6333333333333302</v>
      </c>
      <c r="F890" s="1">
        <v>4.5</v>
      </c>
      <c r="G890" s="1">
        <v>4.9000000000000004</v>
      </c>
      <c r="H890" s="1">
        <v>5.7</v>
      </c>
    </row>
    <row r="891" spans="1:8">
      <c r="A891" t="s">
        <v>3117</v>
      </c>
      <c r="B891" s="1">
        <v>3.9566666666666599</v>
      </c>
      <c r="C891" s="1">
        <v>4.39333333333333</v>
      </c>
      <c r="D891" s="1">
        <v>5.9533333333333296</v>
      </c>
      <c r="F891" s="1">
        <v>5.8</v>
      </c>
      <c r="G891" s="1">
        <v>6.4</v>
      </c>
      <c r="H891" s="1">
        <v>7.4</v>
      </c>
    </row>
    <row r="892" spans="1:8">
      <c r="A892" t="s">
        <v>3119</v>
      </c>
      <c r="B892" s="1">
        <v>4.93</v>
      </c>
      <c r="C892" s="1">
        <v>5.4866666666666601</v>
      </c>
      <c r="D892" s="1">
        <v>7.43</v>
      </c>
      <c r="F892" s="1">
        <v>7.1</v>
      </c>
      <c r="G892" s="1">
        <v>7.9</v>
      </c>
      <c r="H892" s="1">
        <v>9.1</v>
      </c>
    </row>
    <row r="893" spans="1:8">
      <c r="A893" t="s">
        <v>3121</v>
      </c>
      <c r="B893" s="1">
        <v>7.0733333333333297</v>
      </c>
      <c r="C893" s="1">
        <v>7.8433333333333302</v>
      </c>
      <c r="D893" s="1">
        <v>10.623333333333299</v>
      </c>
      <c r="F893" s="1">
        <v>9.1</v>
      </c>
      <c r="G893" s="1">
        <v>10</v>
      </c>
      <c r="H893" s="1">
        <v>11.4</v>
      </c>
    </row>
    <row r="894" spans="1:8">
      <c r="A894" t="s">
        <v>3123</v>
      </c>
      <c r="B894" s="1">
        <v>6.2233333333333301</v>
      </c>
      <c r="C894" s="1">
        <v>6.9166666666666599</v>
      </c>
      <c r="D894" s="1">
        <v>9.35</v>
      </c>
      <c r="F894" s="1">
        <v>9.6999999999999993</v>
      </c>
      <c r="G894" s="1">
        <v>10.6</v>
      </c>
      <c r="H894" s="1">
        <v>11.8</v>
      </c>
    </row>
    <row r="895" spans="1:8">
      <c r="A895" t="s">
        <v>3125</v>
      </c>
      <c r="B895" s="1">
        <v>5.6299999999999901</v>
      </c>
      <c r="C895" s="1">
        <v>6.2433333333333296</v>
      </c>
      <c r="D895" s="1">
        <v>8.4633333333333294</v>
      </c>
      <c r="F895" s="1">
        <v>9.4</v>
      </c>
      <c r="G895" s="1">
        <v>10.199999999999999</v>
      </c>
      <c r="H895" s="1">
        <v>11.1</v>
      </c>
    </row>
    <row r="896" spans="1:8">
      <c r="A896" t="s">
        <v>3127</v>
      </c>
      <c r="B896" s="1">
        <v>3.5933333333333302</v>
      </c>
      <c r="C896" s="1">
        <v>3.9866666666666601</v>
      </c>
      <c r="D896" s="1">
        <v>5.4066666666666601</v>
      </c>
      <c r="F896" s="1">
        <v>9.1999999999999993</v>
      </c>
      <c r="G896" s="1">
        <v>9.9</v>
      </c>
      <c r="H896" s="1">
        <v>11.1</v>
      </c>
    </row>
    <row r="897" spans="1:8">
      <c r="A897" t="s">
        <v>3129</v>
      </c>
      <c r="B897" s="1">
        <v>5.0333333333333297</v>
      </c>
      <c r="C897" s="1">
        <v>5.5899999999999901</v>
      </c>
      <c r="D897" s="1">
        <v>7.5733333333333297</v>
      </c>
      <c r="F897" s="1">
        <v>6.4</v>
      </c>
      <c r="G897" s="1">
        <v>7.1</v>
      </c>
      <c r="H897" s="1">
        <v>8</v>
      </c>
    </row>
    <row r="898" spans="1:8">
      <c r="A898" t="s">
        <v>3130</v>
      </c>
      <c r="B898" s="1">
        <v>6.3766666666666598</v>
      </c>
      <c r="C898" s="1">
        <v>7.0933333333333302</v>
      </c>
      <c r="D898" s="1">
        <v>9.6</v>
      </c>
      <c r="F898" s="1">
        <v>6.7</v>
      </c>
      <c r="G898" s="1">
        <v>7.5</v>
      </c>
      <c r="H898" s="1">
        <v>8.5</v>
      </c>
    </row>
    <row r="899" spans="1:8">
      <c r="A899" t="s">
        <v>3132</v>
      </c>
      <c r="B899" s="1">
        <v>8.0066666666666606</v>
      </c>
      <c r="C899" s="1">
        <v>8.8933333333333309</v>
      </c>
      <c r="D899" s="1">
        <v>12.0399999999999</v>
      </c>
      <c r="F899" s="1">
        <v>8.8000000000000007</v>
      </c>
      <c r="G899" s="1">
        <v>9.5</v>
      </c>
      <c r="H899" s="1">
        <v>10.9</v>
      </c>
    </row>
    <row r="900" spans="1:8">
      <c r="A900" t="s">
        <v>3133</v>
      </c>
      <c r="B900" s="1">
        <v>7.1333333333333302</v>
      </c>
      <c r="C900" s="1">
        <v>7.9233333333333302</v>
      </c>
      <c r="D900" s="1">
        <v>10.72</v>
      </c>
      <c r="F900" s="1">
        <v>10.8</v>
      </c>
      <c r="G900" s="1">
        <v>11.6</v>
      </c>
      <c r="H900" s="1">
        <v>12.8</v>
      </c>
    </row>
    <row r="901" spans="1:8">
      <c r="A901" t="s">
        <v>3135</v>
      </c>
      <c r="B901" s="1">
        <v>4.37</v>
      </c>
      <c r="C901" s="1">
        <v>4.8466666666666596</v>
      </c>
      <c r="D901" s="1">
        <v>6.5699999999999896</v>
      </c>
      <c r="F901" s="1">
        <v>8.3000000000000007</v>
      </c>
      <c r="G901" s="1">
        <v>9.1</v>
      </c>
      <c r="H901" s="1">
        <v>10.4</v>
      </c>
    </row>
    <row r="902" spans="1:8">
      <c r="A902" t="s">
        <v>3137</v>
      </c>
      <c r="B902" s="1">
        <v>2.9866666666666601</v>
      </c>
      <c r="C902" s="1">
        <v>3.3033333333333301</v>
      </c>
      <c r="D902" s="1">
        <v>4.4966666666666599</v>
      </c>
      <c r="F902" s="1">
        <v>5.0999999999999996</v>
      </c>
      <c r="G902" s="1">
        <v>5.8</v>
      </c>
      <c r="H902" s="1">
        <v>6.9</v>
      </c>
    </row>
    <row r="903" spans="1:8">
      <c r="A903" t="s">
        <v>3139</v>
      </c>
      <c r="B903" s="1">
        <v>1.7066666666666599</v>
      </c>
      <c r="C903" s="1">
        <v>1.9</v>
      </c>
      <c r="D903" s="1">
        <v>2.57666666666666</v>
      </c>
      <c r="F903" s="1">
        <v>4</v>
      </c>
      <c r="G903" s="1">
        <v>4.8</v>
      </c>
      <c r="H903" s="1">
        <v>6</v>
      </c>
    </row>
    <row r="904" spans="1:8">
      <c r="A904" t="s">
        <v>3141</v>
      </c>
      <c r="B904" s="1">
        <v>3.01</v>
      </c>
      <c r="C904" s="1">
        <v>3.36</v>
      </c>
      <c r="D904" s="1">
        <v>4.55</v>
      </c>
      <c r="F904" s="1">
        <v>3.4</v>
      </c>
      <c r="G904" s="1">
        <v>4.0999999999999996</v>
      </c>
      <c r="H904" s="1">
        <v>5.5</v>
      </c>
    </row>
    <row r="905" spans="1:8">
      <c r="A905" t="s">
        <v>3142</v>
      </c>
      <c r="B905" s="1">
        <v>6.12</v>
      </c>
      <c r="C905" s="1">
        <v>6.7966666666666598</v>
      </c>
      <c r="D905" s="1">
        <v>9.1866666666666603</v>
      </c>
      <c r="F905" s="1">
        <v>5.4</v>
      </c>
      <c r="G905" s="1">
        <v>6</v>
      </c>
      <c r="H905" s="1">
        <v>7.4</v>
      </c>
    </row>
    <row r="906" spans="1:8">
      <c r="A906" t="s">
        <v>3144</v>
      </c>
      <c r="B906" s="1">
        <v>5.62</v>
      </c>
      <c r="C906" s="1">
        <v>6.2633333333333301</v>
      </c>
      <c r="D906" s="1">
        <v>8.4700000000000006</v>
      </c>
      <c r="F906" s="1">
        <v>7.8</v>
      </c>
      <c r="G906" s="1">
        <v>8.5</v>
      </c>
      <c r="H906" s="1">
        <v>9.6999999999999993</v>
      </c>
    </row>
    <row r="907" spans="1:8">
      <c r="A907" t="s">
        <v>3146</v>
      </c>
      <c r="B907" s="1">
        <v>5.2666666666666604</v>
      </c>
      <c r="C907" s="1">
        <v>5.8633333333333297</v>
      </c>
      <c r="D907" s="1">
        <v>7.94</v>
      </c>
      <c r="F907" s="1">
        <v>8.1</v>
      </c>
      <c r="G907" s="1">
        <v>8.8000000000000007</v>
      </c>
      <c r="H907" s="1">
        <v>9.9</v>
      </c>
    </row>
    <row r="908" spans="1:8">
      <c r="A908" t="s">
        <v>3148</v>
      </c>
      <c r="B908" s="1">
        <v>5.6</v>
      </c>
      <c r="C908" s="1">
        <v>6.2266666666666604</v>
      </c>
      <c r="D908" s="1">
        <v>8.4233333333333302</v>
      </c>
      <c r="F908" s="1">
        <v>7.9</v>
      </c>
      <c r="G908" s="1">
        <v>8.5</v>
      </c>
      <c r="H908" s="1">
        <v>9.6</v>
      </c>
    </row>
    <row r="909" spans="1:8">
      <c r="A909" t="s">
        <v>3150</v>
      </c>
      <c r="B909" s="1">
        <v>5.51</v>
      </c>
      <c r="C909" s="1">
        <v>6.11666666666666</v>
      </c>
      <c r="D909" s="1">
        <v>8.2899999999999991</v>
      </c>
      <c r="F909" s="1">
        <v>7.9</v>
      </c>
      <c r="G909" s="1">
        <v>8.5</v>
      </c>
      <c r="H909" s="1">
        <v>9.6</v>
      </c>
    </row>
    <row r="910" spans="1:8">
      <c r="A910" t="s">
        <v>3152</v>
      </c>
      <c r="B910" s="1">
        <v>5.3033333333333301</v>
      </c>
      <c r="C910" s="1">
        <v>5.89</v>
      </c>
      <c r="D910" s="1">
        <v>7.9766666666666604</v>
      </c>
      <c r="F910" s="1">
        <v>7.8</v>
      </c>
      <c r="G910" s="1">
        <v>8.4</v>
      </c>
      <c r="H910" s="1">
        <v>9.9</v>
      </c>
    </row>
    <row r="911" spans="1:8">
      <c r="A911" t="s">
        <v>3154</v>
      </c>
      <c r="B911" s="1">
        <v>4.0966666666666596</v>
      </c>
      <c r="C911" s="1">
        <v>4.5533333333333301</v>
      </c>
      <c r="D911" s="1">
        <v>6.1633333333333304</v>
      </c>
      <c r="F911" s="1">
        <v>6.8</v>
      </c>
      <c r="G911" s="1">
        <v>7.3</v>
      </c>
      <c r="H911" s="1">
        <v>8.1999999999999993</v>
      </c>
    </row>
    <row r="912" spans="1:8">
      <c r="A912" t="s">
        <v>3156</v>
      </c>
      <c r="B912" s="1">
        <v>3.6099999999999901</v>
      </c>
      <c r="C912" s="1">
        <v>4.0133333333333301</v>
      </c>
      <c r="D912" s="1">
        <v>5.4266666666666596</v>
      </c>
      <c r="F912" s="1">
        <v>5.6</v>
      </c>
      <c r="G912" s="1">
        <v>6.1</v>
      </c>
      <c r="H912" s="1">
        <v>6.9</v>
      </c>
    </row>
    <row r="913" spans="1:8">
      <c r="A913" t="s">
        <v>3158</v>
      </c>
      <c r="B913" s="1">
        <v>3.1766666666666601</v>
      </c>
      <c r="C913" s="1">
        <v>3.54</v>
      </c>
      <c r="D913" s="1">
        <v>4.7966666666666598</v>
      </c>
      <c r="F913" s="1">
        <v>5</v>
      </c>
      <c r="G913" s="1">
        <v>5.5</v>
      </c>
      <c r="H913" s="1">
        <v>6.2</v>
      </c>
    </row>
    <row r="914" spans="1:8">
      <c r="A914" t="s">
        <v>3160</v>
      </c>
      <c r="B914" s="1">
        <v>2.9566666666666599</v>
      </c>
      <c r="C914" s="1">
        <v>3.27</v>
      </c>
      <c r="D914" s="1">
        <v>4.4566666666666599</v>
      </c>
      <c r="F914" s="1">
        <v>4.4000000000000004</v>
      </c>
      <c r="G914" s="1">
        <v>4.9000000000000004</v>
      </c>
      <c r="H914" s="1">
        <v>5.5</v>
      </c>
    </row>
    <row r="915" spans="1:8">
      <c r="A915" t="s">
        <v>3162</v>
      </c>
      <c r="B915" s="1">
        <v>2.89333333333333</v>
      </c>
      <c r="C915" s="1">
        <v>3.2266666666666599</v>
      </c>
      <c r="D915" s="1">
        <v>4.38</v>
      </c>
      <c r="F915" s="1">
        <v>4.0999999999999996</v>
      </c>
      <c r="G915" s="1">
        <v>4.5</v>
      </c>
      <c r="H915" s="1">
        <v>5.2</v>
      </c>
    </row>
    <row r="916" spans="1:8">
      <c r="A916" t="s">
        <v>3164</v>
      </c>
      <c r="B916" s="1">
        <v>3.2333333333333298</v>
      </c>
      <c r="C916" s="1">
        <v>3.6</v>
      </c>
      <c r="D916" s="1">
        <v>4.8733333333333304</v>
      </c>
      <c r="F916" s="1">
        <v>4.0999999999999996</v>
      </c>
      <c r="G916" s="1">
        <v>4.5999999999999996</v>
      </c>
      <c r="H916" s="1">
        <v>5.7</v>
      </c>
    </row>
    <row r="917" spans="1:8">
      <c r="A917" t="s">
        <v>3166</v>
      </c>
      <c r="B917" s="1">
        <v>3.1133333333333302</v>
      </c>
      <c r="C917" s="1">
        <v>3.4599999999999902</v>
      </c>
      <c r="D917" s="1">
        <v>4.6933333333333298</v>
      </c>
      <c r="F917" s="1">
        <v>4.2</v>
      </c>
      <c r="G917" s="1">
        <v>4.8</v>
      </c>
      <c r="H917" s="1">
        <v>6</v>
      </c>
    </row>
    <row r="918" spans="1:8">
      <c r="A918" t="s">
        <v>3168</v>
      </c>
      <c r="B918" s="1">
        <v>2.3533333333333299</v>
      </c>
      <c r="C918" s="1">
        <v>2.6133333333333302</v>
      </c>
      <c r="D918" s="1">
        <v>3.56</v>
      </c>
      <c r="F918" s="1">
        <v>3.8</v>
      </c>
      <c r="G918" s="1">
        <v>4.3</v>
      </c>
      <c r="H918" s="1">
        <v>5.4</v>
      </c>
    </row>
    <row r="919" spans="1:8">
      <c r="A919" t="s">
        <v>3170</v>
      </c>
      <c r="B919" s="1">
        <v>3.2533333333333299</v>
      </c>
      <c r="C919" s="1">
        <v>3.6033333333333299</v>
      </c>
      <c r="D919" s="1">
        <v>4.9066666666666601</v>
      </c>
      <c r="F919" s="1">
        <v>3.5</v>
      </c>
      <c r="G919" s="1">
        <v>3.9</v>
      </c>
      <c r="H919" s="1">
        <v>4.3</v>
      </c>
    </row>
    <row r="920" spans="1:8">
      <c r="A920" t="s">
        <v>3172</v>
      </c>
      <c r="B920" s="1">
        <v>3.3533333333333299</v>
      </c>
      <c r="C920" s="1">
        <v>3.73</v>
      </c>
      <c r="D920" s="1">
        <v>5.0566666666666604</v>
      </c>
      <c r="F920" s="1">
        <v>4</v>
      </c>
      <c r="G920" s="1">
        <v>4.4000000000000004</v>
      </c>
      <c r="H920" s="1">
        <v>5.0999999999999996</v>
      </c>
    </row>
    <row r="921" spans="1:8">
      <c r="A921" t="s">
        <v>3174</v>
      </c>
      <c r="B921" s="1">
        <v>2.8566666666666598</v>
      </c>
      <c r="C921" s="1">
        <v>3.18333333333333</v>
      </c>
      <c r="D921" s="1">
        <v>4.3166666666666602</v>
      </c>
      <c r="F921" s="1">
        <v>4</v>
      </c>
      <c r="G921" s="1">
        <v>4.5</v>
      </c>
      <c r="H921" s="1">
        <v>5.7</v>
      </c>
    </row>
    <row r="922" spans="1:8">
      <c r="A922" t="s">
        <v>3176</v>
      </c>
      <c r="B922" s="1">
        <v>2.7499999999999898</v>
      </c>
      <c r="C922" s="1">
        <v>3.07</v>
      </c>
      <c r="D922" s="1">
        <v>4.1500000000000004</v>
      </c>
      <c r="F922" s="1">
        <v>3.5</v>
      </c>
      <c r="G922" s="1">
        <v>4</v>
      </c>
      <c r="H922" s="1">
        <v>4.8</v>
      </c>
    </row>
    <row r="923" spans="1:8">
      <c r="A923" t="s">
        <v>3178</v>
      </c>
      <c r="B923" s="1">
        <v>2.8333333333333299</v>
      </c>
      <c r="C923" s="1">
        <v>3.14333333333333</v>
      </c>
      <c r="D923" s="1">
        <v>4.26</v>
      </c>
      <c r="F923" s="1">
        <v>3.4</v>
      </c>
      <c r="G923" s="1">
        <v>3.8</v>
      </c>
      <c r="H923" s="1">
        <v>4.5</v>
      </c>
    </row>
    <row r="924" spans="1:8">
      <c r="A924" t="s">
        <v>3180</v>
      </c>
      <c r="B924" s="1">
        <v>3.11666666666666</v>
      </c>
      <c r="C924" s="1">
        <v>3.4766666666666599</v>
      </c>
      <c r="D924" s="1">
        <v>4.7099999999999902</v>
      </c>
      <c r="F924" s="1">
        <v>3.9</v>
      </c>
      <c r="G924" s="1">
        <v>4.4000000000000004</v>
      </c>
      <c r="H924" s="1">
        <v>5</v>
      </c>
    </row>
    <row r="925" spans="1:8">
      <c r="A925" t="s">
        <v>3182</v>
      </c>
      <c r="B925" s="1">
        <v>2.6266666666666598</v>
      </c>
      <c r="C925" s="1">
        <v>2.91333333333333</v>
      </c>
      <c r="D925" s="1">
        <v>3.9666666666666601</v>
      </c>
      <c r="F925" s="1">
        <v>3.8</v>
      </c>
      <c r="G925" s="1">
        <v>4.4000000000000004</v>
      </c>
      <c r="H925" s="1">
        <v>5.9</v>
      </c>
    </row>
    <row r="926" spans="1:8">
      <c r="A926" t="s">
        <v>3184</v>
      </c>
      <c r="B926" s="1">
        <v>3.5833333333333299</v>
      </c>
      <c r="C926" s="1">
        <v>3.98</v>
      </c>
      <c r="D926" s="1">
        <v>5.4033333333333298</v>
      </c>
      <c r="F926" s="1">
        <v>3.4</v>
      </c>
      <c r="G926" s="1">
        <v>4.0999999999999996</v>
      </c>
      <c r="H926" s="1">
        <v>6.4</v>
      </c>
    </row>
    <row r="927" spans="1:8">
      <c r="A927" t="s">
        <v>3186</v>
      </c>
      <c r="B927" s="1">
        <v>4.3166666666666602</v>
      </c>
      <c r="C927" s="1">
        <v>4.7933333333333303</v>
      </c>
      <c r="D927" s="1">
        <v>6.5033333333333303</v>
      </c>
      <c r="F927" s="1">
        <v>4.5</v>
      </c>
      <c r="G927" s="1">
        <v>5.2</v>
      </c>
      <c r="H927" s="1">
        <v>7.1</v>
      </c>
    </row>
    <row r="928" spans="1:8">
      <c r="A928" t="s">
        <v>3188</v>
      </c>
      <c r="B928" s="1">
        <v>3.9566666666666599</v>
      </c>
      <c r="C928" s="1">
        <v>4.3866666666666596</v>
      </c>
      <c r="D928" s="1">
        <v>5.9533333333333296</v>
      </c>
      <c r="F928" s="1">
        <v>4.7</v>
      </c>
      <c r="G928" s="1">
        <v>5.4</v>
      </c>
      <c r="H928" s="1">
        <v>6.8</v>
      </c>
    </row>
    <row r="929" spans="1:8">
      <c r="A929" t="s">
        <v>3190</v>
      </c>
      <c r="B929" s="1">
        <v>3.3299999999999899</v>
      </c>
      <c r="C929" s="1">
        <v>3.7066666666666599</v>
      </c>
      <c r="D929" s="1">
        <v>5.0233333333333299</v>
      </c>
      <c r="F929" s="1">
        <v>4.7</v>
      </c>
      <c r="G929" s="1">
        <v>5.5</v>
      </c>
      <c r="H929" s="1">
        <v>7.4</v>
      </c>
    </row>
    <row r="930" spans="1:8">
      <c r="A930" t="s">
        <v>3192</v>
      </c>
      <c r="B930" s="1">
        <v>5.8966666666666603</v>
      </c>
      <c r="C930" s="1">
        <v>6.5533333333333301</v>
      </c>
      <c r="D930" s="1">
        <v>8.8800000000000008</v>
      </c>
      <c r="F930" s="1">
        <v>4.0999999999999996</v>
      </c>
      <c r="G930" s="1">
        <v>4.9000000000000004</v>
      </c>
      <c r="H930" s="1">
        <v>8.4</v>
      </c>
    </row>
    <row r="931" spans="1:8">
      <c r="A931" t="s">
        <v>3194</v>
      </c>
      <c r="B931" s="1">
        <v>2.7666666666666599</v>
      </c>
      <c r="C931" s="1">
        <v>3.0866666666666598</v>
      </c>
      <c r="D931" s="1">
        <v>4.1799999999999899</v>
      </c>
      <c r="F931" s="1">
        <v>4.2</v>
      </c>
      <c r="G931" s="1">
        <v>5.2</v>
      </c>
      <c r="H931" s="1">
        <v>8.8000000000000007</v>
      </c>
    </row>
    <row r="932" spans="1:8">
      <c r="A932" t="s">
        <v>3196</v>
      </c>
      <c r="B932" s="1">
        <v>3.3033333333333301</v>
      </c>
      <c r="C932" s="1">
        <v>3.68333333333333</v>
      </c>
      <c r="D932" s="1">
        <v>4.9933333333333296</v>
      </c>
      <c r="F932" s="1">
        <v>3.6</v>
      </c>
      <c r="G932" s="1">
        <v>4.5999999999999996</v>
      </c>
      <c r="H932" s="1">
        <v>8.3000000000000007</v>
      </c>
    </row>
    <row r="933" spans="1:8">
      <c r="A933" t="s">
        <v>3198</v>
      </c>
      <c r="B933" s="1">
        <v>4.2266666666666604</v>
      </c>
      <c r="C933" s="1">
        <v>4.68333333333333</v>
      </c>
      <c r="D933" s="1">
        <v>6.3633333333333297</v>
      </c>
      <c r="F933" s="1">
        <v>4.2</v>
      </c>
      <c r="G933" s="1">
        <v>5.5</v>
      </c>
      <c r="H933" s="1">
        <v>11</v>
      </c>
    </row>
    <row r="934" spans="1:8">
      <c r="A934" t="s">
        <v>3200</v>
      </c>
      <c r="B934" s="1">
        <v>5.0966666666666596</v>
      </c>
      <c r="C934" s="1">
        <v>6.9733333333333301</v>
      </c>
      <c r="D934" s="1">
        <v>8.3266666666666609</v>
      </c>
      <c r="F934" s="1">
        <v>5.3</v>
      </c>
      <c r="G934" s="1">
        <v>6.5</v>
      </c>
      <c r="H934" s="1">
        <v>10.5</v>
      </c>
    </row>
    <row r="935" spans="1:8">
      <c r="A935" t="s">
        <v>3202</v>
      </c>
      <c r="B935" s="1">
        <v>3.8033333333333301</v>
      </c>
      <c r="C935" s="1">
        <v>5.5933333333333302</v>
      </c>
      <c r="D935" s="1">
        <v>6.51</v>
      </c>
      <c r="F935" s="1">
        <v>6</v>
      </c>
      <c r="G935" s="1">
        <v>7.4</v>
      </c>
      <c r="H935" s="1">
        <v>11.5</v>
      </c>
    </row>
    <row r="936" spans="1:8">
      <c r="A936" t="s">
        <v>3204</v>
      </c>
      <c r="B936" s="1">
        <v>2.7966666666666602</v>
      </c>
      <c r="C936" s="1">
        <v>3.64333333333333</v>
      </c>
      <c r="D936" s="1">
        <v>4.36666666666666</v>
      </c>
      <c r="F936" s="1">
        <v>4.0999999999999996</v>
      </c>
      <c r="G936" s="1">
        <v>5.4</v>
      </c>
      <c r="H936" s="1">
        <v>9.6999999999999993</v>
      </c>
    </row>
    <row r="937" spans="1:8">
      <c r="A937" t="s">
        <v>3206</v>
      </c>
      <c r="B937" s="1">
        <v>3.62333333333333</v>
      </c>
      <c r="C937" s="1">
        <v>4.8733333333333304</v>
      </c>
      <c r="D937" s="1">
        <v>6.65</v>
      </c>
      <c r="F937" s="1">
        <v>3.8</v>
      </c>
      <c r="G937" s="1">
        <v>4.9000000000000004</v>
      </c>
      <c r="H937" s="1">
        <v>8.3000000000000007</v>
      </c>
    </row>
    <row r="938" spans="1:8">
      <c r="A938" t="s">
        <v>3208</v>
      </c>
      <c r="B938" s="1">
        <v>3.89</v>
      </c>
      <c r="C938" s="1">
        <v>4.96</v>
      </c>
      <c r="D938" s="1">
        <v>6.77</v>
      </c>
      <c r="F938" s="1">
        <v>5</v>
      </c>
      <c r="G938" s="1">
        <v>6.3</v>
      </c>
      <c r="H938" s="1">
        <v>11.3</v>
      </c>
    </row>
    <row r="939" spans="1:8">
      <c r="A939" t="s">
        <v>3209</v>
      </c>
      <c r="B939" s="1">
        <v>2.2733333333333299</v>
      </c>
      <c r="C939" s="1">
        <v>3.2233333333333301</v>
      </c>
      <c r="D939" s="1">
        <v>5.36666666666666</v>
      </c>
      <c r="F939" s="1">
        <v>4.3</v>
      </c>
      <c r="G939" s="1">
        <v>5.6</v>
      </c>
      <c r="H939" s="1">
        <v>11.8</v>
      </c>
    </row>
    <row r="940" spans="1:8">
      <c r="A940" t="s">
        <v>3211</v>
      </c>
      <c r="B940" s="1">
        <v>2.03666666666666</v>
      </c>
      <c r="C940" s="1">
        <v>3.1733333333333298</v>
      </c>
      <c r="D940" s="1">
        <v>3.80666666666666</v>
      </c>
      <c r="F940" s="1">
        <v>2.5</v>
      </c>
      <c r="G940" s="1">
        <v>3.8</v>
      </c>
      <c r="H940" s="1">
        <v>10.3</v>
      </c>
    </row>
    <row r="941" spans="1:8">
      <c r="A941" t="s">
        <v>3212</v>
      </c>
      <c r="B941" s="1">
        <v>2.5066666666666602</v>
      </c>
      <c r="C941" s="1">
        <v>3.2833333333333301</v>
      </c>
      <c r="D941" s="1">
        <v>5.2233333333333301</v>
      </c>
      <c r="F941" s="1">
        <v>2.4</v>
      </c>
      <c r="G941" s="1">
        <v>3.6</v>
      </c>
      <c r="H941" s="1">
        <v>9.4</v>
      </c>
    </row>
    <row r="942" spans="1:8">
      <c r="A942" t="s">
        <v>3213</v>
      </c>
      <c r="B942" s="1">
        <v>3.3</v>
      </c>
      <c r="C942" s="1">
        <v>4.6466666666666603</v>
      </c>
      <c r="D942" s="1">
        <v>6.4499999999999904</v>
      </c>
      <c r="F942" s="1">
        <v>3</v>
      </c>
      <c r="G942" s="1">
        <v>4.2</v>
      </c>
      <c r="H942" s="1">
        <v>9.4</v>
      </c>
    </row>
    <row r="943" spans="1:8">
      <c r="A943" t="s">
        <v>3214</v>
      </c>
      <c r="B943" s="1">
        <v>2.73</v>
      </c>
      <c r="C943" s="1">
        <v>3.6199999999999899</v>
      </c>
      <c r="D943" s="1">
        <v>5.61</v>
      </c>
      <c r="F943" s="1">
        <v>3.5</v>
      </c>
      <c r="G943" s="1">
        <v>5</v>
      </c>
      <c r="H943" s="1">
        <v>10.8</v>
      </c>
    </row>
    <row r="944" spans="1:8">
      <c r="A944" t="s">
        <v>3216</v>
      </c>
      <c r="B944" s="1">
        <v>3.8033333333333301</v>
      </c>
      <c r="C944" s="1">
        <v>5.4433333333333298</v>
      </c>
      <c r="D944" s="1">
        <v>6.31</v>
      </c>
      <c r="F944" s="1">
        <v>3.5</v>
      </c>
      <c r="G944" s="1">
        <v>4.8</v>
      </c>
      <c r="H944" s="1">
        <v>9.6</v>
      </c>
    </row>
    <row r="945" spans="1:8">
      <c r="A945" t="s">
        <v>3218</v>
      </c>
      <c r="B945" s="1">
        <v>2.68333333333333</v>
      </c>
      <c r="C945" s="1">
        <v>4.1533333333333298</v>
      </c>
      <c r="D945" s="1">
        <v>6.1333333333333302</v>
      </c>
      <c r="F945" s="1">
        <v>3.4</v>
      </c>
      <c r="G945" s="1">
        <v>4.5999999999999996</v>
      </c>
      <c r="H945" s="1">
        <v>7.8</v>
      </c>
    </row>
    <row r="946" spans="1:8">
      <c r="A946" t="s">
        <v>3219</v>
      </c>
      <c r="B946" s="1">
        <v>2.07666666666666</v>
      </c>
      <c r="C946" s="1">
        <v>3.07</v>
      </c>
      <c r="D946" s="1">
        <v>5.2633333333333301</v>
      </c>
      <c r="F946" s="1">
        <v>2.5</v>
      </c>
      <c r="G946" s="1">
        <v>3.8</v>
      </c>
      <c r="H946" s="1">
        <v>7.9</v>
      </c>
    </row>
    <row r="947" spans="1:8">
      <c r="A947" t="s">
        <v>3220</v>
      </c>
      <c r="B947" s="1">
        <v>2.23999999999999</v>
      </c>
      <c r="C947" s="1">
        <v>3.80666666666666</v>
      </c>
      <c r="D947" s="1">
        <v>6.7166666666666597</v>
      </c>
      <c r="F947" s="1">
        <v>2.7</v>
      </c>
      <c r="G947" s="1">
        <v>4.2</v>
      </c>
      <c r="H947" s="1">
        <v>7.4</v>
      </c>
    </row>
    <row r="948" spans="1:8">
      <c r="A948" t="s">
        <v>3221</v>
      </c>
      <c r="B948" s="1">
        <v>1.88</v>
      </c>
      <c r="C948" s="1">
        <v>2.89333333333333</v>
      </c>
      <c r="D948" s="1">
        <v>4.9533333333333296</v>
      </c>
      <c r="F948" s="1">
        <v>2.2000000000000002</v>
      </c>
      <c r="G948" s="1">
        <v>3.8</v>
      </c>
      <c r="H948" s="1">
        <v>7.3</v>
      </c>
    </row>
    <row r="949" spans="1:8">
      <c r="A949" t="s">
        <v>3222</v>
      </c>
      <c r="B949" s="1">
        <v>2.34666666666666</v>
      </c>
      <c r="C949" s="1">
        <v>3.4099999999999899</v>
      </c>
      <c r="D949" s="1">
        <v>5.23</v>
      </c>
      <c r="F949" s="1">
        <v>2.1</v>
      </c>
      <c r="G949" s="1">
        <v>3.7</v>
      </c>
      <c r="H949" s="1">
        <v>7.3</v>
      </c>
    </row>
    <row r="950" spans="1:8">
      <c r="A950" t="s">
        <v>3224</v>
      </c>
      <c r="B950" s="1">
        <v>2.31</v>
      </c>
      <c r="C950" s="1">
        <v>3.71999999999999</v>
      </c>
      <c r="D950" s="1">
        <v>5.9566666666666599</v>
      </c>
      <c r="F950" s="1">
        <v>2.2000000000000002</v>
      </c>
      <c r="G950" s="1">
        <v>3.9</v>
      </c>
      <c r="H950" s="1">
        <v>8.8000000000000007</v>
      </c>
    </row>
    <row r="951" spans="1:8">
      <c r="A951" t="s">
        <v>3226</v>
      </c>
      <c r="B951" s="1">
        <v>2.64333333333333</v>
      </c>
      <c r="C951" s="1">
        <v>4.1733333333333302</v>
      </c>
      <c r="D951" s="1">
        <v>7.23</v>
      </c>
      <c r="F951" s="1">
        <v>2.2999999999999998</v>
      </c>
      <c r="G951" s="1">
        <v>4.0999999999999996</v>
      </c>
      <c r="H951" s="1">
        <v>9.1999999999999993</v>
      </c>
    </row>
    <row r="952" spans="1:8">
      <c r="A952" t="s">
        <v>3227</v>
      </c>
      <c r="B952" s="1">
        <v>2.8366666666666598</v>
      </c>
      <c r="C952" s="1">
        <v>5.1699999999999902</v>
      </c>
      <c r="D952" s="1">
        <v>7.9266666666666596</v>
      </c>
      <c r="F952" s="1">
        <v>2.4</v>
      </c>
      <c r="G952" s="1">
        <v>4.2</v>
      </c>
      <c r="H952" s="1">
        <v>8.9</v>
      </c>
    </row>
    <row r="953" spans="1:8">
      <c r="A953" t="s">
        <v>3228</v>
      </c>
      <c r="B953" s="1">
        <v>3.30666666666666</v>
      </c>
      <c r="C953" s="1">
        <v>4.9833333333333298</v>
      </c>
      <c r="D953" s="1">
        <v>9.18333333333333</v>
      </c>
      <c r="F953" s="1">
        <v>2.5</v>
      </c>
      <c r="G953" s="1">
        <v>4.4000000000000004</v>
      </c>
      <c r="H953" s="1">
        <v>9.6</v>
      </c>
    </row>
    <row r="954" spans="1:8">
      <c r="A954" t="s">
        <v>3230</v>
      </c>
      <c r="B954" s="1">
        <v>3.41</v>
      </c>
      <c r="C954" s="1">
        <v>4.46</v>
      </c>
      <c r="D954" s="1">
        <v>10.28</v>
      </c>
      <c r="F954" s="1">
        <v>2.7</v>
      </c>
      <c r="G954" s="1">
        <v>4.5999999999999996</v>
      </c>
      <c r="H954" s="1">
        <v>9.9</v>
      </c>
    </row>
    <row r="955" spans="1:8">
      <c r="A955" t="s">
        <v>3231</v>
      </c>
      <c r="B955" s="1">
        <v>3.4666666666666601</v>
      </c>
      <c r="C955" s="1">
        <v>5.6133333333333297</v>
      </c>
      <c r="D955" s="1">
        <v>9.19</v>
      </c>
      <c r="F955" s="1">
        <v>2.9</v>
      </c>
      <c r="G955" s="1">
        <v>4.9000000000000004</v>
      </c>
      <c r="H955" s="1">
        <v>8.8000000000000007</v>
      </c>
    </row>
    <row r="956" spans="1:8">
      <c r="A956" t="s">
        <v>3233</v>
      </c>
      <c r="B956" s="1">
        <v>4.2133333333333303</v>
      </c>
      <c r="C956" s="1">
        <v>5.78</v>
      </c>
      <c r="D956" s="1">
        <v>11.73</v>
      </c>
      <c r="F956" s="1">
        <v>3.3</v>
      </c>
      <c r="G956" s="1">
        <v>5.4</v>
      </c>
      <c r="H956" s="1">
        <v>9</v>
      </c>
    </row>
    <row r="957" spans="1:8">
      <c r="A957" t="s">
        <v>3234</v>
      </c>
      <c r="B957" s="1">
        <v>3.9733333333333301</v>
      </c>
      <c r="C957" s="1">
        <v>4.4233333333333302</v>
      </c>
      <c r="D957" s="1">
        <v>5.9899999999999904</v>
      </c>
      <c r="F957" s="1">
        <v>3.5</v>
      </c>
      <c r="G957" s="1">
        <v>5.7</v>
      </c>
      <c r="H957" s="1">
        <v>9.5</v>
      </c>
    </row>
    <row r="958" spans="1:8">
      <c r="A958" t="s">
        <v>3235</v>
      </c>
      <c r="B958" s="1">
        <v>3.2933333333333299</v>
      </c>
      <c r="C958" s="1">
        <v>3.6566666666666601</v>
      </c>
      <c r="D958" s="1">
        <v>4.9633333333333303</v>
      </c>
      <c r="F958" s="1">
        <v>3.4</v>
      </c>
      <c r="G958" s="1">
        <v>5.2</v>
      </c>
      <c r="H958" s="1">
        <v>7.5</v>
      </c>
    </row>
    <row r="959" spans="1:8">
      <c r="A959" t="s">
        <v>3237</v>
      </c>
      <c r="B959" s="1">
        <v>2.7933333333333299</v>
      </c>
      <c r="C959" s="1">
        <v>3.1</v>
      </c>
      <c r="D959" s="1">
        <v>4.2233333333333301</v>
      </c>
      <c r="F959" s="1">
        <v>2.7</v>
      </c>
      <c r="G959" s="1">
        <v>4.2</v>
      </c>
      <c r="H959" s="1">
        <v>6.7</v>
      </c>
    </row>
    <row r="960" spans="1:8">
      <c r="A960" t="s">
        <v>3238</v>
      </c>
      <c r="B960" s="1">
        <v>2.6066666666666598</v>
      </c>
      <c r="C960" s="1">
        <v>2.9033333333333302</v>
      </c>
      <c r="D960" s="1">
        <v>3.9366666666666599</v>
      </c>
      <c r="F960" s="1">
        <v>2</v>
      </c>
      <c r="G960" s="1">
        <v>3.3</v>
      </c>
      <c r="H960" s="1">
        <v>6.1</v>
      </c>
    </row>
    <row r="961" spans="1:8">
      <c r="A961" t="s">
        <v>3240</v>
      </c>
      <c r="B961" s="1">
        <v>2.64333333333333</v>
      </c>
      <c r="C961" s="1">
        <v>2.93</v>
      </c>
      <c r="D961" s="1">
        <v>3.9666666666666601</v>
      </c>
      <c r="F961" s="1">
        <v>2.4</v>
      </c>
      <c r="G961" s="1">
        <v>3.4</v>
      </c>
      <c r="H961" s="1">
        <v>5.3</v>
      </c>
    </row>
    <row r="962" spans="1:8">
      <c r="A962" t="s">
        <v>3242</v>
      </c>
      <c r="B962" s="1">
        <v>1.73</v>
      </c>
      <c r="C962" s="1">
        <v>1.92333333333333</v>
      </c>
      <c r="D962" s="1">
        <v>2.62333333333333</v>
      </c>
      <c r="F962" s="1">
        <v>2.1</v>
      </c>
      <c r="G962" s="1">
        <v>3.2</v>
      </c>
      <c r="H962" s="1">
        <v>6.7</v>
      </c>
    </row>
    <row r="963" spans="1:8">
      <c r="A963" t="s">
        <v>3243</v>
      </c>
      <c r="B963" s="1">
        <v>1.0333333333333301</v>
      </c>
      <c r="C963" s="1">
        <v>1.15333333333333</v>
      </c>
      <c r="D963" s="1">
        <v>1.57666666666666</v>
      </c>
      <c r="F963" s="1">
        <v>1</v>
      </c>
      <c r="G963" s="1">
        <v>1.7</v>
      </c>
      <c r="H963" s="1">
        <v>3.1</v>
      </c>
    </row>
    <row r="964" spans="1:8">
      <c r="A964" t="s">
        <v>3244</v>
      </c>
      <c r="B964" s="1">
        <v>1.29666666666666</v>
      </c>
      <c r="C964" s="1">
        <v>1.4466666666666601</v>
      </c>
      <c r="D964" s="1">
        <v>1.9733333333333301</v>
      </c>
      <c r="F964" s="1">
        <v>0.7</v>
      </c>
      <c r="G964" s="1">
        <v>1</v>
      </c>
      <c r="H964" s="1">
        <v>1.5</v>
      </c>
    </row>
    <row r="965" spans="1:8">
      <c r="A965" t="s">
        <v>3245</v>
      </c>
      <c r="B965" s="1">
        <v>0.68666666666666598</v>
      </c>
      <c r="C965" s="1">
        <v>0.75666666666666604</v>
      </c>
      <c r="D965" s="1">
        <v>1.04666666666666</v>
      </c>
      <c r="F965" s="1">
        <v>0.8</v>
      </c>
      <c r="G965" s="1">
        <v>1.3</v>
      </c>
      <c r="H965" s="1">
        <v>2.8</v>
      </c>
    </row>
    <row r="966" spans="1:8">
      <c r="A966" t="s">
        <v>3246</v>
      </c>
      <c r="B966" s="1">
        <v>0.44</v>
      </c>
      <c r="C966" s="1">
        <v>0.5</v>
      </c>
      <c r="D966" s="1">
        <v>0.68666666666666598</v>
      </c>
      <c r="F966" s="1">
        <v>0.6</v>
      </c>
      <c r="G966" s="1">
        <v>0.9</v>
      </c>
      <c r="H966" s="1">
        <v>1.9</v>
      </c>
    </row>
    <row r="967" spans="1:8">
      <c r="A967" t="s">
        <v>3247</v>
      </c>
      <c r="B967" s="1">
        <v>0.65666666666666595</v>
      </c>
      <c r="C967" s="1">
        <v>0.73999999999999899</v>
      </c>
      <c r="D967" s="1">
        <v>1.0233333333333301</v>
      </c>
      <c r="F967" s="1">
        <v>0.5</v>
      </c>
      <c r="G967" s="1">
        <v>0.7</v>
      </c>
      <c r="H967" s="1">
        <v>1.2</v>
      </c>
    </row>
    <row r="968" spans="1:8">
      <c r="A968" t="s">
        <v>3249</v>
      </c>
      <c r="B968" s="1">
        <v>0.62333333333333296</v>
      </c>
      <c r="C968" s="1">
        <v>0.69666666666666599</v>
      </c>
      <c r="D968" s="1">
        <v>0.96666666666666601</v>
      </c>
      <c r="F968" s="1">
        <v>0.6</v>
      </c>
      <c r="G968" s="1">
        <v>0.9</v>
      </c>
      <c r="H968" s="1">
        <v>1.5</v>
      </c>
    </row>
    <row r="969" spans="1:8">
      <c r="A969" t="s">
        <v>3250</v>
      </c>
      <c r="B969" s="1">
        <v>0.68333333333333302</v>
      </c>
      <c r="C969" s="1">
        <v>0.76666666666666605</v>
      </c>
      <c r="D969" s="1">
        <v>1.04666666666666</v>
      </c>
      <c r="F969" s="1">
        <v>0.5</v>
      </c>
      <c r="G969" s="1">
        <v>0.9</v>
      </c>
      <c r="H969" s="1">
        <v>2.1</v>
      </c>
    </row>
    <row r="970" spans="1:8">
      <c r="A970" t="s">
        <v>3252</v>
      </c>
      <c r="B970" s="1">
        <v>0.67</v>
      </c>
      <c r="C970" s="1">
        <v>0.74</v>
      </c>
      <c r="D970" s="1">
        <v>1.03999999999999</v>
      </c>
      <c r="F970" s="1">
        <v>0.6</v>
      </c>
      <c r="G970" s="1">
        <v>1.1000000000000001</v>
      </c>
      <c r="H970" s="1">
        <v>2.7</v>
      </c>
    </row>
    <row r="971" spans="1:8">
      <c r="A971" t="s">
        <v>3254</v>
      </c>
      <c r="B971" s="1">
        <v>0.63</v>
      </c>
      <c r="C971" s="1">
        <v>0.71333333333333304</v>
      </c>
      <c r="D971" s="1">
        <v>0.98</v>
      </c>
      <c r="F971" s="1">
        <v>0.6</v>
      </c>
      <c r="G971" s="1">
        <v>1.1000000000000001</v>
      </c>
      <c r="H971" s="1">
        <v>2.4</v>
      </c>
    </row>
    <row r="972" spans="1:8">
      <c r="A972" t="s">
        <v>3256</v>
      </c>
      <c r="B972" s="1">
        <v>0.97333333333333305</v>
      </c>
      <c r="C972" s="1">
        <v>1.0899999999999901</v>
      </c>
      <c r="D972" s="1">
        <v>1.48</v>
      </c>
      <c r="F972" s="1">
        <v>0.8</v>
      </c>
      <c r="G972" s="1">
        <v>1.2</v>
      </c>
      <c r="H972" s="1">
        <v>1.8</v>
      </c>
    </row>
    <row r="973" spans="1:8">
      <c r="A973" t="s">
        <v>3258</v>
      </c>
      <c r="B973" s="1">
        <v>2.30666666666666</v>
      </c>
      <c r="C973" s="1">
        <v>2.5533333333333301</v>
      </c>
      <c r="D973" s="1">
        <v>3.4766666666666599</v>
      </c>
      <c r="F973" s="1">
        <v>1.3</v>
      </c>
      <c r="G973" s="1">
        <v>2</v>
      </c>
      <c r="H973" s="1">
        <v>3.3</v>
      </c>
    </row>
    <row r="974" spans="1:8">
      <c r="A974" t="s">
        <v>3260</v>
      </c>
      <c r="B974" s="1">
        <v>16.95</v>
      </c>
      <c r="C974" s="1">
        <v>18.8266666666666</v>
      </c>
      <c r="D974" s="1">
        <v>25.4499999999999</v>
      </c>
      <c r="F974" s="1">
        <v>2.7</v>
      </c>
      <c r="G974" s="1">
        <v>5</v>
      </c>
      <c r="H974" s="1">
        <v>7.9</v>
      </c>
    </row>
    <row r="975" spans="1:8">
      <c r="A975" t="s">
        <v>3262</v>
      </c>
      <c r="B975" s="1">
        <v>15.4466666666666</v>
      </c>
      <c r="C975" s="1">
        <v>17.149999999999999</v>
      </c>
      <c r="D975" s="1">
        <v>23.19</v>
      </c>
      <c r="F975" s="1">
        <v>6.7</v>
      </c>
      <c r="G975" s="1">
        <v>13.9</v>
      </c>
      <c r="H975" s="1">
        <v>24.5</v>
      </c>
    </row>
    <row r="976" spans="1:8">
      <c r="A976" t="s">
        <v>3264</v>
      </c>
      <c r="B976" s="1">
        <v>11.283333333333299</v>
      </c>
      <c r="C976" s="1">
        <v>12.533333333333299</v>
      </c>
      <c r="D976" s="1">
        <v>16.9499999999999</v>
      </c>
      <c r="F976" s="1">
        <v>7.2</v>
      </c>
      <c r="G976" s="1">
        <v>15.5</v>
      </c>
      <c r="H976" s="1">
        <v>29</v>
      </c>
    </row>
    <row r="977" spans="1:8">
      <c r="A977" t="s">
        <v>3265</v>
      </c>
      <c r="B977" s="1">
        <v>8.3066666666666595</v>
      </c>
      <c r="C977" s="1">
        <v>9.2233333333333292</v>
      </c>
      <c r="D977" s="1">
        <v>12.49</v>
      </c>
      <c r="F977" s="1">
        <v>5.7</v>
      </c>
      <c r="G977" s="1">
        <v>12.1</v>
      </c>
      <c r="H977" s="1">
        <v>22</v>
      </c>
    </row>
    <row r="978" spans="1:8">
      <c r="A978" t="s">
        <v>3268</v>
      </c>
      <c r="B978" s="1">
        <v>5.2266666666666604</v>
      </c>
      <c r="C978" s="1">
        <v>5.8</v>
      </c>
      <c r="D978" s="1">
        <v>7.8599999999999897</v>
      </c>
      <c r="F978" s="1">
        <v>4.5999999999999996</v>
      </c>
      <c r="G978" s="1">
        <v>9.6</v>
      </c>
      <c r="H978" s="1">
        <v>16.7</v>
      </c>
    </row>
    <row r="979" spans="1:8">
      <c r="A979" t="s">
        <v>3269</v>
      </c>
      <c r="B979" s="1">
        <v>2.92</v>
      </c>
      <c r="C979" s="1">
        <v>3.23999999999999</v>
      </c>
      <c r="D979" s="1">
        <v>4.4066666666666601</v>
      </c>
      <c r="F979" s="1">
        <v>3.4</v>
      </c>
      <c r="G979" s="1">
        <v>6.3</v>
      </c>
      <c r="H979" s="1">
        <v>11.4</v>
      </c>
    </row>
    <row r="980" spans="1:8">
      <c r="A980" t="s">
        <v>3270</v>
      </c>
      <c r="B980" s="1">
        <v>2.7766666666666602</v>
      </c>
      <c r="C980" s="1">
        <v>3.09666666666666</v>
      </c>
      <c r="D980" s="1">
        <v>4.1899999999999897</v>
      </c>
      <c r="F980" s="1">
        <v>2.5</v>
      </c>
      <c r="G980" s="1">
        <v>4.3</v>
      </c>
      <c r="H980" s="1">
        <v>7.8</v>
      </c>
    </row>
    <row r="981" spans="1:8">
      <c r="A981" t="s">
        <v>3272</v>
      </c>
      <c r="B981" s="1">
        <v>1.7933333333333299</v>
      </c>
      <c r="C981" s="1">
        <v>1.99</v>
      </c>
      <c r="D981" s="1">
        <v>2.7133333333333298</v>
      </c>
      <c r="F981" s="1">
        <v>2.2000000000000002</v>
      </c>
      <c r="G981" s="1">
        <v>3.5</v>
      </c>
      <c r="H981" s="1">
        <v>5.8</v>
      </c>
    </row>
    <row r="982" spans="1:8">
      <c r="A982" t="s">
        <v>3274</v>
      </c>
      <c r="B982" s="1">
        <v>1.76</v>
      </c>
      <c r="C982" s="1">
        <v>1.9566666666666599</v>
      </c>
      <c r="D982" s="1">
        <v>2.6666666666666599</v>
      </c>
      <c r="F982" s="1">
        <v>2.1</v>
      </c>
      <c r="G982" s="1">
        <v>3</v>
      </c>
      <c r="H982" s="1">
        <v>4.4000000000000004</v>
      </c>
    </row>
    <row r="983" spans="1:8">
      <c r="A983" t="s">
        <v>3276</v>
      </c>
      <c r="B983" s="1">
        <v>1.64333333333333</v>
      </c>
      <c r="C983" s="1">
        <v>1.8299999999999901</v>
      </c>
      <c r="D983" s="1">
        <v>2.4966666666666599</v>
      </c>
      <c r="F983" s="1">
        <v>2</v>
      </c>
      <c r="G983" s="1">
        <v>2.8</v>
      </c>
      <c r="H983" s="1">
        <v>4.7</v>
      </c>
    </row>
    <row r="984" spans="1:8">
      <c r="A984" t="s">
        <v>3278</v>
      </c>
      <c r="B984" s="1">
        <v>2.0499999999999998</v>
      </c>
      <c r="C984" s="1">
        <v>2.2833333333333301</v>
      </c>
      <c r="D984" s="1">
        <v>3.09666666666666</v>
      </c>
      <c r="F984" s="1">
        <v>1.9</v>
      </c>
      <c r="G984" s="1">
        <v>2.6</v>
      </c>
      <c r="H984" s="1">
        <v>3.8</v>
      </c>
    </row>
    <row r="985" spans="1:8">
      <c r="A985" t="s">
        <v>3280</v>
      </c>
      <c r="B985" s="1">
        <v>3.5833333333333299</v>
      </c>
      <c r="C985" s="1">
        <v>3.9866666666666601</v>
      </c>
      <c r="D985" s="1">
        <v>5.39</v>
      </c>
      <c r="F985" s="1">
        <v>2.9</v>
      </c>
      <c r="G985" s="1">
        <v>3.7</v>
      </c>
      <c r="H985" s="1">
        <v>5.8</v>
      </c>
    </row>
    <row r="986" spans="1:8">
      <c r="A986" t="s">
        <v>3282</v>
      </c>
      <c r="B986" s="1">
        <v>3.3533333333333299</v>
      </c>
      <c r="C986" s="1">
        <v>3.7099999999999902</v>
      </c>
      <c r="D986" s="1">
        <v>5.0533333333333301</v>
      </c>
      <c r="F986" s="1">
        <v>4.9000000000000004</v>
      </c>
      <c r="G986" s="1">
        <v>5.7</v>
      </c>
      <c r="H986" s="1">
        <v>7.6</v>
      </c>
    </row>
    <row r="987" spans="1:8">
      <c r="A987" t="s">
        <v>3284</v>
      </c>
      <c r="B987" s="1">
        <v>2.6266666666666598</v>
      </c>
      <c r="C987" s="1">
        <v>2.9199999999999902</v>
      </c>
      <c r="D987" s="1">
        <v>3.9733333333333301</v>
      </c>
      <c r="F987" s="1">
        <v>5.2</v>
      </c>
      <c r="G987" s="1">
        <v>5.9</v>
      </c>
      <c r="H987" s="1">
        <v>7.8</v>
      </c>
    </row>
    <row r="988" spans="1:8">
      <c r="A988" t="s">
        <v>3286</v>
      </c>
      <c r="B988" s="1">
        <v>3.08</v>
      </c>
      <c r="C988" s="1">
        <v>3.4266666666666601</v>
      </c>
      <c r="D988" s="1">
        <v>4.6533333333333298</v>
      </c>
      <c r="F988" s="1">
        <v>4.5999999999999996</v>
      </c>
      <c r="G988" s="1">
        <v>5.2</v>
      </c>
      <c r="H988" s="1">
        <v>6.9</v>
      </c>
    </row>
    <row r="989" spans="1:8">
      <c r="A989" t="s">
        <v>3288</v>
      </c>
      <c r="B989" s="1">
        <v>3.19999999999999</v>
      </c>
      <c r="C989" s="1">
        <v>3.5499999999999901</v>
      </c>
      <c r="D989" s="1">
        <v>4.82666666666666</v>
      </c>
      <c r="F989" s="1">
        <v>5.2</v>
      </c>
      <c r="G989" s="1">
        <v>5.8</v>
      </c>
      <c r="H989" s="1">
        <v>7.7</v>
      </c>
    </row>
    <row r="990" spans="1:8">
      <c r="A990" t="s">
        <v>3290</v>
      </c>
      <c r="B990" s="1">
        <v>3.4266666666666601</v>
      </c>
      <c r="C990" s="1">
        <v>3.8133333333333299</v>
      </c>
      <c r="D990" s="1">
        <v>5.1666666666666599</v>
      </c>
      <c r="F990" s="1">
        <v>5.6</v>
      </c>
      <c r="G990" s="1">
        <v>6.3</v>
      </c>
      <c r="H990" s="1">
        <v>7.6</v>
      </c>
    </row>
    <row r="991" spans="1:8">
      <c r="A991" t="s">
        <v>3292</v>
      </c>
      <c r="B991" s="1">
        <v>1.8899999999999899</v>
      </c>
      <c r="C991" s="1">
        <v>2.09666666666666</v>
      </c>
      <c r="D991" s="1">
        <v>2.8599999999999901</v>
      </c>
      <c r="F991" s="1">
        <v>5</v>
      </c>
      <c r="G991" s="1">
        <v>5.6</v>
      </c>
      <c r="H991" s="1">
        <v>7.4</v>
      </c>
    </row>
    <row r="992" spans="1:8">
      <c r="A992" t="s">
        <v>3293</v>
      </c>
      <c r="B992" s="1">
        <v>1.68</v>
      </c>
      <c r="C992" s="1">
        <v>1.86666666666666</v>
      </c>
      <c r="D992" s="1">
        <v>2.5466666666666602</v>
      </c>
      <c r="F992" s="1">
        <v>3.6</v>
      </c>
      <c r="G992" s="1">
        <v>4.2</v>
      </c>
      <c r="H992" s="1">
        <v>6.1</v>
      </c>
    </row>
    <row r="993" spans="1:8">
      <c r="A993" t="s">
        <v>3294</v>
      </c>
      <c r="B993" s="1">
        <v>1.9833333333333301</v>
      </c>
      <c r="C993" s="1">
        <v>2.21</v>
      </c>
      <c r="D993" s="1">
        <v>3.0033333333333299</v>
      </c>
      <c r="F993" s="1">
        <v>3</v>
      </c>
      <c r="G993" s="1">
        <v>3.5</v>
      </c>
      <c r="H993" s="1">
        <v>4.7</v>
      </c>
    </row>
    <row r="994" spans="1:8">
      <c r="A994" t="s">
        <v>3296</v>
      </c>
      <c r="B994" s="1">
        <v>1.7366666666666599</v>
      </c>
      <c r="C994" s="1">
        <v>1.93</v>
      </c>
      <c r="D994" s="1">
        <v>2.61666666666666</v>
      </c>
      <c r="F994" s="1">
        <v>2.8</v>
      </c>
      <c r="G994" s="1">
        <v>3.3</v>
      </c>
      <c r="H994" s="1">
        <v>4.7</v>
      </c>
    </row>
    <row r="995" spans="1:8">
      <c r="A995" t="s">
        <v>3298</v>
      </c>
      <c r="B995" s="1">
        <v>1.3</v>
      </c>
      <c r="C995" s="1">
        <v>1.45</v>
      </c>
      <c r="D995" s="1">
        <v>1.98</v>
      </c>
      <c r="F995" s="1">
        <v>2.6</v>
      </c>
      <c r="G995" s="1">
        <v>3</v>
      </c>
      <c r="H995" s="1">
        <v>4.2</v>
      </c>
    </row>
    <row r="996" spans="1:8">
      <c r="A996" t="s">
        <v>3299</v>
      </c>
      <c r="B996" s="1">
        <v>1.54666666666666</v>
      </c>
      <c r="C996" s="1">
        <v>1.7266666666666599</v>
      </c>
      <c r="D996" s="1">
        <v>2.34666666666666</v>
      </c>
      <c r="F996" s="1">
        <v>2.2999999999999998</v>
      </c>
      <c r="G996" s="1">
        <v>2.7</v>
      </c>
      <c r="H996" s="1">
        <v>4</v>
      </c>
    </row>
    <row r="997" spans="1:8">
      <c r="A997" t="s">
        <v>3301</v>
      </c>
      <c r="B997" s="1">
        <v>1.82666666666666</v>
      </c>
      <c r="C997" s="1">
        <v>2.0299999999999998</v>
      </c>
      <c r="D997" s="1">
        <v>2.7633333333333301</v>
      </c>
      <c r="F997" s="1">
        <v>2.5</v>
      </c>
      <c r="G997" s="1">
        <v>3</v>
      </c>
      <c r="H997" s="1">
        <v>4.3</v>
      </c>
    </row>
    <row r="998" spans="1:8">
      <c r="A998" t="s">
        <v>3303</v>
      </c>
      <c r="B998" s="1">
        <v>2.1466666666666598</v>
      </c>
      <c r="C998" s="1">
        <v>2.38</v>
      </c>
      <c r="D998" s="1">
        <v>3.2266666666666599</v>
      </c>
      <c r="F998" s="1">
        <v>3.1</v>
      </c>
      <c r="G998" s="1">
        <v>3.7</v>
      </c>
      <c r="H998" s="1">
        <v>5.4</v>
      </c>
    </row>
    <row r="999" spans="1:8">
      <c r="A999" t="s">
        <v>3304</v>
      </c>
      <c r="B999" s="1">
        <v>1.62</v>
      </c>
      <c r="C999" s="1">
        <v>1.7933333333333299</v>
      </c>
      <c r="D999" s="1">
        <v>2.4466666666666601</v>
      </c>
      <c r="F999" s="1">
        <v>3.7</v>
      </c>
      <c r="G999" s="1">
        <v>4.3</v>
      </c>
      <c r="H999" s="1">
        <v>5.9</v>
      </c>
    </row>
    <row r="1000" spans="1:8">
      <c r="A1000" t="s">
        <v>3306</v>
      </c>
      <c r="B1000" s="1">
        <v>1.08666666666666</v>
      </c>
      <c r="C1000" s="1">
        <v>1.2066666666666599</v>
      </c>
      <c r="D1000" s="1">
        <v>1.65333333333333</v>
      </c>
      <c r="F1000" s="1">
        <v>2.4</v>
      </c>
      <c r="G1000" s="1">
        <v>3</v>
      </c>
      <c r="H1000" s="1">
        <v>4.5999999999999996</v>
      </c>
    </row>
    <row r="1001" spans="1:8">
      <c r="A1001" t="s">
        <v>3307</v>
      </c>
      <c r="B1001" s="1">
        <v>1.4866666666666599</v>
      </c>
      <c r="C1001" s="1">
        <v>1.6566666666666601</v>
      </c>
      <c r="D1001" s="1">
        <v>2.2599999999999998</v>
      </c>
      <c r="F1001" s="1">
        <v>1.6</v>
      </c>
      <c r="G1001" s="1">
        <v>2.2000000000000002</v>
      </c>
      <c r="H1001" s="1">
        <v>4.5</v>
      </c>
    </row>
    <row r="1002" spans="1:8">
      <c r="A1002" t="s">
        <v>3309</v>
      </c>
      <c r="B1002" s="1">
        <v>4.87</v>
      </c>
      <c r="C1002" s="1">
        <v>5.4133333333333304</v>
      </c>
      <c r="D1002" s="1">
        <v>7.33</v>
      </c>
      <c r="F1002" s="1">
        <v>2.2000000000000002</v>
      </c>
      <c r="G1002" s="1">
        <v>2.8</v>
      </c>
      <c r="H1002" s="1">
        <v>5.0999999999999996</v>
      </c>
    </row>
    <row r="1003" spans="1:8">
      <c r="A1003" t="s">
        <v>3311</v>
      </c>
      <c r="B1003" s="1">
        <v>4.0866666666666598</v>
      </c>
      <c r="C1003" s="1">
        <v>4.5499999999999901</v>
      </c>
      <c r="D1003" s="1">
        <v>6.1566666666666601</v>
      </c>
      <c r="F1003" s="1">
        <v>5.6</v>
      </c>
      <c r="G1003" s="1">
        <v>6.3</v>
      </c>
      <c r="H1003" s="1">
        <v>7.6</v>
      </c>
    </row>
    <row r="1004" spans="1:8">
      <c r="A1004" t="s">
        <v>3313</v>
      </c>
      <c r="B1004" s="1">
        <v>4.47</v>
      </c>
      <c r="C1004" s="1">
        <v>4.9666666666666597</v>
      </c>
      <c r="D1004" s="1">
        <v>6.7266666666666604</v>
      </c>
      <c r="F1004" s="1">
        <v>6.8</v>
      </c>
      <c r="G1004" s="1">
        <v>7.4</v>
      </c>
      <c r="H1004" s="1">
        <v>8.9</v>
      </c>
    </row>
    <row r="1005" spans="1:8">
      <c r="A1005" t="s">
        <v>3315</v>
      </c>
      <c r="B1005" s="1">
        <v>3.87</v>
      </c>
      <c r="C1005" s="1">
        <v>4.2966666666666598</v>
      </c>
      <c r="D1005" s="1">
        <v>5.8166666666666602</v>
      </c>
      <c r="F1005" s="1">
        <v>6.9</v>
      </c>
      <c r="G1005" s="1">
        <v>7.6</v>
      </c>
      <c r="H1005" s="1">
        <v>9.6</v>
      </c>
    </row>
    <row r="1006" spans="1:8">
      <c r="A1006" t="s">
        <v>3317</v>
      </c>
      <c r="B1006" s="1">
        <v>1.5633333333333299</v>
      </c>
      <c r="C1006" s="1">
        <v>1.7566666666666599</v>
      </c>
      <c r="D1006" s="1">
        <v>2.38</v>
      </c>
      <c r="F1006" s="1">
        <v>4.9000000000000004</v>
      </c>
      <c r="G1006" s="1">
        <v>5.6</v>
      </c>
      <c r="H1006" s="1">
        <v>7.1</v>
      </c>
    </row>
    <row r="1007" spans="1:8">
      <c r="A1007" t="s">
        <v>3319</v>
      </c>
      <c r="B1007" s="1">
        <v>1.0733333333333299</v>
      </c>
      <c r="C1007" s="1">
        <v>1.2</v>
      </c>
      <c r="D1007" s="1">
        <v>1.63333333333333</v>
      </c>
      <c r="F1007" s="1">
        <v>2.4</v>
      </c>
      <c r="G1007" s="1">
        <v>3</v>
      </c>
      <c r="H1007" s="1">
        <v>4.5</v>
      </c>
    </row>
    <row r="1008" spans="1:8">
      <c r="A1008" t="s">
        <v>3320</v>
      </c>
      <c r="B1008" s="1">
        <v>0.81666666666666599</v>
      </c>
      <c r="C1008" s="1">
        <v>0.90666666666666595</v>
      </c>
      <c r="D1008" s="1">
        <v>1.23999999999999</v>
      </c>
      <c r="F1008" s="1">
        <v>1.7</v>
      </c>
      <c r="G1008" s="1">
        <v>2.5</v>
      </c>
      <c r="H1008" s="1">
        <v>5.0999999999999996</v>
      </c>
    </row>
    <row r="1009" spans="1:8">
      <c r="A1009" t="s">
        <v>3322</v>
      </c>
      <c r="B1009" s="1">
        <v>1.1766666666666601</v>
      </c>
      <c r="C1009" s="1">
        <v>1.3033333333333299</v>
      </c>
      <c r="D1009" s="1">
        <v>1.7933333333333299</v>
      </c>
      <c r="F1009" s="1">
        <v>1.8</v>
      </c>
      <c r="G1009" s="1">
        <v>2.6</v>
      </c>
      <c r="H1009" s="1">
        <v>4.8</v>
      </c>
    </row>
    <row r="1010" spans="1:8">
      <c r="A1010" t="s">
        <v>3324</v>
      </c>
      <c r="B1010" s="1">
        <v>1.70333333333333</v>
      </c>
      <c r="C1010" s="1">
        <v>1.90333333333333</v>
      </c>
      <c r="D1010" s="1">
        <v>2.5866666666666598</v>
      </c>
      <c r="F1010" s="1">
        <v>1.9</v>
      </c>
      <c r="G1010" s="1">
        <v>2.8</v>
      </c>
      <c r="H1010" s="1">
        <v>5.6</v>
      </c>
    </row>
    <row r="1011" spans="1:8">
      <c r="A1011" t="s">
        <v>3326</v>
      </c>
      <c r="B1011" s="1">
        <v>2.3033333333333301</v>
      </c>
      <c r="C1011" s="1">
        <v>2.5533333333333301</v>
      </c>
      <c r="D1011" s="1">
        <v>3.4766666666666599</v>
      </c>
      <c r="F1011" s="1">
        <v>2.6</v>
      </c>
      <c r="G1011" s="1">
        <v>3.5</v>
      </c>
      <c r="H1011" s="1">
        <v>6.7</v>
      </c>
    </row>
    <row r="1012" spans="1:8">
      <c r="A1012" t="s">
        <v>3327</v>
      </c>
      <c r="B1012" s="1">
        <v>0.98</v>
      </c>
      <c r="C1012" s="1">
        <v>1.09666666666666</v>
      </c>
      <c r="D1012" s="1">
        <v>1.4966666666666599</v>
      </c>
      <c r="F1012" s="1">
        <v>2.8</v>
      </c>
      <c r="G1012" s="1">
        <v>3.5</v>
      </c>
      <c r="H1012" s="1">
        <v>6.2</v>
      </c>
    </row>
    <row r="1013" spans="1:8">
      <c r="A1013" t="s">
        <v>3329</v>
      </c>
      <c r="B1013" s="1">
        <v>0.93666666666666598</v>
      </c>
      <c r="C1013" s="1">
        <v>1.03666666666666</v>
      </c>
      <c r="D1013" s="1">
        <v>1.4199999999999899</v>
      </c>
      <c r="F1013" s="1">
        <v>1.4</v>
      </c>
      <c r="G1013" s="1">
        <v>2</v>
      </c>
      <c r="H1013" s="1">
        <v>4.2</v>
      </c>
    </row>
    <row r="1014" spans="1:8">
      <c r="A1014" t="s">
        <v>3330</v>
      </c>
      <c r="B1014" s="1">
        <v>1.48999999999999</v>
      </c>
      <c r="C1014" s="1">
        <v>1.66</v>
      </c>
      <c r="D1014" s="1">
        <v>2.2599999999999998</v>
      </c>
      <c r="F1014" s="1">
        <v>1.6</v>
      </c>
      <c r="G1014" s="1">
        <v>2.2000000000000002</v>
      </c>
      <c r="H1014" s="1">
        <v>4.5</v>
      </c>
    </row>
    <row r="1015" spans="1:8">
      <c r="A1015" t="s">
        <v>3332</v>
      </c>
      <c r="B1015" s="1">
        <v>1.0233333333333301</v>
      </c>
      <c r="C1015" s="1">
        <v>1.1399999999999999</v>
      </c>
      <c r="D1015" s="1">
        <v>1.55666666666666</v>
      </c>
      <c r="F1015" s="1">
        <v>2</v>
      </c>
      <c r="G1015" s="1">
        <v>2.7</v>
      </c>
      <c r="H1015" s="1">
        <v>4.9000000000000004</v>
      </c>
    </row>
    <row r="1016" spans="1:8">
      <c r="A1016" t="s">
        <v>3333</v>
      </c>
      <c r="B1016" s="1">
        <v>1.15333333333333</v>
      </c>
      <c r="C1016" s="1">
        <v>1.2999999999999901</v>
      </c>
      <c r="D1016" s="1">
        <v>1.74999999999999</v>
      </c>
      <c r="F1016" s="1">
        <v>2</v>
      </c>
      <c r="G1016" s="1">
        <v>2.5</v>
      </c>
      <c r="H1016" s="1">
        <v>4.7</v>
      </c>
    </row>
    <row r="1017" spans="1:8">
      <c r="A1017" t="s">
        <v>3335</v>
      </c>
      <c r="B1017" s="1">
        <v>1.4833333333333301</v>
      </c>
      <c r="C1017" s="1">
        <v>1.64333333333333</v>
      </c>
      <c r="D1017" s="1">
        <v>2.2633333333333301</v>
      </c>
      <c r="F1017" s="1">
        <v>2.2000000000000002</v>
      </c>
      <c r="G1017" s="1">
        <v>2.7</v>
      </c>
      <c r="H1017" s="1">
        <v>4.2</v>
      </c>
    </row>
    <row r="1018" spans="1:8">
      <c r="A1018" t="s">
        <v>3337</v>
      </c>
      <c r="B1018" s="1">
        <v>1.6</v>
      </c>
      <c r="C1018" s="1">
        <v>1.7666666666666599</v>
      </c>
      <c r="D1018" s="1">
        <v>2.4199999999999902</v>
      </c>
      <c r="F1018" s="1">
        <v>2.2999999999999998</v>
      </c>
      <c r="G1018" s="1">
        <v>2.7</v>
      </c>
      <c r="H1018" s="1">
        <v>4</v>
      </c>
    </row>
    <row r="1019" spans="1:8">
      <c r="A1019" t="s">
        <v>3339</v>
      </c>
      <c r="B1019" s="1">
        <v>1.71999999999999</v>
      </c>
      <c r="C1019" s="1">
        <v>1.9166666666666601</v>
      </c>
      <c r="D1019" s="1">
        <v>2.6066666666666598</v>
      </c>
      <c r="F1019" s="1">
        <v>2.2999999999999998</v>
      </c>
      <c r="G1019" s="1">
        <v>2.7</v>
      </c>
      <c r="H1019" s="1">
        <v>3.9</v>
      </c>
    </row>
    <row r="1020" spans="1:8">
      <c r="A1020" t="s">
        <v>3341</v>
      </c>
      <c r="B1020" s="1">
        <v>1.0733333333333299</v>
      </c>
      <c r="C1020" s="1">
        <v>1.1866666666666601</v>
      </c>
      <c r="D1020" s="1">
        <v>1.6366666666666601</v>
      </c>
      <c r="F1020" s="1">
        <v>2.5</v>
      </c>
      <c r="G1020" s="1">
        <v>3</v>
      </c>
      <c r="H1020" s="1">
        <v>4.5</v>
      </c>
    </row>
    <row r="1021" spans="1:8">
      <c r="A1021" t="s">
        <v>3343</v>
      </c>
      <c r="B1021" s="1">
        <v>1.2666666666666599</v>
      </c>
      <c r="C1021" s="1">
        <v>1.41</v>
      </c>
      <c r="D1021" s="1">
        <v>1.93333333333333</v>
      </c>
      <c r="F1021" s="1">
        <v>2.4</v>
      </c>
      <c r="G1021" s="1">
        <v>2.8</v>
      </c>
      <c r="H1021" s="1">
        <v>4.0999999999999996</v>
      </c>
    </row>
    <row r="1022" spans="1:8">
      <c r="A1022" t="s">
        <v>3345</v>
      </c>
      <c r="B1022" s="1">
        <v>1.6033333333333299</v>
      </c>
      <c r="C1022" s="1">
        <v>1.77</v>
      </c>
      <c r="D1022" s="1">
        <v>2.4166666666666599</v>
      </c>
      <c r="F1022" s="1">
        <v>2.4</v>
      </c>
      <c r="G1022" s="1">
        <v>2.9</v>
      </c>
      <c r="H1022" s="1">
        <v>4.7</v>
      </c>
    </row>
    <row r="1023" spans="1:8">
      <c r="A1023" t="s">
        <v>3347</v>
      </c>
      <c r="B1023" s="1">
        <v>1.5166666666666599</v>
      </c>
      <c r="C1023" s="1">
        <v>1.6866666666666601</v>
      </c>
      <c r="D1023" s="1">
        <v>2.2999999999999901</v>
      </c>
      <c r="F1023" s="1">
        <v>2.7</v>
      </c>
      <c r="G1023" s="1">
        <v>3.4</v>
      </c>
      <c r="H1023" s="1">
        <v>5.7</v>
      </c>
    </row>
    <row r="1024" spans="1:8">
      <c r="A1024" t="s">
        <v>3349</v>
      </c>
      <c r="B1024" s="1">
        <v>2.5466666666666602</v>
      </c>
      <c r="C1024" s="1">
        <v>2.8333333333333299</v>
      </c>
      <c r="D1024" s="1">
        <v>3.8533333333333299</v>
      </c>
      <c r="F1024" s="1">
        <v>3</v>
      </c>
      <c r="G1024" s="1">
        <v>3.6</v>
      </c>
      <c r="H1024" s="1">
        <v>5.5</v>
      </c>
    </row>
    <row r="1025" spans="1:8">
      <c r="A1025" t="s">
        <v>3351</v>
      </c>
      <c r="B1025" s="1">
        <v>2.9466666666666601</v>
      </c>
      <c r="C1025" s="1">
        <v>3.27</v>
      </c>
      <c r="D1025" s="1">
        <v>4.4433333333333298</v>
      </c>
      <c r="F1025" s="1">
        <v>4.2</v>
      </c>
      <c r="G1025" s="1">
        <v>5.0999999999999996</v>
      </c>
      <c r="H1025" s="1">
        <v>8.6</v>
      </c>
    </row>
    <row r="1026" spans="1:8">
      <c r="A1026" t="s">
        <v>3353</v>
      </c>
      <c r="B1026" s="1">
        <v>3.2633333333333301</v>
      </c>
      <c r="C1026" s="1">
        <v>3.64</v>
      </c>
      <c r="D1026" s="1">
        <v>4.9233333333333302</v>
      </c>
      <c r="F1026" s="1">
        <v>4.8</v>
      </c>
      <c r="G1026" s="1">
        <v>6</v>
      </c>
      <c r="H1026" s="1">
        <v>9.6999999999999993</v>
      </c>
    </row>
    <row r="1027" spans="1:8">
      <c r="A1027" t="s">
        <v>3355</v>
      </c>
      <c r="B1027" s="1">
        <v>3.82666666666666</v>
      </c>
      <c r="C1027" s="1">
        <v>4.2433333333333296</v>
      </c>
      <c r="D1027" s="1">
        <v>5.77</v>
      </c>
      <c r="F1027" s="1">
        <v>4.8</v>
      </c>
      <c r="G1027" s="1">
        <v>5.9</v>
      </c>
      <c r="H1027" s="1">
        <v>11.1</v>
      </c>
    </row>
    <row r="1028" spans="1:8">
      <c r="A1028" t="s">
        <v>3357</v>
      </c>
      <c r="B1028" s="1">
        <v>2.4233333333333298</v>
      </c>
      <c r="C1028" s="1">
        <v>2.8566666666666598</v>
      </c>
      <c r="D1028" s="1">
        <v>3.78</v>
      </c>
      <c r="F1028" s="1">
        <v>5.4</v>
      </c>
      <c r="G1028" s="1">
        <v>6.7</v>
      </c>
      <c r="H1028" s="1">
        <v>12.3</v>
      </c>
    </row>
    <row r="1029" spans="1:8">
      <c r="A1029" t="s">
        <v>3359</v>
      </c>
      <c r="B1029" s="1">
        <v>2.7566666666666602</v>
      </c>
      <c r="C1029" s="1">
        <v>3.3833333333333302</v>
      </c>
      <c r="D1029" s="1">
        <v>4.3966666666666603</v>
      </c>
      <c r="F1029" s="1">
        <v>3.7</v>
      </c>
      <c r="G1029" s="1">
        <v>5.2</v>
      </c>
      <c r="H1029" s="1">
        <v>9.8000000000000007</v>
      </c>
    </row>
    <row r="1030" spans="1:8">
      <c r="A1030" t="s">
        <v>3361</v>
      </c>
      <c r="B1030" s="1">
        <v>2.80666666666666</v>
      </c>
      <c r="C1030" s="1">
        <v>4.2533333333333303</v>
      </c>
      <c r="D1030" s="1">
        <v>5.4466666666666601</v>
      </c>
      <c r="F1030" s="1">
        <v>4.2</v>
      </c>
      <c r="G1030" s="1">
        <v>6.2</v>
      </c>
      <c r="H1030" s="1">
        <v>15.3</v>
      </c>
    </row>
    <row r="1031" spans="1:8">
      <c r="A1031" t="s">
        <v>3363</v>
      </c>
      <c r="B1031" s="1">
        <v>2.4866666666666601</v>
      </c>
      <c r="C1031" s="1">
        <v>3.73999999999999</v>
      </c>
      <c r="D1031" s="1">
        <v>4.9066666666666601</v>
      </c>
      <c r="F1031" s="1">
        <v>4</v>
      </c>
      <c r="G1031" s="1">
        <v>5.8</v>
      </c>
      <c r="H1031" s="1">
        <v>14</v>
      </c>
    </row>
    <row r="1032" spans="1:8">
      <c r="A1032" t="s">
        <v>3365</v>
      </c>
      <c r="B1032" s="1">
        <v>2.2766666666666602</v>
      </c>
      <c r="C1032" s="1">
        <v>3.4799999999999902</v>
      </c>
      <c r="D1032" s="1">
        <v>4.7233333333333301</v>
      </c>
      <c r="F1032" s="1">
        <v>3.1</v>
      </c>
      <c r="G1032" s="1">
        <v>4.5999999999999996</v>
      </c>
      <c r="H1032" s="1">
        <v>10.5</v>
      </c>
    </row>
    <row r="1033" spans="1:8">
      <c r="A1033" t="s">
        <v>3367</v>
      </c>
      <c r="B1033" s="1">
        <v>2.4733333333333301</v>
      </c>
      <c r="C1033" s="1">
        <v>3.75</v>
      </c>
      <c r="D1033" s="1">
        <v>4.9266666666666596</v>
      </c>
      <c r="F1033" s="1">
        <v>2.8</v>
      </c>
      <c r="G1033" s="1">
        <v>4.5</v>
      </c>
      <c r="H1033" s="1">
        <v>11.9</v>
      </c>
    </row>
    <row r="1034" spans="1:8">
      <c r="A1034" t="s">
        <v>3369</v>
      </c>
      <c r="B1034" s="1">
        <v>2.62333333333333</v>
      </c>
      <c r="C1034" s="1">
        <v>3.75</v>
      </c>
      <c r="D1034" s="1">
        <v>6.86666666666666</v>
      </c>
      <c r="F1034" s="1">
        <v>2.8</v>
      </c>
      <c r="G1034" s="1">
        <v>4.5999999999999996</v>
      </c>
      <c r="H1034" s="1">
        <v>11.2</v>
      </c>
    </row>
    <row r="1035" spans="1:8">
      <c r="A1035" t="s">
        <v>3371</v>
      </c>
      <c r="B1035" s="1">
        <v>2.6666666666666599</v>
      </c>
      <c r="C1035" s="1">
        <v>3.47</v>
      </c>
      <c r="D1035" s="1">
        <v>4.3466666666666596</v>
      </c>
      <c r="F1035" s="1">
        <v>2.9</v>
      </c>
      <c r="G1035" s="1">
        <v>4.5</v>
      </c>
      <c r="H1035" s="1">
        <v>9.1999999999999993</v>
      </c>
    </row>
    <row r="1036" spans="1:8">
      <c r="A1036" t="s">
        <v>3373</v>
      </c>
      <c r="B1036" s="1">
        <v>2.84666666666666</v>
      </c>
      <c r="C1036" s="1">
        <v>3.9566666666666599</v>
      </c>
      <c r="D1036" s="1">
        <v>6.45</v>
      </c>
      <c r="F1036" s="1">
        <v>3</v>
      </c>
      <c r="G1036" s="1">
        <v>4.7</v>
      </c>
      <c r="H1036" s="1">
        <v>10.4</v>
      </c>
    </row>
    <row r="1037" spans="1:8">
      <c r="A1037" t="s">
        <v>3374</v>
      </c>
      <c r="B1037" s="1">
        <v>2.8433333333333302</v>
      </c>
      <c r="C1037" s="1">
        <v>4.0833333333333304</v>
      </c>
      <c r="D1037" s="1">
        <v>6.18</v>
      </c>
      <c r="F1037" s="1">
        <v>3.3</v>
      </c>
      <c r="G1037" s="1">
        <v>5.4</v>
      </c>
      <c r="H1037" s="1">
        <v>14.3</v>
      </c>
    </row>
    <row r="1038" spans="1:8">
      <c r="A1038" t="s">
        <v>3375</v>
      </c>
      <c r="B1038" s="1">
        <v>2.63</v>
      </c>
      <c r="C1038" s="1">
        <v>4.2799999999999896</v>
      </c>
      <c r="D1038" s="1">
        <v>7.0933333333333302</v>
      </c>
      <c r="F1038" s="1">
        <v>3.3</v>
      </c>
      <c r="G1038" s="1">
        <v>5.6</v>
      </c>
      <c r="H1038" s="1">
        <v>14.8</v>
      </c>
    </row>
    <row r="1039" spans="1:8">
      <c r="A1039" t="s">
        <v>3377</v>
      </c>
      <c r="B1039" s="1">
        <v>2.3866666666666601</v>
      </c>
      <c r="C1039" s="1">
        <v>3.26</v>
      </c>
      <c r="D1039" s="1">
        <v>5.29</v>
      </c>
      <c r="F1039" s="1">
        <v>3.1</v>
      </c>
      <c r="G1039" s="1">
        <v>5.4</v>
      </c>
      <c r="H1039" s="1">
        <v>15.8</v>
      </c>
    </row>
    <row r="1040" spans="1:8">
      <c r="A1040" t="s">
        <v>3378</v>
      </c>
      <c r="B1040" s="1">
        <v>2.1966666666666601</v>
      </c>
      <c r="C1040" s="1">
        <v>3.17</v>
      </c>
      <c r="D1040" s="1">
        <v>4.97</v>
      </c>
      <c r="F1040" s="1">
        <v>3</v>
      </c>
      <c r="G1040" s="1">
        <v>5</v>
      </c>
      <c r="H1040" s="1">
        <v>12.2</v>
      </c>
    </row>
    <row r="1041" spans="1:8">
      <c r="A1041" t="s">
        <v>3380</v>
      </c>
      <c r="B1041" s="1">
        <v>2.9099999999999899</v>
      </c>
      <c r="C1041" s="1">
        <v>4.5566666666666604</v>
      </c>
      <c r="D1041" s="1">
        <v>6.7966666666666598</v>
      </c>
      <c r="F1041" s="1">
        <v>2.9</v>
      </c>
      <c r="G1041" s="1">
        <v>4.5999999999999996</v>
      </c>
      <c r="H1041" s="1">
        <v>9.5</v>
      </c>
    </row>
    <row r="1042" spans="1:8">
      <c r="A1042" t="s">
        <v>3382</v>
      </c>
      <c r="B1042" s="1">
        <v>3.34666666666666</v>
      </c>
      <c r="C1042" s="1">
        <v>4.9933333333333296</v>
      </c>
      <c r="D1042" s="1">
        <v>7.6766666666666596</v>
      </c>
      <c r="F1042" s="1">
        <v>3.2</v>
      </c>
      <c r="G1042" s="1">
        <v>5.3</v>
      </c>
      <c r="H1042" s="1">
        <v>11.8</v>
      </c>
    </row>
    <row r="1043" spans="1:8">
      <c r="A1043" t="s">
        <v>3383</v>
      </c>
      <c r="B1043" s="1">
        <v>3.7266666666666599</v>
      </c>
      <c r="C1043" s="1">
        <v>5.7966666666666598</v>
      </c>
      <c r="D1043" s="1">
        <v>11.0133333333333</v>
      </c>
      <c r="F1043" s="1">
        <v>3.5</v>
      </c>
      <c r="G1043" s="1">
        <v>6.1</v>
      </c>
      <c r="H1043" s="1">
        <v>14.1</v>
      </c>
    </row>
    <row r="1044" spans="1:8">
      <c r="A1044" t="s">
        <v>3385</v>
      </c>
      <c r="B1044" s="1">
        <v>4.1233333333333304</v>
      </c>
      <c r="C1044" s="1">
        <v>5.9366666666666603</v>
      </c>
      <c r="D1044" s="1">
        <v>10.98</v>
      </c>
      <c r="F1044" s="1">
        <v>3.8</v>
      </c>
      <c r="G1044" s="1">
        <v>6.5</v>
      </c>
      <c r="H1044" s="1">
        <v>15.3</v>
      </c>
    </row>
    <row r="1045" spans="1:8">
      <c r="A1045" t="s">
        <v>3386</v>
      </c>
      <c r="B1045" s="1">
        <v>4.5199999999999996</v>
      </c>
      <c r="C1045" s="1">
        <v>6.3833333333333302</v>
      </c>
      <c r="D1045" s="1">
        <v>10.74</v>
      </c>
      <c r="F1045" s="1">
        <v>4.0999999999999996</v>
      </c>
      <c r="G1045" s="1">
        <v>7.2</v>
      </c>
      <c r="H1045" s="1">
        <v>17.100000000000001</v>
      </c>
    </row>
    <row r="1046" spans="1:8">
      <c r="A1046" t="s">
        <v>3388</v>
      </c>
      <c r="B1046" s="1">
        <v>2.62333333333333</v>
      </c>
      <c r="C1046" s="1">
        <v>4.0666666666666602</v>
      </c>
      <c r="D1046" s="1">
        <v>6.06</v>
      </c>
      <c r="F1046" s="1">
        <v>3.9</v>
      </c>
      <c r="G1046" s="1">
        <v>6.8</v>
      </c>
      <c r="H1046" s="1">
        <v>16.100000000000001</v>
      </c>
    </row>
    <row r="1047" spans="1:8">
      <c r="A1047" t="s">
        <v>3390</v>
      </c>
    </row>
    <row r="1048" spans="1:8">
      <c r="A1048" t="s">
        <v>3391</v>
      </c>
    </row>
    <row r="1049" spans="1:8">
      <c r="A1049" t="s">
        <v>3393</v>
      </c>
    </row>
    <row r="1050" spans="1:8">
      <c r="A1050" t="s">
        <v>3394</v>
      </c>
    </row>
    <row r="1051" spans="1:8">
      <c r="A1051" t="s">
        <v>3396</v>
      </c>
    </row>
    <row r="1052" spans="1:8">
      <c r="A1052" t="s">
        <v>3397</v>
      </c>
    </row>
    <row r="1053" spans="1:8">
      <c r="A1053" t="s">
        <v>3398</v>
      </c>
    </row>
    <row r="1054" spans="1:8">
      <c r="A1054" t="s">
        <v>3399</v>
      </c>
    </row>
    <row r="1055" spans="1:8">
      <c r="A1055" t="s">
        <v>3401</v>
      </c>
    </row>
    <row r="1056" spans="1:8">
      <c r="A1056" t="s">
        <v>3403</v>
      </c>
    </row>
    <row r="1057" spans="1:1">
      <c r="A1057" t="s">
        <v>3404</v>
      </c>
    </row>
    <row r="1058" spans="1:1">
      <c r="A1058" t="s">
        <v>3405</v>
      </c>
    </row>
    <row r="1059" spans="1:1">
      <c r="A1059" t="s">
        <v>3407</v>
      </c>
    </row>
    <row r="1060" spans="1:1">
      <c r="A1060" t="s">
        <v>3409</v>
      </c>
    </row>
    <row r="1061" spans="1:1">
      <c r="A1061" t="s">
        <v>3410</v>
      </c>
    </row>
    <row r="1062" spans="1:1">
      <c r="A1062" t="s">
        <v>3412</v>
      </c>
    </row>
    <row r="1063" spans="1:1">
      <c r="A1063" t="s">
        <v>3413</v>
      </c>
    </row>
    <row r="1064" spans="1:1">
      <c r="A1064" t="s">
        <v>3415</v>
      </c>
    </row>
    <row r="1065" spans="1:1">
      <c r="A1065" t="s">
        <v>3417</v>
      </c>
    </row>
    <row r="1066" spans="1:1">
      <c r="A1066" t="s">
        <v>3419</v>
      </c>
    </row>
    <row r="1067" spans="1:1">
      <c r="A1067" t="s">
        <v>3421</v>
      </c>
    </row>
    <row r="1068" spans="1:1">
      <c r="A1068" t="s">
        <v>3423</v>
      </c>
    </row>
    <row r="1069" spans="1:1">
      <c r="A1069" t="s">
        <v>3425</v>
      </c>
    </row>
    <row r="1070" spans="1:1">
      <c r="A1070" t="s">
        <v>3427</v>
      </c>
    </row>
    <row r="1071" spans="1:1">
      <c r="A1071" t="s">
        <v>3429</v>
      </c>
    </row>
    <row r="1072" spans="1:1">
      <c r="A1072" t="s">
        <v>3430</v>
      </c>
    </row>
    <row r="1073" spans="1:1">
      <c r="A1073" t="s">
        <v>3433</v>
      </c>
    </row>
    <row r="1074" spans="1:1">
      <c r="A1074" t="s">
        <v>3436</v>
      </c>
    </row>
    <row r="1075" spans="1:1">
      <c r="A1075" t="s">
        <v>3439</v>
      </c>
    </row>
    <row r="1076" spans="1:1">
      <c r="A1076" t="s">
        <v>3444</v>
      </c>
    </row>
    <row r="1077" spans="1:1">
      <c r="A1077" t="s">
        <v>3448</v>
      </c>
    </row>
    <row r="1078" spans="1:1">
      <c r="A1078" t="s">
        <v>3452</v>
      </c>
    </row>
    <row r="1079" spans="1:1">
      <c r="A1079" t="s">
        <v>3454</v>
      </c>
    </row>
    <row r="1080" spans="1:1">
      <c r="A1080" t="s">
        <v>3457</v>
      </c>
    </row>
    <row r="1081" spans="1:1">
      <c r="A1081" t="s">
        <v>3459</v>
      </c>
    </row>
    <row r="1082" spans="1:1">
      <c r="A1082" t="s">
        <v>3462</v>
      </c>
    </row>
    <row r="1083" spans="1:1">
      <c r="A1083" t="s">
        <v>3465</v>
      </c>
    </row>
    <row r="1084" spans="1:1">
      <c r="A1084" t="s">
        <v>3468</v>
      </c>
    </row>
    <row r="1085" spans="1:1">
      <c r="A1085" t="s">
        <v>3470</v>
      </c>
    </row>
    <row r="1086" spans="1:1">
      <c r="A1086" t="s">
        <v>3472</v>
      </c>
    </row>
    <row r="1087" spans="1:1">
      <c r="A1087" t="s">
        <v>3474</v>
      </c>
    </row>
    <row r="1088" spans="1:1">
      <c r="A1088" t="s">
        <v>3476</v>
      </c>
    </row>
    <row r="1089" spans="1:1">
      <c r="A1089" t="s">
        <v>3478</v>
      </c>
    </row>
    <row r="1090" spans="1:1">
      <c r="A1090" t="s">
        <v>3480</v>
      </c>
    </row>
    <row r="1091" spans="1:1">
      <c r="A1091" t="s">
        <v>3482</v>
      </c>
    </row>
    <row r="1092" spans="1:1">
      <c r="A1092" t="s">
        <v>3484</v>
      </c>
    </row>
    <row r="1093" spans="1:1">
      <c r="A1093" t="s">
        <v>3486</v>
      </c>
    </row>
    <row r="1094" spans="1:1">
      <c r="A1094" t="s">
        <v>3489</v>
      </c>
    </row>
    <row r="1095" spans="1:1">
      <c r="A1095" t="s">
        <v>3491</v>
      </c>
    </row>
    <row r="1096" spans="1:1">
      <c r="A1096" t="s">
        <v>3493</v>
      </c>
    </row>
    <row r="1097" spans="1:1">
      <c r="A1097" t="s">
        <v>3495</v>
      </c>
    </row>
    <row r="1098" spans="1:1">
      <c r="A1098" t="s">
        <v>3497</v>
      </c>
    </row>
    <row r="1099" spans="1:1">
      <c r="A1099" t="s">
        <v>3499</v>
      </c>
    </row>
    <row r="1100" spans="1:1">
      <c r="A1100" t="s">
        <v>3501</v>
      </c>
    </row>
    <row r="1101" spans="1:1">
      <c r="A1101" t="s">
        <v>3503</v>
      </c>
    </row>
    <row r="1102" spans="1:1">
      <c r="A1102" t="s">
        <v>3504</v>
      </c>
    </row>
    <row r="1103" spans="1:1">
      <c r="A1103" t="s">
        <v>3506</v>
      </c>
    </row>
    <row r="1104" spans="1:1">
      <c r="A1104" t="s">
        <v>3508</v>
      </c>
    </row>
    <row r="1105" spans="1:1">
      <c r="A1105" t="s">
        <v>3510</v>
      </c>
    </row>
    <row r="1106" spans="1:1">
      <c r="A1106" t="s">
        <v>3512</v>
      </c>
    </row>
    <row r="1107" spans="1:1">
      <c r="A1107" t="s">
        <v>3514</v>
      </c>
    </row>
    <row r="1108" spans="1:1">
      <c r="A1108" t="s">
        <v>3515</v>
      </c>
    </row>
    <row r="1109" spans="1:1">
      <c r="A1109" t="s">
        <v>3517</v>
      </c>
    </row>
    <row r="1110" spans="1:1">
      <c r="A1110" t="s">
        <v>3519</v>
      </c>
    </row>
    <row r="1111" spans="1:1">
      <c r="A1111" t="s">
        <v>3520</v>
      </c>
    </row>
    <row r="1112" spans="1:1">
      <c r="A1112" t="s">
        <v>3522</v>
      </c>
    </row>
    <row r="1113" spans="1:1">
      <c r="A1113" t="s">
        <v>3524</v>
      </c>
    </row>
    <row r="1114" spans="1:1">
      <c r="A1114" t="s">
        <v>3526</v>
      </c>
    </row>
    <row r="1115" spans="1:1">
      <c r="A1115" t="s">
        <v>3528</v>
      </c>
    </row>
    <row r="1116" spans="1:1">
      <c r="A1116" t="s">
        <v>3530</v>
      </c>
    </row>
    <row r="1117" spans="1:1">
      <c r="A1117" t="s">
        <v>3532</v>
      </c>
    </row>
    <row r="1118" spans="1:1">
      <c r="A1118" t="s">
        <v>3534</v>
      </c>
    </row>
    <row r="1119" spans="1:1">
      <c r="A1119" t="s">
        <v>3536</v>
      </c>
    </row>
    <row r="1120" spans="1:1">
      <c r="A1120" t="s">
        <v>3538</v>
      </c>
    </row>
    <row r="1121" spans="1:1">
      <c r="A1121" t="s">
        <v>3539</v>
      </c>
    </row>
    <row r="1122" spans="1:1">
      <c r="A1122" t="s">
        <v>3541</v>
      </c>
    </row>
    <row r="1123" spans="1:1">
      <c r="A1123" t="s">
        <v>3543</v>
      </c>
    </row>
    <row r="1124" spans="1:1">
      <c r="A1124" t="s">
        <v>3545</v>
      </c>
    </row>
    <row r="1125" spans="1:1">
      <c r="A1125" t="s">
        <v>3547</v>
      </c>
    </row>
    <row r="1126" spans="1:1">
      <c r="A1126" t="s">
        <v>3548</v>
      </c>
    </row>
    <row r="1127" spans="1:1">
      <c r="A1127" t="s">
        <v>3550</v>
      </c>
    </row>
    <row r="1128" spans="1:1">
      <c r="A1128" t="s">
        <v>3553</v>
      </c>
    </row>
    <row r="1129" spans="1:1">
      <c r="A1129" t="s">
        <v>3555</v>
      </c>
    </row>
    <row r="1130" spans="1:1">
      <c r="A1130" t="s">
        <v>3557</v>
      </c>
    </row>
    <row r="1131" spans="1:1">
      <c r="A1131" t="s">
        <v>3559</v>
      </c>
    </row>
    <row r="1132" spans="1:1">
      <c r="A1132" t="s">
        <v>3561</v>
      </c>
    </row>
    <row r="1133" spans="1:1">
      <c r="A1133" t="s">
        <v>3563</v>
      </c>
    </row>
    <row r="1134" spans="1:1">
      <c r="A1134" t="s">
        <v>3565</v>
      </c>
    </row>
    <row r="1135" spans="1:1">
      <c r="A1135" t="s">
        <v>3566</v>
      </c>
    </row>
    <row r="1136" spans="1:1">
      <c r="A1136" t="s">
        <v>3568</v>
      </c>
    </row>
    <row r="1137" spans="1:1">
      <c r="A1137" t="s">
        <v>3570</v>
      </c>
    </row>
    <row r="1138" spans="1:1">
      <c r="A1138" t="s">
        <v>3572</v>
      </c>
    </row>
    <row r="1139" spans="1:1">
      <c r="A1139" t="s">
        <v>3574</v>
      </c>
    </row>
    <row r="1140" spans="1:1">
      <c r="A1140" t="s">
        <v>3576</v>
      </c>
    </row>
    <row r="1141" spans="1:1">
      <c r="A1141" t="s">
        <v>3578</v>
      </c>
    </row>
    <row r="1142" spans="1:1">
      <c r="A1142" t="s">
        <v>3579</v>
      </c>
    </row>
    <row r="1143" spans="1:1">
      <c r="A1143" t="s">
        <v>3581</v>
      </c>
    </row>
    <row r="1144" spans="1:1">
      <c r="A1144" t="s">
        <v>3582</v>
      </c>
    </row>
    <row r="1145" spans="1:1">
      <c r="A1145" t="s">
        <v>3584</v>
      </c>
    </row>
    <row r="1146" spans="1:1">
      <c r="A1146" t="s">
        <v>3585</v>
      </c>
    </row>
    <row r="1147" spans="1:1">
      <c r="A1147" t="s">
        <v>3587</v>
      </c>
    </row>
    <row r="1148" spans="1:1">
      <c r="A1148" t="s">
        <v>3588</v>
      </c>
    </row>
    <row r="1149" spans="1:1">
      <c r="A1149" t="s">
        <v>3590</v>
      </c>
    </row>
    <row r="1150" spans="1:1">
      <c r="A1150" t="s">
        <v>3591</v>
      </c>
    </row>
    <row r="1151" spans="1:1">
      <c r="A1151" t="s">
        <v>3592</v>
      </c>
    </row>
    <row r="1152" spans="1:1">
      <c r="A1152" t="s">
        <v>3593</v>
      </c>
    </row>
    <row r="1153" spans="1:1">
      <c r="A1153" t="s">
        <v>3595</v>
      </c>
    </row>
    <row r="1154" spans="1:1">
      <c r="A1154" t="s">
        <v>3596</v>
      </c>
    </row>
    <row r="1155" spans="1:1">
      <c r="A1155" t="s">
        <v>3597</v>
      </c>
    </row>
    <row r="1156" spans="1:1">
      <c r="A1156" t="s">
        <v>3599</v>
      </c>
    </row>
    <row r="1157" spans="1:1">
      <c r="A1157" t="s">
        <v>3600</v>
      </c>
    </row>
    <row r="1158" spans="1:1">
      <c r="A1158" t="s">
        <v>3601</v>
      </c>
    </row>
    <row r="1159" spans="1:1">
      <c r="A1159" t="s">
        <v>3602</v>
      </c>
    </row>
    <row r="1160" spans="1:1">
      <c r="A1160" t="s">
        <v>3604</v>
      </c>
    </row>
    <row r="1161" spans="1:1">
      <c r="A1161" t="s">
        <v>3606</v>
      </c>
    </row>
    <row r="1162" spans="1:1">
      <c r="A1162" t="s">
        <v>3608</v>
      </c>
    </row>
    <row r="1163" spans="1:1">
      <c r="A1163" t="s">
        <v>3610</v>
      </c>
    </row>
    <row r="1164" spans="1:1">
      <c r="A1164" t="s">
        <v>3612</v>
      </c>
    </row>
    <row r="1165" spans="1:1">
      <c r="A1165" t="s">
        <v>3614</v>
      </c>
    </row>
    <row r="1166" spans="1:1">
      <c r="A1166" t="s">
        <v>3615</v>
      </c>
    </row>
    <row r="1167" spans="1:1">
      <c r="A1167" t="s">
        <v>3617</v>
      </c>
    </row>
    <row r="1168" spans="1:1">
      <c r="A1168" t="s">
        <v>3619</v>
      </c>
    </row>
    <row r="1169" spans="1:1">
      <c r="A1169" t="s">
        <v>3621</v>
      </c>
    </row>
    <row r="1170" spans="1:1">
      <c r="A1170" t="s">
        <v>3623</v>
      </c>
    </row>
    <row r="1171" spans="1:1">
      <c r="A1171" t="s">
        <v>3626</v>
      </c>
    </row>
    <row r="1172" spans="1:1">
      <c r="A1172" t="s">
        <v>3629</v>
      </c>
    </row>
    <row r="1173" spans="1:1">
      <c r="A1173" t="s">
        <v>3634</v>
      </c>
    </row>
    <row r="1174" spans="1:1">
      <c r="A1174" t="s">
        <v>3637</v>
      </c>
    </row>
    <row r="1175" spans="1:1">
      <c r="A1175" t="s">
        <v>3641</v>
      </c>
    </row>
    <row r="1176" spans="1:1">
      <c r="A1176" t="s">
        <v>3643</v>
      </c>
    </row>
    <row r="1177" spans="1:1">
      <c r="A1177" t="s">
        <v>3646</v>
      </c>
    </row>
    <row r="1178" spans="1:1">
      <c r="A1178" t="s">
        <v>3648</v>
      </c>
    </row>
    <row r="1179" spans="1:1">
      <c r="A1179" t="s">
        <v>3650</v>
      </c>
    </row>
    <row r="1180" spans="1:1">
      <c r="A1180" t="s">
        <v>3652</v>
      </c>
    </row>
    <row r="1181" spans="1:1">
      <c r="A1181" t="s">
        <v>3654</v>
      </c>
    </row>
    <row r="1182" spans="1:1">
      <c r="A1182" t="s">
        <v>3656</v>
      </c>
    </row>
    <row r="1183" spans="1:1">
      <c r="A1183" t="s">
        <v>3658</v>
      </c>
    </row>
    <row r="1184" spans="1:1">
      <c r="A1184" t="s">
        <v>3661</v>
      </c>
    </row>
    <row r="1185" spans="1:1">
      <c r="A1185" t="s">
        <v>3663</v>
      </c>
    </row>
    <row r="1186" spans="1:1">
      <c r="A1186" t="s">
        <v>3665</v>
      </c>
    </row>
    <row r="1187" spans="1:1">
      <c r="A1187" t="s">
        <v>3667</v>
      </c>
    </row>
    <row r="1188" spans="1:1">
      <c r="A1188" t="s">
        <v>3669</v>
      </c>
    </row>
    <row r="1189" spans="1:1">
      <c r="A1189" t="s">
        <v>3671</v>
      </c>
    </row>
    <row r="1190" spans="1:1">
      <c r="A1190" t="s">
        <v>3673</v>
      </c>
    </row>
    <row r="1191" spans="1:1">
      <c r="A1191" t="s">
        <v>3674</v>
      </c>
    </row>
    <row r="1192" spans="1:1">
      <c r="A1192" t="s">
        <v>3675</v>
      </c>
    </row>
    <row r="1193" spans="1:1">
      <c r="A1193" t="s">
        <v>3677</v>
      </c>
    </row>
    <row r="1194" spans="1:1">
      <c r="A1194" t="s">
        <v>3679</v>
      </c>
    </row>
    <row r="1195" spans="1:1">
      <c r="A1195" t="s">
        <v>3681</v>
      </c>
    </row>
    <row r="1196" spans="1:1">
      <c r="A1196" t="s">
        <v>3682</v>
      </c>
    </row>
    <row r="1197" spans="1:1">
      <c r="A1197" t="s">
        <v>3684</v>
      </c>
    </row>
    <row r="1198" spans="1:1">
      <c r="A1198" t="s">
        <v>3685</v>
      </c>
    </row>
    <row r="1199" spans="1:1">
      <c r="A1199" t="s">
        <v>3687</v>
      </c>
    </row>
    <row r="1200" spans="1:1">
      <c r="A1200" t="s">
        <v>3689</v>
      </c>
    </row>
    <row r="1201" spans="1:1">
      <c r="A1201" t="s">
        <v>3690</v>
      </c>
    </row>
    <row r="1202" spans="1:1">
      <c r="A1202" t="s">
        <v>3691</v>
      </c>
    </row>
    <row r="1203" spans="1:1">
      <c r="A1203" t="s">
        <v>3693</v>
      </c>
    </row>
    <row r="1204" spans="1:1">
      <c r="A1204" t="s">
        <v>3695</v>
      </c>
    </row>
    <row r="1205" spans="1:1">
      <c r="A1205" t="s">
        <v>3697</v>
      </c>
    </row>
    <row r="1206" spans="1:1">
      <c r="A1206" t="s">
        <v>3699</v>
      </c>
    </row>
    <row r="1207" spans="1:1">
      <c r="A1207" t="s">
        <v>3701</v>
      </c>
    </row>
    <row r="1208" spans="1:1">
      <c r="A1208" t="s">
        <v>3702</v>
      </c>
    </row>
    <row r="1209" spans="1:1">
      <c r="A1209" t="s">
        <v>3703</v>
      </c>
    </row>
    <row r="1210" spans="1:1">
      <c r="A1210" t="s">
        <v>3704</v>
      </c>
    </row>
    <row r="1211" spans="1:1">
      <c r="A1211" t="s">
        <v>3706</v>
      </c>
    </row>
    <row r="1212" spans="1:1">
      <c r="A1212" t="s">
        <v>3707</v>
      </c>
    </row>
    <row r="1213" spans="1:1">
      <c r="A1213" t="s">
        <v>3708</v>
      </c>
    </row>
    <row r="1214" spans="1:1">
      <c r="A1214" t="s">
        <v>3710</v>
      </c>
    </row>
    <row r="1215" spans="1:1">
      <c r="A1215" t="s">
        <v>3712</v>
      </c>
    </row>
    <row r="1216" spans="1:1">
      <c r="A1216" t="s">
        <v>3713</v>
      </c>
    </row>
    <row r="1217" spans="1:1">
      <c r="A1217" t="s">
        <v>3715</v>
      </c>
    </row>
    <row r="1218" spans="1:1">
      <c r="A1218" t="s">
        <v>3717</v>
      </c>
    </row>
    <row r="1219" spans="1:1">
      <c r="A1219" t="s">
        <v>3719</v>
      </c>
    </row>
    <row r="1220" spans="1:1">
      <c r="A1220" t="s">
        <v>3720</v>
      </c>
    </row>
    <row r="1221" spans="1:1">
      <c r="A1221" t="s">
        <v>3722</v>
      </c>
    </row>
    <row r="1222" spans="1:1">
      <c r="A1222" t="s">
        <v>3724</v>
      </c>
    </row>
    <row r="1223" spans="1:1">
      <c r="A1223" t="s">
        <v>3726</v>
      </c>
    </row>
    <row r="1224" spans="1:1">
      <c r="A1224" t="s">
        <v>3728</v>
      </c>
    </row>
    <row r="1225" spans="1:1">
      <c r="A1225" t="s">
        <v>3729</v>
      </c>
    </row>
    <row r="1226" spans="1:1">
      <c r="A1226" t="s">
        <v>3731</v>
      </c>
    </row>
    <row r="1227" spans="1:1">
      <c r="A1227" t="s">
        <v>3732</v>
      </c>
    </row>
    <row r="1228" spans="1:1">
      <c r="A1228" t="s">
        <v>3734</v>
      </c>
    </row>
    <row r="1229" spans="1:1">
      <c r="A1229" t="s">
        <v>3736</v>
      </c>
    </row>
    <row r="1230" spans="1:1">
      <c r="A1230" t="s">
        <v>3738</v>
      </c>
    </row>
    <row r="1231" spans="1:1">
      <c r="A1231" t="s">
        <v>3740</v>
      </c>
    </row>
    <row r="1232" spans="1:1">
      <c r="A1232" t="s">
        <v>3741</v>
      </c>
    </row>
    <row r="1233" spans="1:1">
      <c r="A1233" t="s">
        <v>3742</v>
      </c>
    </row>
    <row r="1234" spans="1:1">
      <c r="A1234" t="s">
        <v>3743</v>
      </c>
    </row>
    <row r="1235" spans="1:1">
      <c r="A1235" t="s">
        <v>3745</v>
      </c>
    </row>
    <row r="1236" spans="1:1">
      <c r="A1236" t="s">
        <v>3746</v>
      </c>
    </row>
    <row r="1237" spans="1:1">
      <c r="A1237" t="s">
        <v>3748</v>
      </c>
    </row>
    <row r="1238" spans="1:1">
      <c r="A1238" t="s">
        <v>3749</v>
      </c>
    </row>
    <row r="1239" spans="1:1">
      <c r="A1239" t="s">
        <v>3750</v>
      </c>
    </row>
    <row r="1240" spans="1:1">
      <c r="A1240" t="s">
        <v>3751</v>
      </c>
    </row>
    <row r="1241" spans="1:1">
      <c r="A1241" t="s">
        <v>3752</v>
      </c>
    </row>
    <row r="1242" spans="1:1">
      <c r="A1242" t="s">
        <v>3753</v>
      </c>
    </row>
    <row r="1243" spans="1:1">
      <c r="A1243" t="s">
        <v>3754</v>
      </c>
    </row>
    <row r="1244" spans="1:1">
      <c r="A1244" t="s">
        <v>3756</v>
      </c>
    </row>
    <row r="1245" spans="1:1">
      <c r="A1245" t="s">
        <v>3757</v>
      </c>
    </row>
    <row r="1246" spans="1:1">
      <c r="A1246" t="s">
        <v>3759</v>
      </c>
    </row>
    <row r="1247" spans="1:1">
      <c r="A1247" t="s">
        <v>3761</v>
      </c>
    </row>
    <row r="1248" spans="1:1">
      <c r="A1248" t="s">
        <v>3762</v>
      </c>
    </row>
    <row r="1249" spans="1:1">
      <c r="A1249" t="s">
        <v>3763</v>
      </c>
    </row>
    <row r="1250" spans="1:1">
      <c r="A1250" t="s">
        <v>3765</v>
      </c>
    </row>
    <row r="1251" spans="1:1">
      <c r="A1251" t="s">
        <v>3766</v>
      </c>
    </row>
    <row r="1252" spans="1:1">
      <c r="A1252" t="s">
        <v>3768</v>
      </c>
    </row>
    <row r="1253" spans="1:1">
      <c r="A1253" t="s">
        <v>3769</v>
      </c>
    </row>
    <row r="1254" spans="1:1">
      <c r="A1254" t="s">
        <v>3771</v>
      </c>
    </row>
    <row r="1255" spans="1:1">
      <c r="A1255" t="s">
        <v>3773</v>
      </c>
    </row>
    <row r="1256" spans="1:1">
      <c r="A1256" t="s">
        <v>3775</v>
      </c>
    </row>
    <row r="1257" spans="1:1">
      <c r="A1257" t="s">
        <v>3777</v>
      </c>
    </row>
    <row r="1258" spans="1:1">
      <c r="A1258" t="s">
        <v>3779</v>
      </c>
    </row>
    <row r="1259" spans="1:1">
      <c r="A1259" t="s">
        <v>3781</v>
      </c>
    </row>
    <row r="1260" spans="1:1">
      <c r="A1260" t="s">
        <v>3783</v>
      </c>
    </row>
    <row r="1261" spans="1:1">
      <c r="A1261" t="s">
        <v>3785</v>
      </c>
    </row>
    <row r="1262" spans="1:1">
      <c r="A1262" t="s">
        <v>3786</v>
      </c>
    </row>
    <row r="1263" spans="1:1">
      <c r="A1263" t="s">
        <v>3787</v>
      </c>
    </row>
    <row r="1264" spans="1:1">
      <c r="A1264" t="s">
        <v>3789</v>
      </c>
    </row>
    <row r="1265" spans="1:1">
      <c r="A1265" t="s">
        <v>3791</v>
      </c>
    </row>
    <row r="1266" spans="1:1">
      <c r="A1266" t="s">
        <v>3792</v>
      </c>
    </row>
    <row r="1267" spans="1:1">
      <c r="A1267" t="s">
        <v>3794</v>
      </c>
    </row>
    <row r="1268" spans="1:1">
      <c r="A1268" t="s">
        <v>3796</v>
      </c>
    </row>
    <row r="1269" spans="1:1">
      <c r="A1269" t="s">
        <v>3798</v>
      </c>
    </row>
    <row r="1270" spans="1:1">
      <c r="A1270" t="s">
        <v>3800</v>
      </c>
    </row>
    <row r="1271" spans="1:1">
      <c r="A1271" t="s">
        <v>3802</v>
      </c>
    </row>
    <row r="1272" spans="1:1">
      <c r="A1272" t="s">
        <v>3804</v>
      </c>
    </row>
    <row r="1273" spans="1:1">
      <c r="A1273" t="s">
        <v>3806</v>
      </c>
    </row>
    <row r="1274" spans="1:1">
      <c r="A1274" t="s">
        <v>3808</v>
      </c>
    </row>
    <row r="1275" spans="1:1">
      <c r="A1275" t="s">
        <v>3810</v>
      </c>
    </row>
    <row r="1276" spans="1:1">
      <c r="A1276" t="s">
        <v>3811</v>
      </c>
    </row>
    <row r="1277" spans="1:1">
      <c r="A1277" t="s">
        <v>3812</v>
      </c>
    </row>
    <row r="1278" spans="1:1">
      <c r="A1278" t="s">
        <v>3814</v>
      </c>
    </row>
    <row r="1279" spans="1:1">
      <c r="A1279" t="s">
        <v>3816</v>
      </c>
    </row>
    <row r="1280" spans="1:1">
      <c r="A1280" t="s">
        <v>3817</v>
      </c>
    </row>
    <row r="1281" spans="1:1">
      <c r="A1281" t="s">
        <v>3818</v>
      </c>
    </row>
    <row r="1282" spans="1:1">
      <c r="A1282" t="s">
        <v>3820</v>
      </c>
    </row>
    <row r="1283" spans="1:1">
      <c r="A1283" t="s">
        <v>3822</v>
      </c>
    </row>
    <row r="1284" spans="1:1">
      <c r="A1284" t="s">
        <v>3824</v>
      </c>
    </row>
    <row r="1285" spans="1:1">
      <c r="A1285" t="s">
        <v>3825</v>
      </c>
    </row>
    <row r="1286" spans="1:1">
      <c r="A1286" t="s">
        <v>3827</v>
      </c>
    </row>
    <row r="1287" spans="1:1">
      <c r="A1287" t="s">
        <v>3828</v>
      </c>
    </row>
    <row r="1288" spans="1:1">
      <c r="A1288" t="s">
        <v>3830</v>
      </c>
    </row>
    <row r="1289" spans="1:1">
      <c r="A1289" t="s">
        <v>3831</v>
      </c>
    </row>
    <row r="1290" spans="1:1">
      <c r="A1290" t="s">
        <v>3832</v>
      </c>
    </row>
    <row r="1291" spans="1:1">
      <c r="A1291" t="s">
        <v>3834</v>
      </c>
    </row>
    <row r="1292" spans="1:1">
      <c r="A1292" t="s">
        <v>3835</v>
      </c>
    </row>
    <row r="1293" spans="1:1">
      <c r="A1293" t="s">
        <v>3837</v>
      </c>
    </row>
    <row r="1294" spans="1:1">
      <c r="A1294" t="s">
        <v>3839</v>
      </c>
    </row>
    <row r="1295" spans="1:1">
      <c r="A1295" t="s">
        <v>3841</v>
      </c>
    </row>
    <row r="1296" spans="1:1">
      <c r="A1296" t="s">
        <v>3843</v>
      </c>
    </row>
    <row r="1297" spans="1:1">
      <c r="A1297" t="s">
        <v>3845</v>
      </c>
    </row>
    <row r="1298" spans="1:1">
      <c r="A1298" t="s">
        <v>3847</v>
      </c>
    </row>
    <row r="1299" spans="1:1">
      <c r="A1299" t="s">
        <v>3848</v>
      </c>
    </row>
    <row r="1300" spans="1:1">
      <c r="A1300" t="s">
        <v>3850</v>
      </c>
    </row>
    <row r="1301" spans="1:1">
      <c r="A1301" t="s">
        <v>3852</v>
      </c>
    </row>
    <row r="1302" spans="1:1">
      <c r="A1302" t="s">
        <v>3854</v>
      </c>
    </row>
    <row r="1303" spans="1:1">
      <c r="A1303" t="s">
        <v>3856</v>
      </c>
    </row>
    <row r="1304" spans="1:1">
      <c r="A1304" t="s">
        <v>3858</v>
      </c>
    </row>
    <row r="1305" spans="1:1">
      <c r="A1305" t="s">
        <v>3860</v>
      </c>
    </row>
    <row r="1306" spans="1:1">
      <c r="A1306" t="s">
        <v>3862</v>
      </c>
    </row>
    <row r="1307" spans="1:1">
      <c r="A1307" t="s">
        <v>3864</v>
      </c>
    </row>
    <row r="1308" spans="1:1">
      <c r="A1308" t="s">
        <v>3866</v>
      </c>
    </row>
    <row r="1309" spans="1:1">
      <c r="A1309" t="s">
        <v>3868</v>
      </c>
    </row>
    <row r="1310" spans="1:1">
      <c r="A1310" t="s">
        <v>3870</v>
      </c>
    </row>
    <row r="1311" spans="1:1">
      <c r="A1311" t="s">
        <v>3872</v>
      </c>
    </row>
    <row r="1312" spans="1:1">
      <c r="A1312" t="s">
        <v>3873</v>
      </c>
    </row>
    <row r="1313" spans="1:1">
      <c r="A1313" t="s">
        <v>3875</v>
      </c>
    </row>
    <row r="1314" spans="1:1">
      <c r="A1314" t="s">
        <v>3877</v>
      </c>
    </row>
    <row r="1315" spans="1:1">
      <c r="A1315" t="s">
        <v>3879</v>
      </c>
    </row>
    <row r="1316" spans="1:1">
      <c r="A1316" t="s">
        <v>3881</v>
      </c>
    </row>
    <row r="1317" spans="1:1">
      <c r="A1317" t="s">
        <v>3883</v>
      </c>
    </row>
    <row r="1318" spans="1:1">
      <c r="A1318" t="s">
        <v>3885</v>
      </c>
    </row>
    <row r="1319" spans="1:1">
      <c r="A1319" t="s">
        <v>3887</v>
      </c>
    </row>
    <row r="1320" spans="1:1">
      <c r="A1320" t="s">
        <v>3888</v>
      </c>
    </row>
    <row r="1321" spans="1:1">
      <c r="A1321" t="s">
        <v>3889</v>
      </c>
    </row>
    <row r="1322" spans="1:1">
      <c r="A1322" t="s">
        <v>3891</v>
      </c>
    </row>
    <row r="1323" spans="1:1">
      <c r="A1323" t="s">
        <v>3892</v>
      </c>
    </row>
    <row r="1324" spans="1:1">
      <c r="A1324" t="s">
        <v>3894</v>
      </c>
    </row>
    <row r="1325" spans="1:1">
      <c r="A1325" t="s">
        <v>3896</v>
      </c>
    </row>
    <row r="1326" spans="1:1">
      <c r="A1326" t="s">
        <v>3898</v>
      </c>
    </row>
    <row r="1327" spans="1:1">
      <c r="A1327" t="s">
        <v>3900</v>
      </c>
    </row>
    <row r="1328" spans="1:1">
      <c r="A1328" t="s">
        <v>3902</v>
      </c>
    </row>
    <row r="1329" spans="1:1">
      <c r="A1329" t="s">
        <v>3904</v>
      </c>
    </row>
    <row r="1330" spans="1:1">
      <c r="A1330" t="s">
        <v>3906</v>
      </c>
    </row>
    <row r="1331" spans="1:1">
      <c r="A1331" t="s">
        <v>3908</v>
      </c>
    </row>
    <row r="1332" spans="1:1">
      <c r="A1332" t="s">
        <v>3910</v>
      </c>
    </row>
    <row r="1333" spans="1:1">
      <c r="A1333" t="s">
        <v>3911</v>
      </c>
    </row>
    <row r="1334" spans="1:1">
      <c r="A1334" t="s">
        <v>3913</v>
      </c>
    </row>
    <row r="1335" spans="1:1">
      <c r="A1335" t="s">
        <v>3915</v>
      </c>
    </row>
    <row r="1336" spans="1:1">
      <c r="A1336" t="s">
        <v>3916</v>
      </c>
    </row>
    <row r="1337" spans="1:1">
      <c r="A1337" t="s">
        <v>3918</v>
      </c>
    </row>
    <row r="1338" spans="1:1">
      <c r="A1338" t="s">
        <v>3920</v>
      </c>
    </row>
    <row r="1339" spans="1:1">
      <c r="A1339" t="s">
        <v>3921</v>
      </c>
    </row>
    <row r="1340" spans="1:1">
      <c r="A1340" t="s">
        <v>3923</v>
      </c>
    </row>
    <row r="1341" spans="1:1">
      <c r="A1341" t="s">
        <v>3925</v>
      </c>
    </row>
    <row r="1342" spans="1:1">
      <c r="A1342" t="s">
        <v>3926</v>
      </c>
    </row>
    <row r="1343" spans="1:1">
      <c r="A1343" t="s">
        <v>3928</v>
      </c>
    </row>
    <row r="1344" spans="1:1">
      <c r="A1344" t="s">
        <v>3930</v>
      </c>
    </row>
    <row r="1345" spans="1:1">
      <c r="A1345" t="s">
        <v>3932</v>
      </c>
    </row>
    <row r="1346" spans="1:1">
      <c r="A1346" t="s">
        <v>3934</v>
      </c>
    </row>
    <row r="1347" spans="1:1">
      <c r="A1347" t="s">
        <v>3935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A235-8DDA-47EF-B113-519A8A5AFF8B}">
  <dimension ref="A1:D1046"/>
  <sheetViews>
    <sheetView tabSelected="1" topLeftCell="B1" workbookViewId="0">
      <selection activeCell="F6" sqref="F6"/>
    </sheetView>
  </sheetViews>
  <sheetFormatPr defaultColWidth="11.42578125" defaultRowHeight="14.25"/>
  <cols>
    <col min="1" max="1" width="22.7109375" customWidth="1"/>
  </cols>
  <sheetData>
    <row r="1" spans="1:4" ht="15">
      <c r="A1" s="2" t="s">
        <v>3969</v>
      </c>
      <c r="B1" s="2" t="s">
        <v>1</v>
      </c>
      <c r="C1" s="2" t="s">
        <v>2</v>
      </c>
      <c r="D1" s="2" t="s">
        <v>3</v>
      </c>
    </row>
    <row r="2" spans="1:4">
      <c r="A2" t="s">
        <v>1290</v>
      </c>
      <c r="B2" t="e">
        <f>'nebuleair_export (1)'!B2*'Calcul des facteurs'!#REF!+'Calcul des facteurs'!#REF!</f>
        <v>#REF!</v>
      </c>
      <c r="C2">
        <f>'nebuleair_export (1)'!C2*'Calcul des facteurs'!$B$4+'Calcul des facteurs'!$C$4</f>
        <v>3.2639083325016731</v>
      </c>
      <c r="D2">
        <f>'nebuleair_export (1)'!D2*'Calcul des facteurs'!$B$5+'Calcul des facteurs'!$C$5</f>
        <v>6.1668292756460676</v>
      </c>
    </row>
    <row r="3" spans="1:4">
      <c r="A3" t="s">
        <v>1292</v>
      </c>
      <c r="B3" t="e">
        <f>'nebuleair_export (1)'!B3*'Calcul des facteurs'!#REF!+'Calcul des facteurs'!#REF!</f>
        <v>#REF!</v>
      </c>
      <c r="C3">
        <f>'nebuleair_export (1)'!C3*'Calcul des facteurs'!$B$4+'Calcul des facteurs'!$C$4</f>
        <v>3.7954647589012533</v>
      </c>
      <c r="D3">
        <f>'nebuleair_export (1)'!D3*'Calcul des facteurs'!$B$5+'Calcul des facteurs'!$C$5</f>
        <v>7.1392595868034245</v>
      </c>
    </row>
    <row r="4" spans="1:4">
      <c r="A4" t="s">
        <v>1295</v>
      </c>
      <c r="B4" t="e">
        <f>'nebuleair_export (1)'!B4*'Calcul des facteurs'!#REF!+'Calcul des facteurs'!#REF!</f>
        <v>#REF!</v>
      </c>
      <c r="C4">
        <f>'nebuleair_export (1)'!C4*'Calcul des facteurs'!$B$4+'Calcul des facteurs'!$C$4</f>
        <v>2.7065123575965613</v>
      </c>
      <c r="D4">
        <f>'nebuleair_export (1)'!D4*'Calcul des facteurs'!$B$5+'Calcul des facteurs'!$C$5</f>
        <v>5.3000979113536362</v>
      </c>
    </row>
    <row r="5" spans="1:4">
      <c r="A5" t="s">
        <v>1298</v>
      </c>
      <c r="B5" t="e">
        <f>'nebuleair_export (1)'!B5*'Calcul des facteurs'!#REF!+'Calcul des facteurs'!#REF!</f>
        <v>#REF!</v>
      </c>
      <c r="C5">
        <f>'nebuleair_export (1)'!C5*'Calcul des facteurs'!$B$4+'Calcul des facteurs'!$C$4</f>
        <v>2.6880555372354618</v>
      </c>
      <c r="D5">
        <f>'nebuleair_export (1)'!D5*'Calcul des facteurs'!$B$5+'Calcul des facteurs'!$C$5</f>
        <v>5.2004389043095589</v>
      </c>
    </row>
    <row r="6" spans="1:4">
      <c r="A6" t="s">
        <v>1300</v>
      </c>
      <c r="B6" t="e">
        <f>'nebuleair_export (1)'!B6*'Calcul des facteurs'!#REF!+'Calcul des facteurs'!#REF!</f>
        <v>#REF!</v>
      </c>
      <c r="C6">
        <f>'nebuleair_export (1)'!C6*'Calcul des facteurs'!$B$4+'Calcul des facteurs'!$C$4</f>
        <v>2.4813391491911876</v>
      </c>
      <c r="D6">
        <f>'nebuleair_export (1)'!D6*'Calcul des facteurs'!$B$5+'Calcul des facteurs'!$C$5</f>
        <v>5.1068198370863378</v>
      </c>
    </row>
    <row r="7" spans="1:4">
      <c r="A7" t="s">
        <v>1302</v>
      </c>
      <c r="B7" t="e">
        <f>'nebuleair_export (1)'!B7*'Calcul des facteurs'!#REF!+'Calcul des facteurs'!#REF!</f>
        <v>#REF!</v>
      </c>
      <c r="C7">
        <f>'nebuleair_export (1)'!C7*'Calcul des facteurs'!$B$4+'Calcul des facteurs'!$C$4</f>
        <v>3.7954647589012533</v>
      </c>
      <c r="D7">
        <f>'nebuleair_export (1)'!D7*'Calcul des facteurs'!$B$5+'Calcul des facteurs'!$C$5</f>
        <v>6.450706447226163</v>
      </c>
    </row>
    <row r="8" spans="1:4">
      <c r="A8" t="s">
        <v>1303</v>
      </c>
      <c r="B8" t="e">
        <f>'nebuleair_export (1)'!B8*'Calcul des facteurs'!#REF!+'Calcul des facteurs'!#REF!</f>
        <v>#REF!</v>
      </c>
      <c r="C8">
        <f>'nebuleair_export (1)'!C8*'Calcul des facteurs'!$B$4+'Calcul des facteurs'!$C$4</f>
        <v>3.7253288415290902</v>
      </c>
      <c r="D8">
        <f>'nebuleair_export (1)'!D8*'Calcul des facteurs'!$B$5+'Calcul des facteurs'!$C$5</f>
        <v>6.5111058454346979</v>
      </c>
    </row>
    <row r="9" spans="1:4">
      <c r="A9" t="s">
        <v>1305</v>
      </c>
      <c r="B9" t="e">
        <f>'nebuleair_export (1)'!B9*'Calcul des facteurs'!#REF!+'Calcul des facteurs'!#REF!</f>
        <v>#REF!</v>
      </c>
      <c r="C9">
        <f>'nebuleair_export (1)'!C9*'Calcul des facteurs'!$B$4+'Calcul des facteurs'!$C$4</f>
        <v>4.6703180440172289</v>
      </c>
      <c r="D9">
        <f>'nebuleair_export (1)'!D9*'Calcul des facteurs'!$B$5+'Calcul des facteurs'!$C$5</f>
        <v>7.6405745919342429</v>
      </c>
    </row>
    <row r="10" spans="1:4">
      <c r="A10" t="s">
        <v>1307</v>
      </c>
      <c r="B10" t="e">
        <f>'nebuleair_export (1)'!B10*'Calcul des facteurs'!#REF!+'Calcul des facteurs'!#REF!</f>
        <v>#REF!</v>
      </c>
      <c r="C10">
        <f>'nebuleair_export (1)'!C10*'Calcul des facteurs'!$B$4+'Calcul des facteurs'!$C$4</f>
        <v>5.5820849698553934</v>
      </c>
      <c r="D10">
        <f>'nebuleair_export (1)'!D10*'Calcul des facteurs'!$B$5+'Calcul des facteurs'!$C$5</f>
        <v>8.4167068589138694</v>
      </c>
    </row>
    <row r="11" spans="1:4">
      <c r="A11" t="s">
        <v>1309</v>
      </c>
      <c r="B11" t="e">
        <f>'nebuleair_export (1)'!B11*'Calcul des facteurs'!#REF!+'Calcul des facteurs'!#REF!</f>
        <v>#REF!</v>
      </c>
      <c r="C11">
        <f>'nebuleair_export (1)'!C11*'Calcul des facteurs'!$B$4+'Calcul des facteurs'!$C$4</f>
        <v>4.4968239326229291</v>
      </c>
      <c r="D11">
        <f>'nebuleair_export (1)'!D11*'Calcul des facteurs'!$B$5+'Calcul des facteurs'!$C$5</f>
        <v>7.0184607903863645</v>
      </c>
    </row>
    <row r="12" spans="1:4">
      <c r="A12" t="s">
        <v>1312</v>
      </c>
      <c r="B12" t="e">
        <f>'nebuleair_export (1)'!B12*'Calcul des facteurs'!#REF!+'Calcul des facteurs'!#REF!</f>
        <v>#REF!</v>
      </c>
      <c r="C12">
        <f>'nebuleair_export (1)'!C12*'Calcul des facteurs'!$B$4+'Calcul des facteurs'!$C$4</f>
        <v>4.2568852679286699</v>
      </c>
      <c r="D12">
        <f>'nebuleair_export (1)'!D12*'Calcul des facteurs'!$B$5+'Calcul des facteurs'!$C$5</f>
        <v>6.9792011815508213</v>
      </c>
    </row>
    <row r="13" spans="1:4">
      <c r="A13" t="s">
        <v>1314</v>
      </c>
      <c r="B13" t="e">
        <f>'nebuleair_export (1)'!B13*'Calcul des facteurs'!#REF!+'Calcul des facteurs'!#REF!</f>
        <v>#REF!</v>
      </c>
      <c r="C13">
        <f>'nebuleair_export (1)'!C13*'Calcul des facteurs'!$B$4+'Calcul des facteurs'!$C$4</f>
        <v>4.6149475829339393</v>
      </c>
      <c r="D13">
        <f>'nebuleair_export (1)'!D13*'Calcul des facteurs'!$B$5+'Calcul des facteurs'!$C$5</f>
        <v>6.9610813620882626</v>
      </c>
    </row>
    <row r="14" spans="1:4">
      <c r="A14" t="s">
        <v>1316</v>
      </c>
      <c r="B14" t="e">
        <f>'nebuleair_export (1)'!B14*'Calcul des facteurs'!#REF!+'Calcul des facteurs'!#REF!</f>
        <v>#REF!</v>
      </c>
      <c r="C14">
        <f>'nebuleair_export (1)'!C14*'Calcul des facteurs'!$B$4+'Calcul des facteurs'!$C$4</f>
        <v>4.9434789853614607</v>
      </c>
      <c r="D14">
        <f>'nebuleair_export (1)'!D14*'Calcul des facteurs'!$B$5+'Calcul des facteurs'!$C$5</f>
        <v>7.1754992257285437</v>
      </c>
    </row>
    <row r="15" spans="1:4">
      <c r="A15" t="s">
        <v>1319</v>
      </c>
      <c r="B15" t="e">
        <f>'nebuleair_export (1)'!B15*'Calcul des facteurs'!#REF!+'Calcul des facteurs'!#REF!</f>
        <v>#REF!</v>
      </c>
      <c r="C15">
        <f>'nebuleair_export (1)'!C15*'Calcul des facteurs'!$B$4+'Calcul des facteurs'!$C$4</f>
        <v>6.6599632789434384</v>
      </c>
      <c r="D15">
        <f>'nebuleair_export (1)'!D15*'Calcul des facteurs'!$B$5+'Calcul des facteurs'!$C$5</f>
        <v>9.4012170497129368</v>
      </c>
    </row>
    <row r="16" spans="1:4">
      <c r="A16" t="s">
        <v>1322</v>
      </c>
      <c r="B16" t="e">
        <f>'nebuleair_export (1)'!B16*'Calcul des facteurs'!#REF!+'Calcul des facteurs'!#REF!</f>
        <v>#REF!</v>
      </c>
      <c r="C16">
        <f>'nebuleair_export (1)'!C16*'Calcul des facteurs'!$B$4+'Calcul des facteurs'!$C$4</f>
        <v>7.3391742682317878</v>
      </c>
      <c r="D16">
        <f>'nebuleair_export (1)'!D16*'Calcul des facteurs'!$B$5+'Calcul des facteurs'!$C$5</f>
        <v>10.116949918484035</v>
      </c>
    </row>
    <row r="17" spans="1:4">
      <c r="A17" t="s">
        <v>1325</v>
      </c>
      <c r="B17" t="e">
        <f>'nebuleair_export (1)'!B17*'Calcul des facteurs'!#REF!+'Calcul des facteurs'!#REF!</f>
        <v>#REF!</v>
      </c>
      <c r="C17">
        <f>'nebuleair_export (1)'!C17*'Calcul des facteurs'!$B$4+'Calcul des facteurs'!$C$4</f>
        <v>5.3347635770167035</v>
      </c>
      <c r="D17">
        <f>'nebuleair_export (1)'!D17*'Calcul des facteurs'!$B$5+'Calcul des facteurs'!$C$5</f>
        <v>7.9788112219020171</v>
      </c>
    </row>
    <row r="18" spans="1:4">
      <c r="A18" t="s">
        <v>1327</v>
      </c>
      <c r="B18" t="e">
        <f>'nebuleair_export (1)'!B18*'Calcul des facteurs'!#REF!+'Calcul des facteurs'!#REF!</f>
        <v>#REF!</v>
      </c>
      <c r="C18">
        <f>'nebuleair_export (1)'!C18*'Calcul des facteurs'!$B$4+'Calcul des facteurs'!$C$4</f>
        <v>17.627005937506926</v>
      </c>
      <c r="D18">
        <f>'nebuleair_export (1)'!D18*'Calcul des facteurs'!$B$5+'Calcul des facteurs'!$C$5</f>
        <v>18.754063862304001</v>
      </c>
    </row>
    <row r="19" spans="1:4">
      <c r="A19" t="s">
        <v>1331</v>
      </c>
      <c r="B19" t="e">
        <f>'nebuleair_export (1)'!B19*'Calcul des facteurs'!#REF!+'Calcul des facteurs'!#REF!</f>
        <v>#REF!</v>
      </c>
      <c r="C19">
        <f>'nebuleair_export (1)'!C19*'Calcul des facteurs'!$B$4+'Calcul des facteurs'!$C$4</f>
        <v>21.960667358292465</v>
      </c>
      <c r="D19">
        <f>'nebuleair_export (1)'!D19*'Calcul des facteurs'!$B$5+'Calcul des facteurs'!$C$5</f>
        <v>22.719284354694139</v>
      </c>
    </row>
    <row r="20" spans="1:4">
      <c r="A20" t="s">
        <v>1336</v>
      </c>
      <c r="B20" t="e">
        <f>'nebuleair_export (1)'!B20*'Calcul des facteurs'!#REF!+'Calcul des facteurs'!#REF!</f>
        <v>#REF!</v>
      </c>
      <c r="C20">
        <f>'nebuleair_export (1)'!C20*'Calcul des facteurs'!$B$4+'Calcul des facteurs'!$C$4</f>
        <v>22.687866080519598</v>
      </c>
      <c r="D20">
        <f>'nebuleair_export (1)'!D20*'Calcul des facteurs'!$B$5+'Calcul des facteurs'!$C$5</f>
        <v>25.594295709420209</v>
      </c>
    </row>
    <row r="21" spans="1:4">
      <c r="A21" t="s">
        <v>1341</v>
      </c>
      <c r="B21" t="e">
        <f>'nebuleair_export (1)'!B21*'Calcul des facteurs'!#REF!+'Calcul des facteurs'!#REF!</f>
        <v>#REF!</v>
      </c>
      <c r="C21">
        <f>'nebuleair_export (1)'!C21*'Calcul des facteurs'!$B$4+'Calcul des facteurs'!$C$4</f>
        <v>22.285507396647727</v>
      </c>
      <c r="D21">
        <f>'nebuleair_export (1)'!D21*'Calcul des facteurs'!$B$5+'Calcul des facteurs'!$C$5</f>
        <v>23.444077133196515</v>
      </c>
    </row>
    <row r="22" spans="1:4">
      <c r="A22" t="s">
        <v>1345</v>
      </c>
      <c r="B22" t="e">
        <f>'nebuleair_export (1)'!B22*'Calcul des facteurs'!#REF!+'Calcul des facteurs'!#REF!</f>
        <v>#REF!</v>
      </c>
      <c r="C22">
        <f>'nebuleair_export (1)'!C22*'Calcul des facteurs'!$B$4+'Calcul des facteurs'!$C$4</f>
        <v>21.473407300759408</v>
      </c>
      <c r="D22">
        <f>'nebuleair_export (1)'!D22*'Calcul des facteurs'!$B$5+'Calcul des facteurs'!$C$5</f>
        <v>23.903112559581295</v>
      </c>
    </row>
    <row r="23" spans="1:4">
      <c r="A23" t="s">
        <v>1350</v>
      </c>
      <c r="B23" t="e">
        <f>'nebuleair_export (1)'!B23*'Calcul des facteurs'!#REF!+'Calcul des facteurs'!#REF!</f>
        <v>#REF!</v>
      </c>
      <c r="C23">
        <f>'nebuleair_export (1)'!C23*'Calcul des facteurs'!$B$4+'Calcul des facteurs'!$C$4</f>
        <v>14.105444612609707</v>
      </c>
      <c r="D23">
        <f>'nebuleair_export (1)'!D23*'Calcul des facteurs'!$B$5+'Calcul des facteurs'!$C$5</f>
        <v>15.885092447398812</v>
      </c>
    </row>
    <row r="24" spans="1:4">
      <c r="A24" t="s">
        <v>1355</v>
      </c>
      <c r="B24" t="e">
        <f>'nebuleair_export (1)'!B24*'Calcul des facteurs'!#REF!+'Calcul des facteurs'!#REF!</f>
        <v>#REF!</v>
      </c>
      <c r="C24">
        <f>'nebuleair_export (1)'!C24*'Calcul des facteurs'!$B$4+'Calcul des facteurs'!$C$4</f>
        <v>16.744769924246476</v>
      </c>
      <c r="D24">
        <f>'nebuleair_export (1)'!D24*'Calcul des facteurs'!$B$5+'Calcul des facteurs'!$C$5</f>
        <v>19.246318957703501</v>
      </c>
    </row>
    <row r="25" spans="1:4">
      <c r="A25" t="s">
        <v>1360</v>
      </c>
      <c r="B25" t="e">
        <f>'nebuleair_export (1)'!B25*'Calcul des facteurs'!#REF!+'Calcul des facteurs'!#REF!</f>
        <v>#REF!</v>
      </c>
      <c r="C25">
        <f>'nebuleair_export (1)'!C25*'Calcul des facteurs'!$B$4+'Calcul des facteurs'!$C$4</f>
        <v>20.066997589243851</v>
      </c>
      <c r="D25">
        <f>'nebuleair_export (1)'!D25*'Calcul des facteurs'!$B$5+'Calcul des facteurs'!$C$5</f>
        <v>22.417287363651418</v>
      </c>
    </row>
    <row r="26" spans="1:4">
      <c r="A26" t="s">
        <v>1365</v>
      </c>
      <c r="B26" t="e">
        <f>'nebuleair_export (1)'!B26*'Calcul des facteurs'!#REF!+'Calcul des facteurs'!#REF!</f>
        <v>#REF!</v>
      </c>
      <c r="C26">
        <f>'nebuleair_export (1)'!C26*'Calcul des facteurs'!$B$4+'Calcul des facteurs'!$C$4</f>
        <v>20.591171287499066</v>
      </c>
      <c r="D26">
        <f>'nebuleair_export (1)'!D26*'Calcul des facteurs'!$B$5+'Calcul des facteurs'!$C$5</f>
        <v>21.704574464790802</v>
      </c>
    </row>
    <row r="27" spans="1:4">
      <c r="A27" t="s">
        <v>1369</v>
      </c>
      <c r="B27" t="e">
        <f>'nebuleair_export (1)'!B27*'Calcul des facteurs'!#REF!+'Calcul des facteurs'!#REF!</f>
        <v>#REF!</v>
      </c>
      <c r="C27">
        <f>'nebuleair_export (1)'!C27*'Calcul des facteurs'!$B$4+'Calcul des facteurs'!$C$4</f>
        <v>20.550566282704619</v>
      </c>
      <c r="D27">
        <f>'nebuleair_export (1)'!D27*'Calcul des facteurs'!$B$5+'Calcul des facteurs'!$C$5</f>
        <v>21.296878526883219</v>
      </c>
    </row>
    <row r="28" spans="1:4">
      <c r="A28" t="s">
        <v>1372</v>
      </c>
      <c r="B28" t="e">
        <f>'nebuleair_export (1)'!B28*'Calcul des facteurs'!#REF!+'Calcul des facteurs'!#REF!</f>
        <v>#REF!</v>
      </c>
      <c r="C28">
        <f>'nebuleair_export (1)'!C28*'Calcul des facteurs'!$B$4+'Calcul des facteurs'!$C$4</f>
        <v>20.284788069504827</v>
      </c>
      <c r="D28">
        <f>'nebuleair_export (1)'!D28*'Calcul des facteurs'!$B$5+'Calcul des facteurs'!$C$5</f>
        <v>21.758933923178482</v>
      </c>
    </row>
    <row r="29" spans="1:4">
      <c r="A29" t="s">
        <v>1377</v>
      </c>
      <c r="B29" t="e">
        <f>'nebuleair_export (1)'!B29*'Calcul des facteurs'!#REF!+'Calcul des facteurs'!#REF!</f>
        <v>#REF!</v>
      </c>
      <c r="C29">
        <f>'nebuleair_export (1)'!C29*'Calcul des facteurs'!$B$4+'Calcul des facteurs'!$C$4</f>
        <v>21.09688816539315</v>
      </c>
      <c r="D29">
        <f>'nebuleair_export (1)'!D29*'Calcul des facteurs'!$B$5+'Calcul des facteurs'!$C$5</f>
        <v>23.845733131283218</v>
      </c>
    </row>
    <row r="30" spans="1:4">
      <c r="A30" t="s">
        <v>1382</v>
      </c>
      <c r="B30" t="e">
        <f>'nebuleair_export (1)'!B30*'Calcul des facteurs'!#REF!+'Calcul des facteurs'!#REF!</f>
        <v>#REF!</v>
      </c>
      <c r="C30">
        <f>'nebuleair_export (1)'!C30*'Calcul des facteurs'!$B$4+'Calcul des facteurs'!$C$4</f>
        <v>16.120929396041447</v>
      </c>
      <c r="D30">
        <f>'nebuleair_export (1)'!D30*'Calcul des facteurs'!$B$5+'Calcul des facteurs'!$C$5</f>
        <v>17.772573641415395</v>
      </c>
    </row>
    <row r="31" spans="1:4">
      <c r="A31" t="s">
        <v>1386</v>
      </c>
      <c r="B31" t="e">
        <f>'nebuleair_export (1)'!B31*'Calcul des facteurs'!#REF!+'Calcul des facteurs'!#REF!</f>
        <v>#REF!</v>
      </c>
      <c r="C31">
        <f>'nebuleair_export (1)'!C31*'Calcul des facteurs'!$B$4+'Calcul des facteurs'!$C$4</f>
        <v>18.870995629844906</v>
      </c>
      <c r="D31">
        <f>'nebuleair_export (1)'!D31*'Calcul des facteurs'!$B$5+'Calcul des facteurs'!$C$5</f>
        <v>21.553575969269446</v>
      </c>
    </row>
    <row r="32" spans="1:4">
      <c r="A32" t="s">
        <v>1390</v>
      </c>
      <c r="B32" t="e">
        <f>'nebuleair_export (1)'!B32*'Calcul des facteurs'!#REF!+'Calcul des facteurs'!#REF!</f>
        <v>#REF!</v>
      </c>
      <c r="C32">
        <f>'nebuleair_export (1)'!C32*'Calcul des facteurs'!$B$4+'Calcul des facteurs'!$C$4</f>
        <v>15.91052164392495</v>
      </c>
      <c r="D32">
        <f>'nebuleair_export (1)'!D32*'Calcul des facteurs'!$B$5+'Calcul des facteurs'!$C$5</f>
        <v>17.479636560104044</v>
      </c>
    </row>
    <row r="33" spans="1:4">
      <c r="A33" t="s">
        <v>1394</v>
      </c>
      <c r="B33" t="e">
        <f>'nebuleair_export (1)'!B33*'Calcul des facteurs'!#REF!+'Calcul des facteurs'!#REF!</f>
        <v>#REF!</v>
      </c>
      <c r="C33">
        <f>'nebuleair_export (1)'!C33*'Calcul des facteurs'!$B$4+'Calcul des facteurs'!$C$4</f>
        <v>14.234642355137421</v>
      </c>
      <c r="D33">
        <f>'nebuleair_export (1)'!D33*'Calcul des facteurs'!$B$5+'Calcul des facteurs'!$C$5</f>
        <v>18.539645998663776</v>
      </c>
    </row>
    <row r="34" spans="1:4">
      <c r="A34" t="s">
        <v>1399</v>
      </c>
      <c r="B34" t="e">
        <f>'nebuleair_export (1)'!B34*'Calcul des facteurs'!#REF!+'Calcul des facteurs'!#REF!</f>
        <v>#REF!</v>
      </c>
      <c r="C34">
        <f>'nebuleair_export (1)'!C34*'Calcul des facteurs'!$B$4+'Calcul des facteurs'!$C$4</f>
        <v>10.890266505706764</v>
      </c>
      <c r="D34">
        <f>'nebuleair_export (1)'!D34*'Calcul des facteurs'!$B$5+'Calcul des facteurs'!$C$5</f>
        <v>12.931561875001522</v>
      </c>
    </row>
    <row r="35" spans="1:4">
      <c r="A35" t="s">
        <v>1402</v>
      </c>
      <c r="B35" t="e">
        <f>'nebuleair_export (1)'!B35*'Calcul des facteurs'!#REF!+'Calcul des facteurs'!#REF!</f>
        <v>#REF!</v>
      </c>
      <c r="C35">
        <f>'nebuleair_export (1)'!C35*'Calcul des facteurs'!$B$4+'Calcul des facteurs'!$C$4</f>
        <v>8.8341767174806058</v>
      </c>
      <c r="D35">
        <f>'nebuleair_export (1)'!D35*'Calcul des facteurs'!$B$5+'Calcul des facteurs'!$C$5</f>
        <v>10.672624382002525</v>
      </c>
    </row>
    <row r="36" spans="1:4">
      <c r="A36" t="s">
        <v>1406</v>
      </c>
      <c r="B36" t="e">
        <f>'nebuleair_export (1)'!B36*'Calcul des facteurs'!#REF!+'Calcul des facteurs'!#REF!</f>
        <v>#REF!</v>
      </c>
      <c r="C36">
        <f>'nebuleair_export (1)'!C36*'Calcul des facteurs'!$B$4+'Calcul des facteurs'!$C$4</f>
        <v>10.09662323017961</v>
      </c>
      <c r="D36">
        <f>'nebuleair_export (1)'!D36*'Calcul des facteurs'!$B$5+'Calcul des facteurs'!$C$5</f>
        <v>13.315098053625759</v>
      </c>
    </row>
    <row r="37" spans="1:4">
      <c r="A37" t="s">
        <v>1408</v>
      </c>
      <c r="B37" t="e">
        <f>'nebuleair_export (1)'!B37*'Calcul des facteurs'!#REF!+'Calcul des facteurs'!#REF!</f>
        <v>#REF!</v>
      </c>
      <c r="C37">
        <f>'nebuleair_export (1)'!C37*'Calcul des facteurs'!$B$4+'Calcul des facteurs'!$C$4</f>
        <v>10.768451491323525</v>
      </c>
      <c r="D37">
        <f>'nebuleair_export (1)'!D37*'Calcul des facteurs'!$B$5+'Calcul des facteurs'!$C$5</f>
        <v>12.726203921092576</v>
      </c>
    </row>
    <row r="38" spans="1:4">
      <c r="A38" t="s">
        <v>1410</v>
      </c>
      <c r="B38" t="e">
        <f>'nebuleair_export (1)'!B38*'Calcul des facteurs'!#REF!+'Calcul des facteurs'!#REF!</f>
        <v>#REF!</v>
      </c>
      <c r="C38">
        <f>'nebuleair_export (1)'!C38*'Calcul des facteurs'!$B$4+'Calcul des facteurs'!$C$4</f>
        <v>10.454685545184889</v>
      </c>
      <c r="D38">
        <f>'nebuleair_export (1)'!D38*'Calcul des facteurs'!$B$5+'Calcul des facteurs'!$C$5</f>
        <v>12.022550931963153</v>
      </c>
    </row>
    <row r="39" spans="1:4">
      <c r="A39" t="s">
        <v>1413</v>
      </c>
      <c r="B39" t="e">
        <f>'nebuleair_export (1)'!B39*'Calcul des facteurs'!#REF!+'Calcul des facteurs'!#REF!</f>
        <v>#REF!</v>
      </c>
      <c r="C39">
        <f>'nebuleair_export (1)'!C39*'Calcul des facteurs'!$B$4+'Calcul des facteurs'!$C$4</f>
        <v>9.3546590516635284</v>
      </c>
      <c r="D39">
        <f>'nebuleair_export (1)'!D39*'Calcul des facteurs'!$B$5+'Calcul des facteurs'!$C$5</f>
        <v>12.11315002927595</v>
      </c>
    </row>
    <row r="40" spans="1:4">
      <c r="A40" t="s">
        <v>1416</v>
      </c>
      <c r="B40" t="e">
        <f>'nebuleair_export (1)'!B40*'Calcul des facteurs'!#REF!+'Calcul des facteurs'!#REF!</f>
        <v>#REF!</v>
      </c>
      <c r="C40">
        <f>'nebuleair_export (1)'!C40*'Calcul des facteurs'!$B$4+'Calcul des facteurs'!$C$4</f>
        <v>7.350248360448445</v>
      </c>
      <c r="D40">
        <f>'nebuleair_export (1)'!D40*'Calcul des facteurs'!$B$5+'Calcul des facteurs'!$C$5</f>
        <v>9.5854352142489549</v>
      </c>
    </row>
    <row r="41" spans="1:4">
      <c r="A41" t="s">
        <v>1418</v>
      </c>
      <c r="B41" t="e">
        <f>'nebuleair_export (1)'!B41*'Calcul des facteurs'!#REF!+'Calcul des facteurs'!#REF!</f>
        <v>#REF!</v>
      </c>
      <c r="C41">
        <f>'nebuleair_export (1)'!C41*'Calcul des facteurs'!$B$4+'Calcul des facteurs'!$C$4</f>
        <v>6.331431876515917</v>
      </c>
      <c r="D41">
        <f>'nebuleair_export (1)'!D41*'Calcul des facteurs'!$B$5+'Calcul des facteurs'!$C$5</f>
        <v>8.5797852340769047</v>
      </c>
    </row>
    <row r="42" spans="1:4">
      <c r="A42" t="s">
        <v>1420</v>
      </c>
      <c r="B42" t="e">
        <f>'nebuleair_export (1)'!B42*'Calcul des facteurs'!#REF!+'Calcul des facteurs'!#REF!</f>
        <v>#REF!</v>
      </c>
      <c r="C42">
        <f>'nebuleair_export (1)'!C42*'Calcul des facteurs'!$B$4+'Calcul des facteurs'!$C$4</f>
        <v>6.1985427699160214</v>
      </c>
      <c r="D42">
        <f>'nebuleair_export (1)'!D42*'Calcul des facteurs'!$B$5+'Calcul des facteurs'!$C$5</f>
        <v>8.2415486041091306</v>
      </c>
    </row>
    <row r="43" spans="1:4">
      <c r="A43" t="s">
        <v>1422</v>
      </c>
      <c r="B43" t="e">
        <f>'nebuleair_export (1)'!B43*'Calcul des facteurs'!#REF!+'Calcul des facteurs'!#REF!</f>
        <v>#REF!</v>
      </c>
      <c r="C43">
        <f>'nebuleair_export (1)'!C43*'Calcul des facteurs'!$B$4+'Calcul des facteurs'!$C$4</f>
        <v>4.3565520978785912</v>
      </c>
      <c r="D43">
        <f>'nebuleair_export (1)'!D43*'Calcul des facteurs'!$B$5+'Calcul des facteurs'!$C$5</f>
        <v>6.329907650809103</v>
      </c>
    </row>
    <row r="44" spans="1:4">
      <c r="A44" t="s">
        <v>1424</v>
      </c>
      <c r="B44" t="e">
        <f>'nebuleair_export (1)'!B44*'Calcul des facteurs'!#REF!+'Calcul des facteurs'!#REF!</f>
        <v>#REF!</v>
      </c>
      <c r="C44">
        <f>'nebuleair_export (1)'!C44*'Calcul des facteurs'!$B$4+'Calcul des facteurs'!$C$4</f>
        <v>4.437762107467413</v>
      </c>
      <c r="D44">
        <f>'nebuleair_export (1)'!D44*'Calcul des facteurs'!$B$5+'Calcul des facteurs'!$C$5</f>
        <v>7.1060399177887286</v>
      </c>
    </row>
    <row r="45" spans="1:4">
      <c r="A45" t="s">
        <v>1426</v>
      </c>
      <c r="B45" t="e">
        <f>'nebuleair_export (1)'!B45*'Calcul des facteurs'!#REF!+'Calcul des facteurs'!#REF!</f>
        <v>#REF!</v>
      </c>
      <c r="C45">
        <f>'nebuleair_export (1)'!C45*'Calcul des facteurs'!$B$4+'Calcul des facteurs'!$C$4</f>
        <v>5.5451713291332041</v>
      </c>
      <c r="D45">
        <f>'nebuleair_export (1)'!D45*'Calcul des facteurs'!$B$5+'Calcul des facteurs'!$C$5</f>
        <v>7.8006329971868453</v>
      </c>
    </row>
    <row r="46" spans="1:4">
      <c r="A46" t="s">
        <v>1429</v>
      </c>
      <c r="B46" t="e">
        <f>'nebuleair_export (1)'!B46*'Calcul des facteurs'!#REF!+'Calcul des facteurs'!#REF!</f>
        <v>#REF!</v>
      </c>
      <c r="C46">
        <f>'nebuleair_export (1)'!C46*'Calcul des facteurs'!$B$4+'Calcul des facteurs'!$C$4</f>
        <v>4.3085643649397447</v>
      </c>
      <c r="D46">
        <f>'nebuleair_export (1)'!D46*'Calcul des facteurs'!$B$5+'Calcul des facteurs'!$C$5</f>
        <v>6.5654653038223767</v>
      </c>
    </row>
    <row r="47" spans="1:4">
      <c r="A47" t="s">
        <v>1431</v>
      </c>
      <c r="B47" t="e">
        <f>'nebuleair_export (1)'!B47*'Calcul des facteurs'!#REF!+'Calcul des facteurs'!#REF!</f>
        <v>#REF!</v>
      </c>
      <c r="C47">
        <f>'nebuleair_export (1)'!C47*'Calcul des facteurs'!$B$4+'Calcul des facteurs'!$C$4</f>
        <v>3.3931060750293525</v>
      </c>
      <c r="D47">
        <f>'nebuleair_export (1)'!D47*'Calcul des facteurs'!$B$5+'Calcul des facteurs'!$C$5</f>
        <v>5.813492796126158</v>
      </c>
    </row>
    <row r="48" spans="1:4">
      <c r="A48" t="s">
        <v>1433</v>
      </c>
      <c r="B48" t="e">
        <f>'nebuleair_export (1)'!B48*'Calcul des facteurs'!#REF!+'Calcul des facteurs'!#REF!</f>
        <v>#REF!</v>
      </c>
      <c r="C48">
        <f>'nebuleair_export (1)'!C48*'Calcul des facteurs'!$B$4+'Calcul des facteurs'!$C$4</f>
        <v>3.2306860558516992</v>
      </c>
      <c r="D48">
        <f>'nebuleair_export (1)'!D48*'Calcul des facteurs'!$B$5+'Calcul des facteurs'!$C$5</f>
        <v>5.2729181821597972</v>
      </c>
    </row>
    <row r="49" spans="1:4">
      <c r="A49" t="s">
        <v>1435</v>
      </c>
      <c r="B49" t="e">
        <f>'nebuleair_export (1)'!B49*'Calcul des facteurs'!#REF!+'Calcul des facteurs'!#REF!</f>
        <v>#REF!</v>
      </c>
      <c r="C49">
        <f>'nebuleair_export (1)'!C49*'Calcul des facteurs'!$B$4+'Calcul des facteurs'!$C$4</f>
        <v>2.8504755564131146</v>
      </c>
      <c r="D49">
        <f>'nebuleair_export (1)'!D49*'Calcul des facteurs'!$B$5+'Calcul des facteurs'!$C$5</f>
        <v>5.0917199875342014</v>
      </c>
    </row>
    <row r="50" spans="1:4">
      <c r="A50" t="s">
        <v>1438</v>
      </c>
      <c r="B50" t="e">
        <f>'nebuleair_export (1)'!B50*'Calcul des facteurs'!#REF!+'Calcul des facteurs'!#REF!</f>
        <v>#REF!</v>
      </c>
      <c r="C50">
        <f>'nebuleair_export (1)'!C50*'Calcul des facteurs'!$B$4+'Calcul des facteurs'!$C$4</f>
        <v>3.3894147109571255</v>
      </c>
      <c r="D50">
        <f>'nebuleair_export (1)'!D50*'Calcul des facteurs'!$B$5+'Calcul des facteurs'!$C$5</f>
        <v>6.0460304792290076</v>
      </c>
    </row>
    <row r="51" spans="1:4">
      <c r="A51" t="s">
        <v>1440</v>
      </c>
      <c r="B51" t="e">
        <f>'nebuleair_export (1)'!B51*'Calcul des facteurs'!#REF!+'Calcul des facteurs'!#REF!</f>
        <v>#REF!</v>
      </c>
      <c r="C51">
        <f>'nebuleair_export (1)'!C51*'Calcul des facteurs'!$B$4+'Calcul des facteurs'!$C$4</f>
        <v>3.4853901768348314</v>
      </c>
      <c r="D51">
        <f>'nebuleair_export (1)'!D51*'Calcul des facteurs'!$B$5+'Calcul des facteurs'!$C$5</f>
        <v>5.9010719235285318</v>
      </c>
    </row>
    <row r="52" spans="1:4">
      <c r="A52" t="s">
        <v>1442</v>
      </c>
      <c r="B52" t="e">
        <f>'nebuleair_export (1)'!B52*'Calcul des facteurs'!#REF!+'Calcul des facteurs'!#REF!</f>
        <v>#REF!</v>
      </c>
      <c r="C52">
        <f>'nebuleair_export (1)'!C52*'Calcul des facteurs'!$B$4+'Calcul des facteurs'!$C$4</f>
        <v>3.7364029337457478</v>
      </c>
      <c r="D52">
        <f>'nebuleair_export (1)'!D52*'Calcul des facteurs'!$B$5+'Calcul des facteurs'!$C$5</f>
        <v>6.7617633480000983</v>
      </c>
    </row>
    <row r="53" spans="1:4">
      <c r="A53" t="s">
        <v>1444</v>
      </c>
      <c r="B53" t="e">
        <f>'nebuleair_export (1)'!B53*'Calcul des facteurs'!#REF!+'Calcul des facteurs'!#REF!</f>
        <v>#REF!</v>
      </c>
      <c r="C53">
        <f>'nebuleair_export (1)'!C53*'Calcul des facteurs'!$B$4+'Calcul des facteurs'!$C$4</f>
        <v>3.6625756523013582</v>
      </c>
      <c r="D53">
        <f>'nebuleair_export (1)'!D53*'Calcul des facteurs'!$B$5+'Calcul des facteurs'!$C$5</f>
        <v>6.3057478915256873</v>
      </c>
    </row>
    <row r="54" spans="1:4">
      <c r="A54" t="s">
        <v>1446</v>
      </c>
      <c r="B54" t="e">
        <f>'nebuleair_export (1)'!B54*'Calcul des facteurs'!#REF!+'Calcul des facteurs'!#REF!</f>
        <v>#REF!</v>
      </c>
      <c r="C54">
        <f>'nebuleair_export (1)'!C54*'Calcul des facteurs'!$B$4+'Calcul des facteurs'!$C$4</f>
        <v>3.5887483708569685</v>
      </c>
      <c r="D54">
        <f>'nebuleair_export (1)'!D54*'Calcul des facteurs'!$B$5+'Calcul des facteurs'!$C$5</f>
        <v>5.9463714721849303</v>
      </c>
    </row>
    <row r="55" spans="1:4">
      <c r="A55" t="s">
        <v>1448</v>
      </c>
      <c r="B55" t="e">
        <f>'nebuleair_export (1)'!B55*'Calcul des facteurs'!#REF!+'Calcul des facteurs'!#REF!</f>
        <v>#REF!</v>
      </c>
      <c r="C55">
        <f>'nebuleair_export (1)'!C55*'Calcul des facteurs'!$B$4+'Calcul des facteurs'!$C$4</f>
        <v>5.0652939997446982</v>
      </c>
      <c r="D55">
        <f>'nebuleair_export (1)'!D55*'Calcul des facteurs'!$B$5+'Calcul des facteurs'!$C$5</f>
        <v>7.124159737251297</v>
      </c>
    </row>
    <row r="56" spans="1:4">
      <c r="A56" t="s">
        <v>1450</v>
      </c>
      <c r="B56" t="e">
        <f>'nebuleair_export (1)'!B56*'Calcul des facteurs'!#REF!+'Calcul des facteurs'!#REF!</f>
        <v>#REF!</v>
      </c>
      <c r="C56">
        <f>'nebuleair_export (1)'!C56*'Calcul des facteurs'!$B$4+'Calcul des facteurs'!$C$4</f>
        <v>4.2273543553509123</v>
      </c>
      <c r="D56">
        <f>'nebuleair_export (1)'!D56*'Calcul des facteurs'!$B$5+'Calcul des facteurs'!$C$5</f>
        <v>6.9671213019091089</v>
      </c>
    </row>
    <row r="57" spans="1:4">
      <c r="A57" t="s">
        <v>1451</v>
      </c>
      <c r="B57" t="e">
        <f>'nebuleair_export (1)'!B57*'Calcul des facteurs'!#REF!+'Calcul des facteurs'!#REF!</f>
        <v>#REF!</v>
      </c>
      <c r="C57">
        <f>'nebuleair_export (1)'!C57*'Calcul des facteurs'!$B$4+'Calcul des facteurs'!$C$4</f>
        <v>4.5558857577784346</v>
      </c>
      <c r="D57">
        <f>'nebuleair_export (1)'!D57*'Calcul des facteurs'!$B$5+'Calcul des facteurs'!$C$5</f>
        <v>7.2842181425039003</v>
      </c>
    </row>
    <row r="58" spans="1:4">
      <c r="A58" t="s">
        <v>1453</v>
      </c>
      <c r="B58" t="e">
        <f>'nebuleair_export (1)'!B58*'Calcul des facteurs'!#REF!+'Calcul des facteurs'!#REF!</f>
        <v>#REF!</v>
      </c>
      <c r="C58">
        <f>'nebuleair_export (1)'!C58*'Calcul des facteurs'!$B$4+'Calcul des facteurs'!$C$4</f>
        <v>3.9431193217900331</v>
      </c>
      <c r="D58">
        <f>'nebuleair_export (1)'!D58*'Calcul des facteurs'!$B$5+'Calcul des facteurs'!$C$5</f>
        <v>7.9576714325290245</v>
      </c>
    </row>
    <row r="59" spans="1:4">
      <c r="A59" t="s">
        <v>1454</v>
      </c>
      <c r="B59" t="e">
        <f>'nebuleair_export (1)'!B59*'Calcul des facteurs'!#REF!+'Calcul des facteurs'!#REF!</f>
        <v>#REF!</v>
      </c>
      <c r="C59">
        <f>'nebuleair_export (1)'!C59*'Calcul des facteurs'!$B$4+'Calcul des facteurs'!$C$4</f>
        <v>4.5964907625728504</v>
      </c>
      <c r="D59">
        <f>'nebuleair_export (1)'!D59*'Calcul des facteurs'!$B$5+'Calcul des facteurs'!$C$5</f>
        <v>8.2626883934821116</v>
      </c>
    </row>
    <row r="60" spans="1:4">
      <c r="A60" t="s">
        <v>1456</v>
      </c>
      <c r="B60" t="e">
        <f>'nebuleair_export (1)'!B60*'Calcul des facteurs'!#REF!+'Calcul des facteurs'!#REF!</f>
        <v>#REF!</v>
      </c>
      <c r="C60">
        <f>'nebuleair_export (1)'!C60*'Calcul des facteurs'!$B$4+'Calcul des facteurs'!$C$4</f>
        <v>4.718305776956087</v>
      </c>
      <c r="D60">
        <f>'nebuleair_export (1)'!D60*'Calcul des facteurs'!$B$5+'Calcul des facteurs'!$C$5</f>
        <v>8.951241533059374</v>
      </c>
    </row>
    <row r="61" spans="1:4">
      <c r="A61" t="s">
        <v>1458</v>
      </c>
      <c r="B61" t="e">
        <f>'nebuleair_export (1)'!B61*'Calcul des facteurs'!#REF!+'Calcul des facteurs'!#REF!</f>
        <v>#REF!</v>
      </c>
      <c r="C61">
        <f>'nebuleair_export (1)'!C61*'Calcul des facteurs'!$B$4+'Calcul des facteurs'!$C$4</f>
        <v>4.1387616176176483</v>
      </c>
      <c r="D61">
        <f>'nebuleair_export (1)'!D61*'Calcul des facteurs'!$B$5+'Calcul des facteurs'!$C$5</f>
        <v>6.9278616930735666</v>
      </c>
    </row>
    <row r="62" spans="1:4">
      <c r="A62" t="s">
        <v>1460</v>
      </c>
      <c r="B62" t="e">
        <f>'nebuleair_export (1)'!B62*'Calcul des facteurs'!#REF!+'Calcul des facteurs'!#REF!</f>
        <v>#REF!</v>
      </c>
      <c r="C62">
        <f>'nebuleair_export (1)'!C62*'Calcul des facteurs'!$B$4+'Calcul des facteurs'!$C$4</f>
        <v>4.5854166703561923</v>
      </c>
      <c r="D62">
        <f>'nebuleair_export (1)'!D62*'Calcul des facteurs'!$B$5+'Calcul des facteurs'!$C$5</f>
        <v>7.4472965176669357</v>
      </c>
    </row>
    <row r="63" spans="1:4">
      <c r="A63" t="s">
        <v>1461</v>
      </c>
      <c r="B63" t="e">
        <f>'nebuleair_export (1)'!B63*'Calcul des facteurs'!#REF!+'Calcul des facteurs'!#REF!</f>
        <v>#REF!</v>
      </c>
      <c r="C63">
        <f>'nebuleair_export (1)'!C63*'Calcul des facteurs'!$B$4+'Calcul des facteurs'!$C$4</f>
        <v>4.0796997924621436</v>
      </c>
      <c r="D63">
        <f>'nebuleair_export (1)'!D63*'Calcul des facteurs'!$B$5+'Calcul des facteurs'!$C$5</f>
        <v>6.8976619939692947</v>
      </c>
    </row>
    <row r="64" spans="1:4">
      <c r="A64" t="s">
        <v>1463</v>
      </c>
      <c r="B64" t="e">
        <f>'nebuleair_export (1)'!B64*'Calcul des facteurs'!#REF!+'Calcul des facteurs'!#REF!</f>
        <v>#REF!</v>
      </c>
      <c r="C64">
        <f>'nebuleair_export (1)'!C64*'Calcul des facteurs'!$B$4+'Calcul des facteurs'!$C$4</f>
        <v>4.7109230488116447</v>
      </c>
      <c r="D64">
        <f>'nebuleair_export (1)'!D64*'Calcul des facteurs'!$B$5+'Calcul des facteurs'!$C$5</f>
        <v>7.5892351034569883</v>
      </c>
    </row>
    <row r="65" spans="1:4">
      <c r="A65" t="s">
        <v>1465</v>
      </c>
      <c r="B65" t="e">
        <f>'nebuleair_export (1)'!B65*'Calcul des facteurs'!#REF!+'Calcul des facteurs'!#REF!</f>
        <v>#REF!</v>
      </c>
      <c r="C65">
        <f>'nebuleair_export (1)'!C65*'Calcul des facteurs'!$B$4+'Calcul des facteurs'!$C$4</f>
        <v>4.0317120595232963</v>
      </c>
      <c r="D65">
        <f>'nebuleair_export (1)'!D65*'Calcul des facteurs'!$B$5+'Calcul des facteurs'!$C$5</f>
        <v>6.8523624453129051</v>
      </c>
    </row>
    <row r="66" spans="1:4">
      <c r="A66" t="s">
        <v>1467</v>
      </c>
      <c r="B66" t="e">
        <f>'nebuleair_export (1)'!B66*'Calcul des facteurs'!#REF!+'Calcul des facteurs'!#REF!</f>
        <v>#REF!</v>
      </c>
      <c r="C66">
        <f>'nebuleair_export (1)'!C66*'Calcul des facteurs'!$B$4+'Calcul des facteurs'!$C$4</f>
        <v>4.0021811469455386</v>
      </c>
      <c r="D66">
        <f>'nebuleair_export (1)'!D66*'Calcul des facteurs'!$B$5+'Calcul des facteurs'!$C$5</f>
        <v>6.7949830170147942</v>
      </c>
    </row>
    <row r="67" spans="1:4">
      <c r="A67" t="s">
        <v>1468</v>
      </c>
      <c r="B67" t="e">
        <f>'nebuleair_export (1)'!B67*'Calcul des facteurs'!#REF!+'Calcul des facteurs'!#REF!</f>
        <v>#REF!</v>
      </c>
      <c r="C67">
        <f>'nebuleair_export (1)'!C67*'Calcul des facteurs'!$B$4+'Calcul des facteurs'!$C$4</f>
        <v>3.5998224630736266</v>
      </c>
      <c r="D67">
        <f>'nebuleair_export (1)'!D67*'Calcul des facteurs'!$B$5+'Calcul des facteurs'!$C$5</f>
        <v>6.3661472897342222</v>
      </c>
    </row>
    <row r="68" spans="1:4">
      <c r="A68" t="s">
        <v>1470</v>
      </c>
      <c r="B68" t="e">
        <f>'nebuleair_export (1)'!B68*'Calcul des facteurs'!#REF!+'Calcul des facteurs'!#REF!</f>
        <v>#REF!</v>
      </c>
      <c r="C68">
        <f>'nebuleair_export (1)'!C68*'Calcul des facteurs'!$B$4+'Calcul des facteurs'!$C$4</f>
        <v>2.3041536737246502</v>
      </c>
      <c r="D68">
        <f>'nebuleair_export (1)'!D68*'Calcul des facteurs'!$B$5+'Calcul des facteurs'!$C$5</f>
        <v>4.9407214920128695</v>
      </c>
    </row>
    <row r="69" spans="1:4">
      <c r="A69" t="s">
        <v>1472</v>
      </c>
      <c r="B69" t="e">
        <f>'nebuleair_export (1)'!B69*'Calcul des facteurs'!#REF!+'Calcul des facteurs'!#REF!</f>
        <v>#REF!</v>
      </c>
      <c r="C69">
        <f>'nebuleair_export (1)'!C69*'Calcul des facteurs'!$B$4+'Calcul des facteurs'!$C$4</f>
        <v>1.8501158928416752</v>
      </c>
      <c r="D69">
        <f>'nebuleair_export (1)'!D69*'Calcul des facteurs'!$B$5+'Calcul des facteurs'!$C$5</f>
        <v>4.4333665470612038</v>
      </c>
    </row>
    <row r="70" spans="1:4">
      <c r="A70" t="s">
        <v>1474</v>
      </c>
      <c r="B70" t="e">
        <f>'nebuleair_export (1)'!B70*'Calcul des facteurs'!#REF!+'Calcul des facteurs'!#REF!</f>
        <v>#REF!</v>
      </c>
      <c r="C70">
        <f>'nebuleair_export (1)'!C70*'Calcul des facteurs'!$B$4+'Calcul des facteurs'!$C$4</f>
        <v>2.2229436641358289</v>
      </c>
      <c r="D70">
        <f>'nebuleair_export (1)'!D70*'Calcul des facteurs'!$B$5+'Calcul des facteurs'!$C$5</f>
        <v>4.8440824548792252</v>
      </c>
    </row>
    <row r="71" spans="1:4">
      <c r="A71" t="s">
        <v>1478</v>
      </c>
      <c r="B71" t="e">
        <f>'nebuleair_export (1)'!B71*'Calcul des facteurs'!#REF!+'Calcul des facteurs'!#REF!</f>
        <v>#REF!</v>
      </c>
      <c r="C71">
        <f>'nebuleair_export (1)'!C71*'Calcul des facteurs'!$B$4+'Calcul des facteurs'!$C$4</f>
        <v>1.9793136353693546</v>
      </c>
      <c r="D71">
        <f>'nebuleair_export (1)'!D71*'Calcul des facteurs'!$B$5+'Calcul des facteurs'!$C$5</f>
        <v>4.5783251027616885</v>
      </c>
    </row>
    <row r="72" spans="1:4">
      <c r="A72" t="s">
        <v>1480</v>
      </c>
      <c r="B72" t="e">
        <f>'nebuleair_export (1)'!B72*'Calcul des facteurs'!#REF!+'Calcul des facteurs'!#REF!</f>
        <v>#REF!</v>
      </c>
      <c r="C72">
        <f>'nebuleair_export (1)'!C72*'Calcul des facteurs'!$B$4+'Calcul des facteurs'!$C$4</f>
        <v>2.1343509264025657</v>
      </c>
      <c r="D72">
        <f>'nebuleair_export (1)'!D72*'Calcul des facteurs'!$B$5+'Calcul des facteurs'!$C$5</f>
        <v>4.7444234478351479</v>
      </c>
    </row>
    <row r="73" spans="1:4">
      <c r="A73" t="s">
        <v>1482</v>
      </c>
      <c r="B73" t="e">
        <f>'nebuleair_export (1)'!B73*'Calcul des facteurs'!#REF!+'Calcul des facteurs'!#REF!</f>
        <v>#REF!</v>
      </c>
      <c r="C73">
        <f>'nebuleair_export (1)'!C73*'Calcul des facteurs'!$B$4+'Calcul des facteurs'!$C$4</f>
        <v>1.86488134913056</v>
      </c>
      <c r="D73">
        <f>'nebuleair_export (1)'!D73*'Calcul des facteurs'!$B$5+'Calcul des facteurs'!$C$5</f>
        <v>4.4424264567924929</v>
      </c>
    </row>
    <row r="74" spans="1:4">
      <c r="A74" t="s">
        <v>1485</v>
      </c>
      <c r="B74" t="e">
        <f>'nebuleair_export (1)'!B74*'Calcul des facteurs'!#REF!+'Calcul des facteurs'!#REF!</f>
        <v>#REF!</v>
      </c>
      <c r="C74">
        <f>'nebuleair_export (1)'!C74*'Calcul des facteurs'!$B$4+'Calcul des facteurs'!$C$4</f>
        <v>1.8685727132027756</v>
      </c>
      <c r="D74">
        <f>'nebuleair_export (1)'!D74*'Calcul des facteurs'!$B$5+'Calcul des facteurs'!$C$5</f>
        <v>4.4575263063446195</v>
      </c>
    </row>
    <row r="75" spans="1:4">
      <c r="A75" t="s">
        <v>1487</v>
      </c>
      <c r="B75" t="e">
        <f>'nebuleair_export (1)'!B75*'Calcul des facteurs'!#REF!+'Calcul des facteurs'!#REF!</f>
        <v>#REF!</v>
      </c>
      <c r="C75">
        <f>'nebuleair_export (1)'!C75*'Calcul des facteurs'!$B$4+'Calcul des facteurs'!$C$4</f>
        <v>2.403820503674571</v>
      </c>
      <c r="D75">
        <f>'nebuleair_export (1)'!D75*'Calcul des facteurs'!$B$5+'Calcul des facteurs'!$C$5</f>
        <v>5.0434004689673797</v>
      </c>
    </row>
    <row r="76" spans="1:4">
      <c r="A76" t="s">
        <v>1490</v>
      </c>
      <c r="B76" t="e">
        <f>'nebuleair_export (1)'!B76*'Calcul des facteurs'!#REF!+'Calcul des facteurs'!#REF!</f>
        <v>#REF!</v>
      </c>
      <c r="C76">
        <f>'nebuleair_export (1)'!C76*'Calcul des facteurs'!$B$4+'Calcul des facteurs'!$C$4</f>
        <v>3.0645746726018306</v>
      </c>
      <c r="D76">
        <f>'nebuleair_export (1)'!D76*'Calcul des facteurs'!$B$5+'Calcul des facteurs'!$C$5</f>
        <v>5.7772531572010388</v>
      </c>
    </row>
    <row r="77" spans="1:4">
      <c r="A77" t="s">
        <v>1492</v>
      </c>
      <c r="B77" t="e">
        <f>'nebuleair_export (1)'!B77*'Calcul des facteurs'!#REF!+'Calcul des facteurs'!#REF!</f>
        <v>#REF!</v>
      </c>
      <c r="C77">
        <f>'nebuleair_export (1)'!C77*'Calcul des facteurs'!$B$4+'Calcul des facteurs'!$C$4</f>
        <v>2.9612164785796939</v>
      </c>
      <c r="D77">
        <f>'nebuleair_export (1)'!D77*'Calcul des facteurs'!$B$5+'Calcul des facteurs'!$C$5</f>
        <v>5.6594743306944029</v>
      </c>
    </row>
    <row r="78" spans="1:4">
      <c r="A78" t="s">
        <v>1493</v>
      </c>
      <c r="B78" t="e">
        <f>'nebuleair_export (1)'!B78*'Calcul des facteurs'!#REF!+'Calcul des facteurs'!#REF!</f>
        <v>#REF!</v>
      </c>
      <c r="C78">
        <f>'nebuleair_export (1)'!C78*'Calcul des facteurs'!$B$4+'Calcul des facteurs'!$C$4</f>
        <v>3.5887483708569685</v>
      </c>
      <c r="D78">
        <f>'nebuleair_export (1)'!D78*'Calcul des facteurs'!$B$5+'Calcul des facteurs'!$C$5</f>
        <v>6.3540674100925099</v>
      </c>
    </row>
    <row r="79" spans="1:4">
      <c r="A79" t="s">
        <v>1495</v>
      </c>
      <c r="B79" t="e">
        <f>'nebuleair_export (1)'!B79*'Calcul des facteurs'!#REF!+'Calcul des facteurs'!#REF!</f>
        <v>#REF!</v>
      </c>
      <c r="C79">
        <f>'nebuleair_export (1)'!C79*'Calcul des facteurs'!$B$4+'Calcul des facteurs'!$C$4</f>
        <v>3.932045229573375</v>
      </c>
      <c r="D79">
        <f>'nebuleair_export (1)'!D79*'Calcul des facteurs'!$B$5+'Calcul des facteurs'!$C$5</f>
        <v>6.7527034382688278</v>
      </c>
    </row>
    <row r="80" spans="1:4">
      <c r="A80" t="s">
        <v>1497</v>
      </c>
      <c r="B80" t="e">
        <f>'nebuleair_export (1)'!B80*'Calcul des facteurs'!#REF!+'Calcul des facteurs'!#REF!</f>
        <v>#REF!</v>
      </c>
      <c r="C80">
        <f>'nebuleair_export (1)'!C80*'Calcul des facteurs'!$B$4+'Calcul des facteurs'!$C$4</f>
        <v>5.7149740764552996</v>
      </c>
      <c r="D80">
        <f>'nebuleair_export (1)'!D80*'Calcul des facteurs'!$B$5+'Calcul des facteurs'!$C$5</f>
        <v>8.7066239703148192</v>
      </c>
    </row>
    <row r="81" spans="1:4">
      <c r="A81" t="s">
        <v>1498</v>
      </c>
      <c r="B81" t="e">
        <f>'nebuleair_export (1)'!B81*'Calcul des facteurs'!#REF!+'Calcul des facteurs'!#REF!</f>
        <v>#REF!</v>
      </c>
      <c r="C81">
        <f>'nebuleair_export (1)'!C81*'Calcul des facteurs'!$B$4+'Calcul des facteurs'!$C$4</f>
        <v>4.8032071506171237</v>
      </c>
      <c r="D81">
        <f>'nebuleair_export (1)'!D81*'Calcul des facteurs'!$B$5+'Calcul des facteurs'!$C$5</f>
        <v>7.7130538697844813</v>
      </c>
    </row>
    <row r="82" spans="1:4">
      <c r="A82" t="s">
        <v>1500</v>
      </c>
      <c r="B82" t="e">
        <f>'nebuleair_export (1)'!B82*'Calcul des facteurs'!#REF!+'Calcul des facteurs'!#REF!</f>
        <v>#REF!</v>
      </c>
      <c r="C82">
        <f>'nebuleair_export (1)'!C82*'Calcul des facteurs'!$B$4+'Calcul des facteurs'!$C$4</f>
        <v>5.5599367854220887</v>
      </c>
      <c r="D82">
        <f>'nebuleair_export (1)'!D82*'Calcul des facteurs'!$B$5+'Calcul des facteurs'!$C$5</f>
        <v>8.5405256252413615</v>
      </c>
    </row>
    <row r="83" spans="1:4">
      <c r="A83" t="s">
        <v>1503</v>
      </c>
      <c r="B83" t="e">
        <f>'nebuleair_export (1)'!B83*'Calcul des facteurs'!#REF!+'Calcul des facteurs'!#REF!</f>
        <v>#REF!</v>
      </c>
      <c r="C83">
        <f>'nebuleair_export (1)'!C83*'Calcul des facteurs'!$B$4+'Calcul des facteurs'!$C$4</f>
        <v>7.0475565065264654</v>
      </c>
      <c r="D83">
        <f>'nebuleair_export (1)'!D83*'Calcul des facteurs'!$B$5+'Calcul des facteurs'!$C$5</f>
        <v>10.183389256513419</v>
      </c>
    </row>
    <row r="84" spans="1:4">
      <c r="A84" t="s">
        <v>1506</v>
      </c>
      <c r="B84" t="e">
        <f>'nebuleair_export (1)'!B84*'Calcul des facteurs'!#REF!+'Calcul des facteurs'!#REF!</f>
        <v>#REF!</v>
      </c>
      <c r="C84">
        <f>'nebuleair_export (1)'!C84*'Calcul des facteurs'!$B$4+'Calcul des facteurs'!$C$4</f>
        <v>9.2070044887747589</v>
      </c>
      <c r="D84">
        <f>'nebuleair_export (1)'!D84*'Calcul des facteurs'!$B$5+'Calcul des facteurs'!$C$5</f>
        <v>12.566145515839937</v>
      </c>
    </row>
    <row r="85" spans="1:4">
      <c r="A85" t="s">
        <v>1508</v>
      </c>
      <c r="B85" t="e">
        <f>'nebuleair_export (1)'!B85*'Calcul des facteurs'!#REF!+'Calcul des facteurs'!#REF!</f>
        <v>#REF!</v>
      </c>
      <c r="C85">
        <f>'nebuleair_export (1)'!C85*'Calcul des facteurs'!$B$4+'Calcul des facteurs'!$C$4</f>
        <v>12.628898983722024</v>
      </c>
      <c r="D85">
        <f>'nebuleair_export (1)'!D85*'Calcul des facteurs'!$B$5+'Calcul des facteurs'!$C$5</f>
        <v>16.33506796405231</v>
      </c>
    </row>
    <row r="86" spans="1:4">
      <c r="A86" t="s">
        <v>1510</v>
      </c>
      <c r="B86" t="e">
        <f>'nebuleair_export (1)'!B86*'Calcul des facteurs'!#REF!+'Calcul des facteurs'!#REF!</f>
        <v>#REF!</v>
      </c>
      <c r="C86">
        <f>'nebuleair_export (1)'!C86*'Calcul des facteurs'!$B$4+'Calcul des facteurs'!$C$4</f>
        <v>12.854072192127363</v>
      </c>
      <c r="D86">
        <f>'nebuleair_export (1)'!D86*'Calcul des facteurs'!$B$5+'Calcul des facteurs'!$C$5</f>
        <v>16.588745436528143</v>
      </c>
    </row>
    <row r="87" spans="1:4">
      <c r="A87" t="s">
        <v>1513</v>
      </c>
      <c r="B87" t="e">
        <f>'nebuleair_export (1)'!B87*'Calcul des facteurs'!#REF!+'Calcul des facteurs'!#REF!</f>
        <v>#REF!</v>
      </c>
      <c r="C87">
        <f>'nebuleair_export (1)'!C87*'Calcul des facteurs'!$B$4+'Calcul des facteurs'!$C$4</f>
        <v>12.222848935777863</v>
      </c>
      <c r="D87">
        <f>'nebuleair_export (1)'!D87*'Calcul des facteurs'!$B$5+'Calcul des facteurs'!$C$5</f>
        <v>15.90321226686128</v>
      </c>
    </row>
    <row r="88" spans="1:4">
      <c r="A88" t="s">
        <v>1515</v>
      </c>
      <c r="B88" t="e">
        <f>'nebuleair_export (1)'!B88*'Calcul des facteurs'!#REF!+'Calcul des facteurs'!#REF!</f>
        <v>#REF!</v>
      </c>
      <c r="C88">
        <f>'nebuleair_export (1)'!C88*'Calcul des facteurs'!$B$4+'Calcul des facteurs'!$C$4</f>
        <v>12.632590347794205</v>
      </c>
      <c r="D88">
        <f>'nebuleair_export (1)'!D88*'Calcul des facteurs'!$B$5+'Calcul des facteurs'!$C$5</f>
        <v>16.347147843694078</v>
      </c>
    </row>
    <row r="89" spans="1:4">
      <c r="A89" t="s">
        <v>1517</v>
      </c>
      <c r="B89" t="e">
        <f>'nebuleair_export (1)'!B89*'Calcul des facteurs'!#REF!+'Calcul des facteurs'!#REF!</f>
        <v>#REF!</v>
      </c>
      <c r="C89">
        <f>'nebuleair_export (1)'!C89*'Calcul des facteurs'!$B$4+'Calcul des facteurs'!$C$4</f>
        <v>13.37824589038258</v>
      </c>
      <c r="D89">
        <f>'nebuleair_export (1)'!D89*'Calcul des facteurs'!$B$5+'Calcul des facteurs'!$C$5</f>
        <v>17.171599629240443</v>
      </c>
    </row>
    <row r="90" spans="1:4">
      <c r="A90" t="s">
        <v>1520</v>
      </c>
      <c r="B90" t="e">
        <f>'nebuleair_export (1)'!B90*'Calcul des facteurs'!#REF!+'Calcul des facteurs'!#REF!</f>
        <v>#REF!</v>
      </c>
      <c r="C90">
        <f>'nebuleair_export (1)'!C90*'Calcul des facteurs'!$B$4+'Calcul des facteurs'!$C$4</f>
        <v>16.013879837947165</v>
      </c>
      <c r="D90">
        <f>'nebuleair_export (1)'!D90*'Calcul des facteurs'!$B$5+'Calcul des facteurs'!$C$5</f>
        <v>20.097950472443891</v>
      </c>
    </row>
    <row r="91" spans="1:4">
      <c r="A91" t="s">
        <v>1523</v>
      </c>
      <c r="B91" t="e">
        <f>'nebuleair_export (1)'!B91*'Calcul des facteurs'!#REF!+'Calcul des facteurs'!#REF!</f>
        <v>#REF!</v>
      </c>
      <c r="C91">
        <f>'nebuleair_export (1)'!C91*'Calcul des facteurs'!$B$4+'Calcul des facteurs'!$C$4</f>
        <v>13.230591327493734</v>
      </c>
      <c r="D91">
        <f>'nebuleair_export (1)'!D91*'Calcul des facteurs'!$B$5+'Calcul des facteurs'!$C$5</f>
        <v>17.020601133719175</v>
      </c>
    </row>
    <row r="92" spans="1:4">
      <c r="A92" t="s">
        <v>1526</v>
      </c>
      <c r="B92" t="e">
        <f>'nebuleair_export (1)'!B92*'Calcul des facteurs'!#REF!+'Calcul des facteurs'!#REF!</f>
        <v>#REF!</v>
      </c>
      <c r="C92">
        <f>'nebuleair_export (1)'!C92*'Calcul des facteurs'!$B$4+'Calcul des facteurs'!$C$4</f>
        <v>15.161174737264504</v>
      </c>
      <c r="D92">
        <f>'nebuleair_export (1)'!D92*'Calcul des facteurs'!$B$5+'Calcul des facteurs'!$C$5</f>
        <v>19.161759800211591</v>
      </c>
    </row>
    <row r="93" spans="1:4">
      <c r="A93" t="s">
        <v>1530</v>
      </c>
      <c r="B93" t="e">
        <f>'nebuleair_export (1)'!B93*'Calcul des facteurs'!#REF!+'Calcul des facteurs'!#REF!</f>
        <v>#REF!</v>
      </c>
      <c r="C93">
        <f>'nebuleair_export (1)'!C93*'Calcul des facteurs'!$B$4+'Calcul des facteurs'!$C$4</f>
        <v>18.424340577106296</v>
      </c>
      <c r="D93">
        <f>'nebuleair_export (1)'!D93*'Calcul des facteurs'!$B$5+'Calcul des facteurs'!$C$5</f>
        <v>22.752504023708859</v>
      </c>
    </row>
    <row r="94" spans="1:4">
      <c r="A94" t="s">
        <v>1533</v>
      </c>
      <c r="B94" t="e">
        <f>'nebuleair_export (1)'!B94*'Calcul des facteurs'!#REF!+'Calcul des facteurs'!#REF!</f>
        <v>#REF!</v>
      </c>
      <c r="C94">
        <f>'nebuleair_export (1)'!C94*'Calcul des facteurs'!$B$4+'Calcul des facteurs'!$C$4</f>
        <v>18.332056475300849</v>
      </c>
      <c r="D94">
        <f>'nebuleair_export (1)'!D94*'Calcul des facteurs'!$B$5+'Calcul des facteurs'!$C$5</f>
        <v>22.652845016664777</v>
      </c>
    </row>
    <row r="95" spans="1:4">
      <c r="A95" t="s">
        <v>1538</v>
      </c>
      <c r="B95" t="e">
        <f>'nebuleair_export (1)'!B95*'Calcul des facteurs'!#REF!+'Calcul des facteurs'!#REF!</f>
        <v>#REF!</v>
      </c>
      <c r="C95">
        <f>'nebuleair_export (1)'!C95*'Calcul des facteurs'!$B$4+'Calcul des facteurs'!$C$4</f>
        <v>17.16927679255177</v>
      </c>
      <c r="D95">
        <f>'nebuleair_export (1)'!D95*'Calcul des facteurs'!$B$5+'Calcul des facteurs'!$C$5</f>
        <v>21.369357804733454</v>
      </c>
    </row>
    <row r="96" spans="1:4">
      <c r="A96" t="s">
        <v>1541</v>
      </c>
      <c r="B96" t="e">
        <f>'nebuleair_export (1)'!B96*'Calcul des facteurs'!#REF!+'Calcul des facteurs'!#REF!</f>
        <v>#REF!</v>
      </c>
      <c r="C96">
        <f>'nebuleair_export (1)'!C96*'Calcul des facteurs'!$B$4+'Calcul des facteurs'!$C$4</f>
        <v>17.553178656062613</v>
      </c>
      <c r="D96">
        <f>'nebuleair_export (1)'!D96*'Calcul des facteurs'!$B$5+'Calcul des facteurs'!$C$5</f>
        <v>21.786113652372322</v>
      </c>
    </row>
    <row r="97" spans="1:4">
      <c r="A97" t="s">
        <v>1544</v>
      </c>
      <c r="B97" t="e">
        <f>'nebuleair_export (1)'!B97*'Calcul des facteurs'!#REF!+'Calcul des facteurs'!#REF!</f>
        <v>#REF!</v>
      </c>
      <c r="C97">
        <f>'nebuleair_export (1)'!C97*'Calcul des facteurs'!$B$4+'Calcul des facteurs'!$C$4</f>
        <v>17.494116830907032</v>
      </c>
      <c r="D97">
        <f>'nebuleair_export (1)'!D97*'Calcul des facteurs'!$B$5+'Calcul des facteurs'!$C$5</f>
        <v>21.728734224074245</v>
      </c>
    </row>
    <row r="98" spans="1:4">
      <c r="A98" t="s">
        <v>1547</v>
      </c>
      <c r="B98" t="e">
        <f>'nebuleair_export (1)'!B98*'Calcul des facteurs'!#REF!+'Calcul des facteurs'!#REF!</f>
        <v>#REF!</v>
      </c>
      <c r="C98">
        <f>'nebuleair_export (1)'!C98*'Calcul des facteurs'!$B$4+'Calcul des facteurs'!$C$4</f>
        <v>15.124261096542236</v>
      </c>
      <c r="D98">
        <f>'nebuleair_export (1)'!D98*'Calcul des facteurs'!$B$5+'Calcul des facteurs'!$C$5</f>
        <v>19.101360402003124</v>
      </c>
    </row>
    <row r="99" spans="1:4">
      <c r="A99" t="s">
        <v>1550</v>
      </c>
      <c r="B99" t="e">
        <f>'nebuleair_export (1)'!B99*'Calcul des facteurs'!#REF!+'Calcul des facteurs'!#REF!</f>
        <v>#REF!</v>
      </c>
      <c r="C99">
        <f>'nebuleair_export (1)'!C99*'Calcul des facteurs'!$B$4+'Calcul des facteurs'!$C$4</f>
        <v>14.788346965970318</v>
      </c>
      <c r="D99">
        <f>'nebuleair_export (1)'!D99*'Calcul des facteurs'!$B$5+'Calcul des facteurs'!$C$5</f>
        <v>18.741983982662326</v>
      </c>
    </row>
    <row r="100" spans="1:4">
      <c r="A100" t="s">
        <v>1554</v>
      </c>
      <c r="B100" t="e">
        <f>'nebuleair_export (1)'!B100*'Calcul des facteurs'!#REF!+'Calcul des facteurs'!#REF!</f>
        <v>#REF!</v>
      </c>
      <c r="C100">
        <f>'nebuleair_export (1)'!C100*'Calcul des facteurs'!$B$4+'Calcul des facteurs'!$C$4</f>
        <v>16.305497599652451</v>
      </c>
      <c r="D100">
        <f>'nebuleair_export (1)'!D100*'Calcul des facteurs'!$B$5+'Calcul des facteurs'!$C$5</f>
        <v>20.418067282949082</v>
      </c>
    </row>
    <row r="101" spans="1:4">
      <c r="A101" t="s">
        <v>1557</v>
      </c>
      <c r="B101" t="e">
        <f>'nebuleair_export (1)'!B101*'Calcul des facteurs'!#REF!+'Calcul des facteurs'!#REF!</f>
        <v>#REF!</v>
      </c>
      <c r="C101">
        <f>'nebuleair_export (1)'!C101*'Calcul des facteurs'!$B$4+'Calcul des facteurs'!$C$4</f>
        <v>16.921955399713113</v>
      </c>
      <c r="D101">
        <f>'nebuleair_export (1)'!D101*'Calcul des facteurs'!$B$5+'Calcul des facteurs'!$C$5</f>
        <v>21.097560512795063</v>
      </c>
    </row>
    <row r="102" spans="1:4">
      <c r="A102" t="s">
        <v>1560</v>
      </c>
      <c r="B102" t="e">
        <f>'nebuleair_export (1)'!B102*'Calcul des facteurs'!#REF!+'Calcul des facteurs'!#REF!</f>
        <v>#REF!</v>
      </c>
      <c r="C102">
        <f>'nebuleair_export (1)'!C102*'Calcul des facteurs'!$B$4+'Calcul des facteurs'!$C$4</f>
        <v>15.061507907314473</v>
      </c>
      <c r="D102">
        <f>'nebuleair_export (1)'!D102*'Calcul des facteurs'!$B$5+'Calcul des facteurs'!$C$5</f>
        <v>19.031901094063279</v>
      </c>
    </row>
    <row r="103" spans="1:4">
      <c r="A103" t="s">
        <v>1562</v>
      </c>
      <c r="B103" t="e">
        <f>'nebuleair_export (1)'!B103*'Calcul des facteurs'!#REF!+'Calcul des facteurs'!#REF!</f>
        <v>#REF!</v>
      </c>
      <c r="C103">
        <f>'nebuleair_export (1)'!C103*'Calcul des facteurs'!$B$4+'Calcul des facteurs'!$C$4</f>
        <v>15.301446572008762</v>
      </c>
      <c r="D103">
        <f>'nebuleair_export (1)'!D103*'Calcul des facteurs'!$B$5+'Calcul des facteurs'!$C$5</f>
        <v>19.309738325822551</v>
      </c>
    </row>
    <row r="104" spans="1:4">
      <c r="A104" t="s">
        <v>1564</v>
      </c>
      <c r="B104" t="e">
        <f>'nebuleair_export (1)'!B104*'Calcul des facteurs'!#REF!+'Calcul des facteurs'!#REF!</f>
        <v>#REF!</v>
      </c>
      <c r="C104">
        <f>'nebuleair_export (1)'!C104*'Calcul des facteurs'!$B$4+'Calcul des facteurs'!$C$4</f>
        <v>16.047102114597138</v>
      </c>
      <c r="D104">
        <f>'nebuleair_export (1)'!D104*'Calcul des facteurs'!$B$5+'Calcul des facteurs'!$C$5</f>
        <v>20.122110231727241</v>
      </c>
    </row>
    <row r="105" spans="1:4">
      <c r="A105" t="s">
        <v>1566</v>
      </c>
      <c r="B105" t="e">
        <f>'nebuleair_export (1)'!B105*'Calcul des facteurs'!#REF!+'Calcul des facteurs'!#REF!</f>
        <v>#REF!</v>
      </c>
      <c r="C105">
        <f>'nebuleair_export (1)'!C105*'Calcul des facteurs'!$B$4+'Calcul des facteurs'!$C$4</f>
        <v>15.88099073134727</v>
      </c>
      <c r="D105">
        <f>'nebuleair_export (1)'!D105*'Calcul des facteurs'!$B$5+'Calcul des facteurs'!$C$5</f>
        <v>19.949971946832932</v>
      </c>
    </row>
    <row r="106" spans="1:4">
      <c r="A106" t="s">
        <v>1568</v>
      </c>
      <c r="B106" t="e">
        <f>'nebuleair_export (1)'!B106*'Calcul des facteurs'!#REF!+'Calcul des facteurs'!#REF!</f>
        <v>#REF!</v>
      </c>
      <c r="C106">
        <f>'nebuleair_export (1)'!C106*'Calcul des facteurs'!$B$4+'Calcul des facteurs'!$C$4</f>
        <v>14.533642844987185</v>
      </c>
      <c r="D106">
        <f>'nebuleair_export (1)'!D106*'Calcul des facteurs'!$B$5+'Calcul des facteurs'!$C$5</f>
        <v>18.467166720813445</v>
      </c>
    </row>
    <row r="107" spans="1:4">
      <c r="A107" t="s">
        <v>1570</v>
      </c>
      <c r="B107" t="e">
        <f>'nebuleair_export (1)'!B107*'Calcul des facteurs'!#REF!+'Calcul des facteurs'!#REF!</f>
        <v>#REF!</v>
      </c>
      <c r="C107">
        <f>'nebuleair_export (1)'!C107*'Calcul des facteurs'!$B$4+'Calcul des facteurs'!$C$4</f>
        <v>13.806444122759945</v>
      </c>
      <c r="D107">
        <f>'nebuleair_export (1)'!D107*'Calcul des facteurs'!$B$5+'Calcul des facteurs'!$C$5</f>
        <v>17.648754875087874</v>
      </c>
    </row>
    <row r="108" spans="1:4">
      <c r="A108" t="s">
        <v>1572</v>
      </c>
      <c r="B108" t="e">
        <f>'nebuleair_export (1)'!B108*'Calcul des facteurs'!#REF!+'Calcul des facteurs'!#REF!</f>
        <v>#REF!</v>
      </c>
      <c r="C108">
        <f>'nebuleair_export (1)'!C108*'Calcul des facteurs'!$B$4+'Calcul des facteurs'!$C$4</f>
        <v>12.728565813671946</v>
      </c>
      <c r="D108">
        <f>'nebuleair_export (1)'!D108*'Calcul des facteurs'!$B$5+'Calcul des facteurs'!$C$5</f>
        <v>16.467946640111109</v>
      </c>
    </row>
    <row r="109" spans="1:4">
      <c r="A109" t="s">
        <v>1576</v>
      </c>
      <c r="B109" t="e">
        <f>'nebuleair_export (1)'!B109*'Calcul des facteurs'!#REF!+'Calcul des facteurs'!#REF!</f>
        <v>#REF!</v>
      </c>
      <c r="C109">
        <f>'nebuleair_export (1)'!C109*'Calcul des facteurs'!$B$4+'Calcul des facteurs'!$C$4</f>
        <v>11.229872000350943</v>
      </c>
      <c r="D109">
        <f>'nebuleair_export (1)'!D109*'Calcul des facteurs'!$B$5+'Calcul des facteurs'!$C$5</f>
        <v>14.797903279645151</v>
      </c>
    </row>
    <row r="110" spans="1:4">
      <c r="A110" t="s">
        <v>1578</v>
      </c>
      <c r="B110" t="e">
        <f>'nebuleair_export (1)'!B110*'Calcul des facteurs'!#REF!+'Calcul des facteurs'!#REF!</f>
        <v>#REF!</v>
      </c>
      <c r="C110">
        <f>'nebuleair_export (1)'!C110*'Calcul des facteurs'!$B$4+'Calcul des facteurs'!$C$4</f>
        <v>11.122822442256579</v>
      </c>
      <c r="D110">
        <f>'nebuleair_export (1)'!D110*'Calcul des facteurs'!$B$5+'Calcul des facteurs'!$C$5</f>
        <v>14.689184362869794</v>
      </c>
    </row>
    <row r="111" spans="1:4">
      <c r="A111" t="s">
        <v>1582</v>
      </c>
      <c r="B111" t="e">
        <f>'nebuleair_export (1)'!B111*'Calcul des facteurs'!#REF!+'Calcul des facteurs'!#REF!</f>
        <v>#REF!</v>
      </c>
      <c r="C111">
        <f>'nebuleair_export (1)'!C111*'Calcul des facteurs'!$B$4+'Calcul des facteurs'!$C$4</f>
        <v>12.068829952074937</v>
      </c>
      <c r="D111">
        <f>'nebuleair_export (1)'!D111*'Calcul des facteurs'!$B$5+'Calcul des facteurs'!$C$5</f>
        <v>15.730449160606199</v>
      </c>
    </row>
    <row r="112" spans="1:4">
      <c r="A112" t="s">
        <v>1585</v>
      </c>
      <c r="B112" t="e">
        <f>'nebuleair_export (1)'!B112*'Calcul des facteurs'!#REF!+'Calcul des facteurs'!#REF!</f>
        <v>#REF!</v>
      </c>
      <c r="C112">
        <f>'nebuleair_export (1)'!C112*'Calcul des facteurs'!$B$4+'Calcul des facteurs'!$C$4</f>
        <v>9.7127213666687968</v>
      </c>
      <c r="D112">
        <f>'nebuleair_export (1)'!D112*'Calcul des facteurs'!$B$5+'Calcul des facteurs'!$C$5</f>
        <v>13.142959768731444</v>
      </c>
    </row>
    <row r="113" spans="1:4">
      <c r="A113" t="s">
        <v>1588</v>
      </c>
      <c r="B113" t="e">
        <f>'nebuleair_export (1)'!B113*'Calcul des facteurs'!#REF!+'Calcul des facteurs'!#REF!</f>
        <v>#REF!</v>
      </c>
      <c r="C113">
        <f>'nebuleair_export (1)'!C113*'Calcul des facteurs'!$B$4+'Calcul des facteurs'!$C$4</f>
        <v>7.4388410981817081</v>
      </c>
      <c r="D113">
        <f>'nebuleair_export (1)'!D113*'Calcul des facteurs'!$B$5+'Calcul des facteurs'!$C$5</f>
        <v>10.612224983794</v>
      </c>
    </row>
    <row r="114" spans="1:4">
      <c r="A114" t="s">
        <v>1590</v>
      </c>
      <c r="B114" t="e">
        <f>'nebuleair_export (1)'!B114*'Calcul des facteurs'!#REF!+'Calcul des facteurs'!#REF!</f>
        <v>#REF!</v>
      </c>
      <c r="C114">
        <f>'nebuleair_export (1)'!C114*'Calcul des facteurs'!$B$4+'Calcul des facteurs'!$C$4</f>
        <v>7.769027250020911</v>
      </c>
      <c r="D114">
        <f>'nebuleair_export (1)'!D114*'Calcul des facteurs'!$B$5+'Calcul des facteurs'!$C$5</f>
        <v>10.9911791391058</v>
      </c>
    </row>
    <row r="115" spans="1:4">
      <c r="A115" t="s">
        <v>1592</v>
      </c>
      <c r="B115" t="e">
        <f>'nebuleair_export (1)'!B115*'Calcul des facteurs'!#REF!+'Calcul des facteurs'!#REF!</f>
        <v>#REF!</v>
      </c>
      <c r="C115">
        <f>'nebuleair_export (1)'!C115*'Calcul des facteurs'!$B$4+'Calcul des facteurs'!$C$4</f>
        <v>9.4483720685937431</v>
      </c>
      <c r="D115">
        <f>'nebuleair_export (1)'!D115*'Calcul des facteurs'!$B$5+'Calcul des facteurs'!$C$5</f>
        <v>12.841255032841383</v>
      </c>
    </row>
    <row r="116" spans="1:4">
      <c r="A116" t="s">
        <v>1594</v>
      </c>
      <c r="B116" t="e">
        <f>'nebuleair_export (1)'!B116*'Calcul des facteurs'!#REF!+'Calcul des facteurs'!#REF!</f>
        <v>#REF!</v>
      </c>
      <c r="C116">
        <f>'nebuleair_export (1)'!C116*'Calcul des facteurs'!$B$4+'Calcul des facteurs'!$C$4</f>
        <v>8.8895471785638946</v>
      </c>
      <c r="D116">
        <f>'nebuleair_export (1)'!D116*'Calcul des facteurs'!$B$5+'Calcul des facteurs'!$C$5</f>
        <v>12.203749126588749</v>
      </c>
    </row>
    <row r="117" spans="1:4">
      <c r="A117" t="s">
        <v>1597</v>
      </c>
      <c r="B117" t="e">
        <f>'nebuleair_export (1)'!B117*'Calcul des facteurs'!#REF!+'Calcul des facteurs'!#REF!</f>
        <v>#REF!</v>
      </c>
      <c r="C117">
        <f>'nebuleair_export (1)'!C117*'Calcul des facteurs'!$B$4+'Calcul des facteurs'!$C$4</f>
        <v>9.786548648113186</v>
      </c>
      <c r="D117">
        <f>'nebuleair_export (1)'!D117*'Calcul des facteurs'!$B$5+'Calcul des facteurs'!$C$5</f>
        <v>13.19127928729824</v>
      </c>
    </row>
    <row r="118" spans="1:4">
      <c r="A118" t="s">
        <v>1599</v>
      </c>
      <c r="B118" t="e">
        <f>'nebuleair_export (1)'!B118*'Calcul des facteurs'!#REF!+'Calcul des facteurs'!#REF!</f>
        <v>#REF!</v>
      </c>
      <c r="C118">
        <f>'nebuleair_export (1)'!C118*'Calcul des facteurs'!$B$4+'Calcul des facteurs'!$C$4</f>
        <v>9.461708609757892</v>
      </c>
      <c r="D118">
        <f>'nebuleair_export (1)'!D118*'Calcul des facteurs'!$B$5+'Calcul des facteurs'!$C$5</f>
        <v>12.853042657330493</v>
      </c>
    </row>
    <row r="119" spans="1:4">
      <c r="A119" t="s">
        <v>1602</v>
      </c>
      <c r="B119" t="e">
        <f>'nebuleair_export (1)'!B119*'Calcul des facteurs'!#REF!+'Calcul des facteurs'!#REF!</f>
        <v>#REF!</v>
      </c>
      <c r="C119">
        <f>'nebuleair_export (1)'!C119*'Calcul des facteurs'!$B$4+'Calcul des facteurs'!$C$4</f>
        <v>6.7743955651822327</v>
      </c>
      <c r="D119">
        <f>'nebuleair_export (1)'!D119*'Calcul des facteurs'!$B$5+'Calcul des facteurs'!$C$5</f>
        <v>9.8693123858290512</v>
      </c>
    </row>
    <row r="120" spans="1:4">
      <c r="A120" t="s">
        <v>1605</v>
      </c>
      <c r="B120" t="e">
        <f>'nebuleair_export (1)'!B120*'Calcul des facteurs'!#REF!+'Calcul des facteurs'!#REF!</f>
        <v>#REF!</v>
      </c>
      <c r="C120">
        <f>'nebuleair_export (1)'!C120*'Calcul des facteurs'!$B$4+'Calcul des facteurs'!$C$4</f>
        <v>6.767012837037802</v>
      </c>
      <c r="D120">
        <f>'nebuleair_export (1)'!D120*'Calcul des facteurs'!$B$5+'Calcul des facteurs'!$C$5</f>
        <v>9.8662924159186272</v>
      </c>
    </row>
    <row r="121" spans="1:4">
      <c r="A121" t="s">
        <v>1607</v>
      </c>
      <c r="B121" t="e">
        <f>'nebuleair_export (1)'!B121*'Calcul des facteurs'!#REF!+'Calcul des facteurs'!#REF!</f>
        <v>#REF!</v>
      </c>
      <c r="C121">
        <f>'nebuleair_export (1)'!C121*'Calcul des facteurs'!$B$4+'Calcul des facteurs'!$C$4</f>
        <v>5.8552459111996269</v>
      </c>
      <c r="D121">
        <f>'nebuleair_export (1)'!D121*'Calcul des facteurs'!$B$5+'Calcul des facteurs'!$C$5</f>
        <v>8.8606424357465752</v>
      </c>
    </row>
    <row r="122" spans="1:4">
      <c r="A122" t="s">
        <v>1608</v>
      </c>
      <c r="B122" t="e">
        <f>'nebuleair_export (1)'!B122*'Calcul des facteurs'!#REF!+'Calcul des facteurs'!#REF!</f>
        <v>#REF!</v>
      </c>
      <c r="C122">
        <f>'nebuleair_export (1)'!C122*'Calcul des facteurs'!$B$4+'Calcul des facteurs'!$C$4</f>
        <v>5.6891345279497569</v>
      </c>
      <c r="D122">
        <f>'nebuleair_export (1)'!D122*'Calcul des facteurs'!$B$5+'Calcul des facteurs'!$C$5</f>
        <v>8.6734043013001347</v>
      </c>
    </row>
    <row r="123" spans="1:4">
      <c r="A123" t="s">
        <v>1610</v>
      </c>
      <c r="B123" t="e">
        <f>'nebuleair_export (1)'!B123*'Calcul des facteurs'!#REF!+'Calcul des facteurs'!#REF!</f>
        <v>#REF!</v>
      </c>
      <c r="C123">
        <f>'nebuleair_export (1)'!C123*'Calcul des facteurs'!$B$4+'Calcul des facteurs'!$C$4</f>
        <v>4.5964907625728504</v>
      </c>
      <c r="D123">
        <f>'nebuleair_export (1)'!D123*'Calcul des facteurs'!$B$5+'Calcul des facteurs'!$C$5</f>
        <v>7.4684363070399273</v>
      </c>
    </row>
    <row r="124" spans="1:4">
      <c r="A124" t="s">
        <v>1612</v>
      </c>
      <c r="B124" t="e">
        <f>'nebuleair_export (1)'!B124*'Calcul des facteurs'!#REF!+'Calcul des facteurs'!#REF!</f>
        <v>#REF!</v>
      </c>
      <c r="C124">
        <f>'nebuleair_export (1)'!C124*'Calcul des facteurs'!$B$4+'Calcul des facteurs'!$C$4</f>
        <v>5.3827513099555624</v>
      </c>
      <c r="D124">
        <f>'nebuleair_export (1)'!D124*'Calcul des facteurs'!$B$5+'Calcul des facteurs'!$C$5</f>
        <v>8.344227581063631</v>
      </c>
    </row>
    <row r="125" spans="1:4">
      <c r="A125" t="s">
        <v>1614</v>
      </c>
      <c r="B125" t="e">
        <f>'nebuleair_export (1)'!B125*'Calcul des facteurs'!#REF!+'Calcul des facteurs'!#REF!</f>
        <v>#REF!</v>
      </c>
      <c r="C125">
        <f>'nebuleair_export (1)'!C125*'Calcul des facteurs'!$B$4+'Calcul des facteurs'!$C$4</f>
        <v>5.4971835961943567</v>
      </c>
      <c r="D125">
        <f>'nebuleair_export (1)'!D125*'Calcul des facteurs'!$B$5+'Calcul des facteurs'!$C$5</f>
        <v>8.4529464978389868</v>
      </c>
    </row>
    <row r="126" spans="1:4">
      <c r="A126" t="s">
        <v>1616</v>
      </c>
      <c r="B126" t="e">
        <f>'nebuleair_export (1)'!B126*'Calcul des facteurs'!#REF!+'Calcul des facteurs'!#REF!</f>
        <v>#REF!</v>
      </c>
      <c r="C126">
        <f>'nebuleair_export (1)'!C126*'Calcul des facteurs'!$B$4+'Calcul des facteurs'!$C$4</f>
        <v>5.8700113674884991</v>
      </c>
      <c r="D126">
        <f>'nebuleair_export (1)'!D126*'Calcul des facteurs'!$B$5+'Calcul des facteurs'!$C$5</f>
        <v>8.8576224658361529</v>
      </c>
    </row>
    <row r="127" spans="1:4">
      <c r="A127" t="s">
        <v>1618</v>
      </c>
      <c r="B127" t="e">
        <f>'nebuleair_export (1)'!B127*'Calcul des facteurs'!#REF!+'Calcul des facteurs'!#REF!</f>
        <v>#REF!</v>
      </c>
      <c r="C127">
        <f>'nebuleair_export (1)'!C127*'Calcul des facteurs'!$B$4+'Calcul des facteurs'!$C$4</f>
        <v>5.2129485626334668</v>
      </c>
      <c r="D127">
        <f>'nebuleair_export (1)'!D127*'Calcul des facteurs'!$B$5+'Calcul des facteurs'!$C$5</f>
        <v>8.1600094165276111</v>
      </c>
    </row>
    <row r="128" spans="1:4">
      <c r="A128" t="s">
        <v>1620</v>
      </c>
      <c r="B128" t="e">
        <f>'nebuleair_export (1)'!B128*'Calcul des facteurs'!#REF!+'Calcul des facteurs'!#REF!</f>
        <v>#REF!</v>
      </c>
      <c r="C128">
        <f>'nebuleair_export (1)'!C128*'Calcul des facteurs'!$B$4+'Calcul des facteurs'!$C$4</f>
        <v>8.7308185234584688</v>
      </c>
      <c r="D128">
        <f>'nebuleair_export (1)'!D128*'Calcul des facteurs'!$B$5+'Calcul des facteurs'!$C$5</f>
        <v>12.049730661156993</v>
      </c>
    </row>
    <row r="129" spans="1:4">
      <c r="A129" t="s">
        <v>1622</v>
      </c>
      <c r="B129" t="e">
        <f>'nebuleair_export (1)'!B129*'Calcul des facteurs'!#REF!+'Calcul des facteurs'!#REF!</f>
        <v>#REF!</v>
      </c>
      <c r="C129">
        <f>'nebuleair_export (1)'!C129*'Calcul des facteurs'!$B$4+'Calcul des facteurs'!$C$4</f>
        <v>5.8958509159940427</v>
      </c>
      <c r="D129">
        <f>'nebuleair_export (1)'!D129*'Calcul des facteurs'!$B$5+'Calcul des facteurs'!$C$5</f>
        <v>8.9119819242238307</v>
      </c>
    </row>
    <row r="130" spans="1:4">
      <c r="A130" t="s">
        <v>1623</v>
      </c>
      <c r="B130" t="e">
        <f>'nebuleair_export (1)'!B130*'Calcul des facteurs'!#REF!+'Calcul des facteurs'!#REF!</f>
        <v>#REF!</v>
      </c>
      <c r="C130">
        <f>'nebuleair_export (1)'!C130*'Calcul des facteurs'!$B$4+'Calcul des facteurs'!$C$4</f>
        <v>5.4787267758332563</v>
      </c>
      <c r="D130">
        <f>'nebuleair_export (1)'!D130*'Calcul des facteurs'!$B$5+'Calcul des facteurs'!$C$5</f>
        <v>8.4438865881077074</v>
      </c>
    </row>
    <row r="131" spans="1:4">
      <c r="A131" t="s">
        <v>1625</v>
      </c>
      <c r="B131" t="e">
        <f>'nebuleair_export (1)'!B131*'Calcul des facteurs'!#REF!+'Calcul des facteurs'!#REF!</f>
        <v>#REF!</v>
      </c>
      <c r="C131">
        <f>'nebuleair_export (1)'!C131*'Calcul des facteurs'!$B$4+'Calcul des facteurs'!$C$4</f>
        <v>5.1501953734057455</v>
      </c>
      <c r="D131">
        <f>'nebuleair_export (1)'!D131*'Calcul des facteurs'!$B$5+'Calcul des facteurs'!$C$5</f>
        <v>8.0754502590356694</v>
      </c>
    </row>
    <row r="132" spans="1:4">
      <c r="A132" t="s">
        <v>1627</v>
      </c>
      <c r="B132" t="e">
        <f>'nebuleair_export (1)'!B132*'Calcul des facteurs'!#REF!+'Calcul des facteurs'!#REF!</f>
        <v>#REF!</v>
      </c>
      <c r="C132">
        <f>'nebuleair_export (1)'!C132*'Calcul des facteurs'!$B$4+'Calcul des facteurs'!$C$4</f>
        <v>6.4680123471880382</v>
      </c>
      <c r="D132">
        <f>'nebuleair_export (1)'!D132*'Calcul des facteurs'!$B$5+'Calcul des facteurs'!$C$5</f>
        <v>9.5431556355029805</v>
      </c>
    </row>
    <row r="133" spans="1:4">
      <c r="A133" t="s">
        <v>1629</v>
      </c>
      <c r="B133" t="e">
        <f>'nebuleair_export (1)'!B133*'Calcul des facteurs'!#REF!+'Calcul des facteurs'!#REF!</f>
        <v>#REF!</v>
      </c>
      <c r="C133">
        <f>'nebuleair_export (1)'!C133*'Calcul des facteurs'!$B$4+'Calcul des facteurs'!$C$4</f>
        <v>5.4565785913999409</v>
      </c>
      <c r="D133">
        <f>'nebuleair_export (1)'!D133*'Calcul des facteurs'!$B$5+'Calcul des facteurs'!$C$5</f>
        <v>8.4076469491825883</v>
      </c>
    </row>
    <row r="134" spans="1:4">
      <c r="A134" t="s">
        <v>1631</v>
      </c>
      <c r="B134" t="e">
        <f>'nebuleair_export (1)'!B134*'Calcul des facteurs'!#REF!+'Calcul des facteurs'!#REF!</f>
        <v>#REF!</v>
      </c>
      <c r="C134">
        <f>'nebuleair_export (1)'!C134*'Calcul des facteurs'!$B$4+'Calcul des facteurs'!$C$4</f>
        <v>4.9582444416503346</v>
      </c>
      <c r="D134">
        <f>'nebuleair_export (1)'!D134*'Calcul des facteurs'!$B$5+'Calcul des facteurs'!$C$5</f>
        <v>7.8700923051266596</v>
      </c>
    </row>
    <row r="135" spans="1:4">
      <c r="A135" t="s">
        <v>1633</v>
      </c>
      <c r="B135" t="e">
        <f>'nebuleair_export (1)'!B135*'Calcul des facteurs'!#REF!+'Calcul des facteurs'!#REF!</f>
        <v>#REF!</v>
      </c>
      <c r="C135">
        <f>'nebuleair_export (1)'!C135*'Calcul des facteurs'!$B$4+'Calcul des facteurs'!$C$4</f>
        <v>3.3746492546682525</v>
      </c>
      <c r="D135">
        <f>'nebuleair_export (1)'!D135*'Calcul des facteurs'!$B$5+'Calcul des facteurs'!$C$5</f>
        <v>6.1275696668105253</v>
      </c>
    </row>
    <row r="136" spans="1:4">
      <c r="A136" t="s">
        <v>1635</v>
      </c>
      <c r="B136" t="e">
        <f>'nebuleair_export (1)'!B136*'Calcul des facteurs'!#REF!+'Calcul des facteurs'!#REF!</f>
        <v>#REF!</v>
      </c>
      <c r="C136">
        <f>'nebuleair_export (1)'!C136*'Calcul des facteurs'!$B$4+'Calcul des facteurs'!$C$4</f>
        <v>2.5219441539855927</v>
      </c>
      <c r="D136">
        <f>'nebuleair_export (1)'!D136*'Calcul des facteurs'!$B$5+'Calcul des facteurs'!$C$5</f>
        <v>5.1611792954740157</v>
      </c>
    </row>
    <row r="137" spans="1:4">
      <c r="A137" t="s">
        <v>1637</v>
      </c>
      <c r="B137" t="e">
        <f>'nebuleair_export (1)'!B137*'Calcul des facteurs'!#REF!+'Calcul des facteurs'!#REF!</f>
        <v>#REF!</v>
      </c>
      <c r="C137">
        <f>'nebuleair_export (1)'!C137*'Calcul des facteurs'!$B$4+'Calcul des facteurs'!$C$4</f>
        <v>2.0752891012470602</v>
      </c>
      <c r="D137">
        <f>'nebuleair_export (1)'!D137*'Calcul des facteurs'!$B$5+'Calcul des facteurs'!$C$5</f>
        <v>4.6749641398953337</v>
      </c>
    </row>
    <row r="138" spans="1:4">
      <c r="A138" t="s">
        <v>1639</v>
      </c>
      <c r="B138" t="e">
        <f>'nebuleair_export (1)'!B138*'Calcul des facteurs'!#REF!+'Calcul des facteurs'!#REF!</f>
        <v>#REF!</v>
      </c>
      <c r="C138">
        <f>'nebuleair_export (1)'!C138*'Calcul des facteurs'!$B$4+'Calcul des facteurs'!$C$4</f>
        <v>1.4699053934030906</v>
      </c>
      <c r="D138">
        <f>'nebuleair_export (1)'!D138*'Calcul des facteurs'!$B$5+'Calcul des facteurs'!$C$5</f>
        <v>4.0256706091536243</v>
      </c>
    </row>
    <row r="139" spans="1:4">
      <c r="A139" t="s">
        <v>1641</v>
      </c>
      <c r="B139" t="e">
        <f>'nebuleair_export (1)'!B139*'Calcul des facteurs'!#REF!+'Calcul des facteurs'!#REF!</f>
        <v>#REF!</v>
      </c>
      <c r="C139">
        <f>'nebuleair_export (1)'!C139*'Calcul des facteurs'!$B$4+'Calcul des facteurs'!$C$4</f>
        <v>2.4776477851189611</v>
      </c>
      <c r="D139">
        <f>'nebuleair_export (1)'!D139*'Calcul des facteurs'!$B$5+'Calcul des facteurs'!$C$5</f>
        <v>5.1279596264593206</v>
      </c>
    </row>
    <row r="140" spans="1:4">
      <c r="A140" t="s">
        <v>1643</v>
      </c>
      <c r="B140" t="e">
        <f>'nebuleair_export (1)'!B140*'Calcul des facteurs'!#REF!+'Calcul des facteurs'!#REF!</f>
        <v>#REF!</v>
      </c>
      <c r="C140">
        <f>'nebuleair_export (1)'!C140*'Calcul des facteurs'!$B$4+'Calcul des facteurs'!$C$4</f>
        <v>3.035043760024084</v>
      </c>
      <c r="D140">
        <f>'nebuleair_export (1)'!D140*'Calcul des facteurs'!$B$5+'Calcul des facteurs'!$C$5</f>
        <v>5.7530933979176231</v>
      </c>
    </row>
    <row r="141" spans="1:4">
      <c r="A141" t="s">
        <v>1644</v>
      </c>
      <c r="B141" t="e">
        <f>'nebuleair_export (1)'!B141*'Calcul des facteurs'!#REF!+'Calcul des facteurs'!#REF!</f>
        <v>#REF!</v>
      </c>
      <c r="C141">
        <f>'nebuleair_export (1)'!C141*'Calcul des facteurs'!$B$4+'Calcul des facteurs'!$C$4</f>
        <v>3.4816988127626161</v>
      </c>
      <c r="D141">
        <f>'nebuleair_export (1)'!D141*'Calcul des facteurs'!$B$5+'Calcul des facteurs'!$C$5</f>
        <v>6.2332686136754489</v>
      </c>
    </row>
    <row r="142" spans="1:4">
      <c r="A142" t="s">
        <v>1646</v>
      </c>
      <c r="B142" t="e">
        <f>'nebuleair_export (1)'!B142*'Calcul des facteurs'!#REF!+'Calcul des facteurs'!#REF!</f>
        <v>#REF!</v>
      </c>
      <c r="C142">
        <f>'nebuleair_export (1)'!C142*'Calcul des facteurs'!$B$4+'Calcul des facteurs'!$C$4</f>
        <v>1.237349456853281</v>
      </c>
      <c r="D142">
        <f>'nebuleair_export (1)'!D142*'Calcul des facteurs'!$B$5+'Calcul des facteurs'!$C$5</f>
        <v>3.7629332269465117</v>
      </c>
    </row>
    <row r="143" spans="1:4">
      <c r="A143" t="s">
        <v>1648</v>
      </c>
      <c r="B143" t="e">
        <f>'nebuleair_export (1)'!B143*'Calcul des facteurs'!#REF!+'Calcul des facteurs'!#REF!</f>
        <v>#REF!</v>
      </c>
      <c r="C143">
        <f>'nebuleair_export (1)'!C143*'Calcul des facteurs'!$B$4+'Calcul des facteurs'!$C$4</f>
        <v>1.1450653550477985</v>
      </c>
      <c r="D143">
        <f>'nebuleair_export (1)'!D143*'Calcul des facteurs'!$B$5+'Calcul des facteurs'!$C$5</f>
        <v>3.6602542499920023</v>
      </c>
    </row>
    <row r="144" spans="1:4">
      <c r="A144" t="s">
        <v>1651</v>
      </c>
      <c r="B144" t="e">
        <f>'nebuleair_export (1)'!B144*'Calcul des facteurs'!#REF!+'Calcul des facteurs'!#REF!</f>
        <v>#REF!</v>
      </c>
      <c r="C144">
        <f>'nebuleair_export (1)'!C144*'Calcul des facteurs'!$B$4+'Calcul des facteurs'!$C$4</f>
        <v>0.90143532628132439</v>
      </c>
      <c r="D144">
        <f>'nebuleair_export (1)'!D144*'Calcul des facteurs'!$B$5+'Calcul des facteurs'!$C$5</f>
        <v>3.3793970483223355</v>
      </c>
    </row>
    <row r="145" spans="1:4">
      <c r="A145" t="s">
        <v>1654</v>
      </c>
      <c r="B145" t="e">
        <f>'nebuleair_export (1)'!B145*'Calcul des facteurs'!#REF!+'Calcul des facteurs'!#REF!</f>
        <v>#REF!</v>
      </c>
      <c r="C145">
        <f>'nebuleair_export (1)'!C145*'Calcul des facteurs'!$B$4+'Calcul des facteurs'!$C$4</f>
        <v>1.0011021562312457</v>
      </c>
      <c r="D145">
        <f>'nebuleair_export (1)'!D145*'Calcul des facteurs'!$B$5+'Calcul des facteurs'!$C$5</f>
        <v>3.4971758748289723</v>
      </c>
    </row>
    <row r="146" spans="1:4">
      <c r="A146" t="s">
        <v>1658</v>
      </c>
      <c r="B146" t="e">
        <f>'nebuleair_export (1)'!B146*'Calcul des facteurs'!#REF!+'Calcul des facteurs'!#REF!</f>
        <v>#REF!</v>
      </c>
      <c r="C146">
        <f>'nebuleair_export (1)'!C146*'Calcul des facteurs'!$B$4+'Calcul des facteurs'!$C$4</f>
        <v>0.97895397179792976</v>
      </c>
      <c r="D146">
        <f>'nebuleair_export (1)'!D146*'Calcul des facteurs'!$B$5+'Calcul des facteurs'!$C$5</f>
        <v>3.4790560553664127</v>
      </c>
    </row>
    <row r="147" spans="1:4">
      <c r="A147" t="s">
        <v>1660</v>
      </c>
      <c r="B147" t="e">
        <f>'nebuleair_export (1)'!B147*'Calcul des facteurs'!#REF!+'Calcul des facteurs'!#REF!</f>
        <v>#REF!</v>
      </c>
      <c r="C147">
        <f>'nebuleair_export (1)'!C147*'Calcul des facteurs'!$B$4+'Calcul des facteurs'!$C$4</f>
        <v>0.73532394303145554</v>
      </c>
      <c r="D147">
        <f>'nebuleair_export (1)'!D147*'Calcul des facteurs'!$B$5+'Calcul des facteurs'!$C$5</f>
        <v>3.2706781315469788</v>
      </c>
    </row>
    <row r="148" spans="1:4">
      <c r="A148" t="s">
        <v>1662</v>
      </c>
      <c r="B148" t="e">
        <f>'nebuleair_export (1)'!B148*'Calcul des facteurs'!#REF!+'Calcul des facteurs'!#REF!</f>
        <v>#REF!</v>
      </c>
      <c r="C148">
        <f>'nebuleair_export (1)'!C148*'Calcul des facteurs'!$B$4+'Calcul des facteurs'!$C$4</f>
        <v>0.77223758375364826</v>
      </c>
      <c r="D148">
        <f>'nebuleair_export (1)'!D148*'Calcul des facteurs'!$B$5+'Calcul des facteurs'!$C$5</f>
        <v>3.249538342173993</v>
      </c>
    </row>
    <row r="149" spans="1:4">
      <c r="A149" t="s">
        <v>1665</v>
      </c>
      <c r="B149" t="e">
        <f>'nebuleair_export (1)'!B149*'Calcul des facteurs'!#REF!+'Calcul des facteurs'!#REF!</f>
        <v>#REF!</v>
      </c>
      <c r="C149">
        <f>'nebuleair_export (1)'!C149*'Calcul des facteurs'!$B$4+'Calcul des facteurs'!$C$4</f>
        <v>0.76116349153699048</v>
      </c>
      <c r="D149">
        <f>'nebuleair_export (1)'!D149*'Calcul des facteurs'!$B$5+'Calcul des facteurs'!$C$5</f>
        <v>3.2314185227114334</v>
      </c>
    </row>
    <row r="150" spans="1:4">
      <c r="A150" t="s">
        <v>1667</v>
      </c>
      <c r="B150" t="e">
        <f>'nebuleair_export (1)'!B150*'Calcul des facteurs'!#REF!+'Calcul des facteurs'!#REF!</f>
        <v>#REF!</v>
      </c>
      <c r="C150">
        <f>'nebuleair_export (1)'!C150*'Calcul des facteurs'!$B$4+'Calcul des facteurs'!$C$4</f>
        <v>0.87190441370356964</v>
      </c>
      <c r="D150">
        <f>'nebuleair_export (1)'!D150*'Calcul des facteurs'!$B$5+'Calcul des facteurs'!$C$5</f>
        <v>3.3642971987702031</v>
      </c>
    </row>
    <row r="151" spans="1:4">
      <c r="A151" t="s">
        <v>1669</v>
      </c>
      <c r="B151" t="e">
        <f>'nebuleair_export (1)'!B151*'Calcul des facteurs'!#REF!+'Calcul des facteurs'!#REF!</f>
        <v>#REF!</v>
      </c>
      <c r="C151">
        <f>'nebuleair_export (1)'!C151*'Calcul des facteurs'!$B$4+'Calcul des facteurs'!$C$4</f>
        <v>0.87190441370356964</v>
      </c>
      <c r="D151">
        <f>'nebuleair_export (1)'!D151*'Calcul des facteurs'!$B$5+'Calcul des facteurs'!$C$5</f>
        <v>3.5062357845602521</v>
      </c>
    </row>
    <row r="152" spans="1:4">
      <c r="A152" t="s">
        <v>1671</v>
      </c>
      <c r="B152" t="e">
        <f>'nebuleair_export (1)'!B152*'Calcul des facteurs'!#REF!+'Calcul des facteurs'!#REF!</f>
        <v>#REF!</v>
      </c>
      <c r="C152">
        <f>'nebuleair_export (1)'!C152*'Calcul des facteurs'!$B$4+'Calcul des facteurs'!$C$4</f>
        <v>0.77962031189808734</v>
      </c>
      <c r="D152">
        <f>'nebuleair_export (1)'!D152*'Calcul des facteurs'!$B$5+'Calcul des facteurs'!$C$5</f>
        <v>3.2616182218156986</v>
      </c>
    </row>
    <row r="153" spans="1:4">
      <c r="A153" t="s">
        <v>1673</v>
      </c>
      <c r="B153" t="e">
        <f>'nebuleair_export (1)'!B153*'Calcul des facteurs'!#REF!+'Calcul des facteurs'!#REF!</f>
        <v>#REF!</v>
      </c>
      <c r="C153">
        <f>'nebuleair_export (1)'!C153*'Calcul des facteurs'!$B$4+'Calcul des facteurs'!$C$4</f>
        <v>0.74639803524811354</v>
      </c>
      <c r="D153">
        <f>'nebuleair_export (1)'!D153*'Calcul des facteurs'!$B$5+'Calcul des facteurs'!$C$5</f>
        <v>3.8988318729157081</v>
      </c>
    </row>
    <row r="154" spans="1:4">
      <c r="A154" t="s">
        <v>1675</v>
      </c>
      <c r="B154" t="e">
        <f>'nebuleair_export (1)'!B154*'Calcul des facteurs'!#REF!+'Calcul des facteurs'!#REF!</f>
        <v>#REF!</v>
      </c>
      <c r="C154">
        <f>'nebuleair_export (1)'!C154*'Calcul des facteurs'!$B$4+'Calcul des facteurs'!$C$4</f>
        <v>0.88666986999244757</v>
      </c>
      <c r="D154">
        <f>'nebuleair_export (1)'!D154*'Calcul des facteurs'!$B$5+'Calcul des facteurs'!$C$5</f>
        <v>3.7961528959611983</v>
      </c>
    </row>
    <row r="155" spans="1:4">
      <c r="A155" t="s">
        <v>1677</v>
      </c>
      <c r="B155" t="e">
        <f>'nebuleair_export (1)'!B155*'Calcul des facteurs'!#REF!+'Calcul des facteurs'!#REF!</f>
        <v>#REF!</v>
      </c>
      <c r="C155">
        <f>'nebuleair_export (1)'!C155*'Calcul des facteurs'!$B$4+'Calcul des facteurs'!$C$4</f>
        <v>1.1672135394811143</v>
      </c>
      <c r="D155">
        <f>'nebuleair_export (1)'!D155*'Calcul des facteurs'!$B$5+'Calcul des facteurs'!$C$5</f>
        <v>4.046810398526608</v>
      </c>
    </row>
    <row r="156" spans="1:4">
      <c r="A156" t="s">
        <v>1678</v>
      </c>
      <c r="B156" t="e">
        <f>'nebuleair_export (1)'!B156*'Calcul des facteurs'!#REF!+'Calcul des facteurs'!#REF!</f>
        <v>#REF!</v>
      </c>
      <c r="C156">
        <f>'nebuleair_export (1)'!C156*'Calcul des facteurs'!$B$4+'Calcul des facteurs'!$C$4</f>
        <v>1.0712380736034119</v>
      </c>
      <c r="D156">
        <f>'nebuleair_export (1)'!D156*'Calcul des facteurs'!$B$5+'Calcul des facteurs'!$C$5</f>
        <v>3.5696551526792102</v>
      </c>
    </row>
    <row r="157" spans="1:4">
      <c r="A157" t="s">
        <v>1680</v>
      </c>
      <c r="B157" t="e">
        <f>'nebuleair_export (1)'!B157*'Calcul des facteurs'!#REF!+'Calcul des facteurs'!#REF!</f>
        <v>#REF!</v>
      </c>
      <c r="C157">
        <f>'nebuleair_export (1)'!C157*'Calcul des facteurs'!$B$4+'Calcul des facteurs'!$C$4</f>
        <v>0.9826453358701488</v>
      </c>
      <c r="D157">
        <f>'nebuleair_export (1)'!D157*'Calcul des facteurs'!$B$5+'Calcul des facteurs'!$C$5</f>
        <v>3.4760360854559864</v>
      </c>
    </row>
    <row r="158" spans="1:4">
      <c r="A158" t="s">
        <v>1683</v>
      </c>
      <c r="B158" t="e">
        <f>'nebuleair_export (1)'!B158*'Calcul des facteurs'!#REF!+'Calcul des facteurs'!#REF!</f>
        <v>#REF!</v>
      </c>
      <c r="C158">
        <f>'nebuleair_export (1)'!C158*'Calcul des facteurs'!$B$4+'Calcul des facteurs'!$C$4</f>
        <v>2.171264567124755</v>
      </c>
      <c r="D158">
        <f>'nebuleair_export (1)'!D158*'Calcul des facteurs'!$B$5+'Calcul des facteurs'!$C$5</f>
        <v>4.7232836584621563</v>
      </c>
    </row>
    <row r="159" spans="1:4">
      <c r="A159" t="s">
        <v>1685</v>
      </c>
      <c r="B159" t="e">
        <f>'nebuleair_export (1)'!B159*'Calcul des facteurs'!#REF!+'Calcul des facteurs'!#REF!</f>
        <v>#REF!</v>
      </c>
      <c r="C159">
        <f>'nebuleair_export (1)'!C159*'Calcul des facteurs'!$B$4+'Calcul des facteurs'!$C$4</f>
        <v>1.842733164697244</v>
      </c>
      <c r="D159">
        <f>'nebuleair_export (1)'!D159*'Calcul des facteurs'!$B$5+'Calcul des facteurs'!$C$5</f>
        <v>4.5179257045531545</v>
      </c>
    </row>
    <row r="160" spans="1:4">
      <c r="A160" t="s">
        <v>1687</v>
      </c>
      <c r="B160" t="e">
        <f>'nebuleair_export (1)'!B160*'Calcul des facteurs'!#REF!+'Calcul des facteurs'!#REF!</f>
        <v>#REF!</v>
      </c>
      <c r="C160">
        <f>'nebuleair_export (1)'!C160*'Calcul des facteurs'!$B$4+'Calcul des facteurs'!$C$4</f>
        <v>1.1893617239144303</v>
      </c>
      <c r="D160">
        <f>'nebuleair_export (1)'!D160*'Calcul des facteurs'!$B$5+'Calcul des facteurs'!$C$5</f>
        <v>3.6964938889171211</v>
      </c>
    </row>
    <row r="161" spans="1:4">
      <c r="A161" t="s">
        <v>1689</v>
      </c>
      <c r="B161" t="e">
        <f>'nebuleair_export (1)'!B161*'Calcul des facteurs'!#REF!+'Calcul des facteurs'!#REF!</f>
        <v>#REF!</v>
      </c>
      <c r="C161">
        <f>'nebuleair_export (1)'!C161*'Calcul des facteurs'!$B$4+'Calcul des facteurs'!$C$4</f>
        <v>1.2558062772143779</v>
      </c>
      <c r="D161">
        <f>'nebuleair_export (1)'!D161*'Calcul des facteurs'!$B$5+'Calcul des facteurs'!$C$5</f>
        <v>3.7840730163194953</v>
      </c>
    </row>
    <row r="162" spans="1:4">
      <c r="A162" t="s">
        <v>1691</v>
      </c>
      <c r="B162" t="e">
        <f>'nebuleair_export (1)'!B162*'Calcul des facteurs'!#REF!+'Calcul des facteurs'!#REF!</f>
        <v>#REF!</v>
      </c>
      <c r="C162">
        <f>'nebuleair_export (1)'!C162*'Calcul des facteurs'!$B$4+'Calcul des facteurs'!$C$4</f>
        <v>1.2041271802033071</v>
      </c>
      <c r="D162">
        <f>'nebuleair_export (1)'!D162*'Calcul des facteurs'!$B$5+'Calcul des facteurs'!$C$5</f>
        <v>3.6542143101711462</v>
      </c>
    </row>
    <row r="163" spans="1:4">
      <c r="A163" t="s">
        <v>1693</v>
      </c>
      <c r="B163" t="e">
        <f>'nebuleair_export (1)'!B163*'Calcul des facteurs'!#REF!+'Calcul des facteurs'!#REF!</f>
        <v>#REF!</v>
      </c>
      <c r="C163">
        <f>'nebuleair_export (1)'!C163*'Calcul des facteurs'!$B$4+'Calcul des facteurs'!$C$4</f>
        <v>1.3443990149476412</v>
      </c>
      <c r="D163">
        <f>'nebuleair_export (1)'!D163*'Calcul des facteurs'!$B$5+'Calcul des facteurs'!$C$5</f>
        <v>4.4967859151801708</v>
      </c>
    </row>
    <row r="164" spans="1:4">
      <c r="A164" t="s">
        <v>1694</v>
      </c>
      <c r="B164" t="e">
        <f>'nebuleair_export (1)'!B164*'Calcul des facteurs'!#REF!+'Calcul des facteurs'!#REF!</f>
        <v>#REF!</v>
      </c>
      <c r="C164">
        <f>'nebuleair_export (1)'!C164*'Calcul des facteurs'!$B$4+'Calcul des facteurs'!$C$4</f>
        <v>1.5068190341252801</v>
      </c>
      <c r="D164">
        <f>'nebuleair_export (1)'!D164*'Calcul des facteurs'!$B$5+'Calcul des facteurs'!$C$5</f>
        <v>4.7051638389996056</v>
      </c>
    </row>
    <row r="165" spans="1:4">
      <c r="A165" t="s">
        <v>1695</v>
      </c>
      <c r="B165" t="e">
        <f>'nebuleair_export (1)'!B165*'Calcul des facteurs'!#REF!+'Calcul des facteurs'!#REF!</f>
        <v>#REF!</v>
      </c>
      <c r="C165">
        <f>'nebuleair_export (1)'!C165*'Calcul des facteurs'!$B$4+'Calcul des facteurs'!$C$4</f>
        <v>2.3632154988801664</v>
      </c>
      <c r="D165">
        <f>'nebuleair_export (1)'!D165*'Calcul des facteurs'!$B$5+'Calcul des facteurs'!$C$5</f>
        <v>5.2245986635929746</v>
      </c>
    </row>
    <row r="166" spans="1:4">
      <c r="A166" t="s">
        <v>1697</v>
      </c>
      <c r="B166" t="e">
        <f>'nebuleair_export (1)'!B166*'Calcul des facteurs'!#REF!+'Calcul des facteurs'!#REF!</f>
        <v>#REF!</v>
      </c>
      <c r="C166">
        <f>'nebuleair_export (1)'!C166*'Calcul des facteurs'!$B$4+'Calcul des facteurs'!$C$4</f>
        <v>1.8574986209861177</v>
      </c>
      <c r="D166">
        <f>'nebuleair_export (1)'!D166*'Calcul des facteurs'!$B$5+'Calcul des facteurs'!$C$5</f>
        <v>5.3031178812640682</v>
      </c>
    </row>
    <row r="167" spans="1:4">
      <c r="A167" t="s">
        <v>1699</v>
      </c>
      <c r="B167" t="e">
        <f>'nebuleair_export (1)'!B167*'Calcul des facteurs'!#REF!+'Calcul des facteurs'!#REF!</f>
        <v>#REF!</v>
      </c>
      <c r="C167">
        <f>'nebuleair_export (1)'!C167*'Calcul des facteurs'!$B$4+'Calcul des facteurs'!$C$4</f>
        <v>3.0498092163129571</v>
      </c>
      <c r="D167">
        <f>'nebuleair_export (1)'!D167*'Calcul des facteurs'!$B$5+'Calcul des facteurs'!$C$5</f>
        <v>6.2272286738546025</v>
      </c>
    </row>
    <row r="168" spans="1:4">
      <c r="A168" t="s">
        <v>1701</v>
      </c>
      <c r="B168" t="e">
        <f>'nebuleair_export (1)'!B168*'Calcul des facteurs'!#REF!+'Calcul des facteurs'!#REF!</f>
        <v>#REF!</v>
      </c>
      <c r="C168">
        <f>'nebuleair_export (1)'!C168*'Calcul des facteurs'!$B$4+'Calcul des facteurs'!$C$4</f>
        <v>2.2377091204247135</v>
      </c>
      <c r="D168">
        <f>'nebuleair_export (1)'!D168*'Calcul des facteurs'!$B$5+'Calcul des facteurs'!$C$5</f>
        <v>5.5598153236503247</v>
      </c>
    </row>
    <row r="169" spans="1:4">
      <c r="A169" t="s">
        <v>1703</v>
      </c>
      <c r="B169" t="e">
        <f>'nebuleair_export (1)'!B169*'Calcul des facteurs'!#REF!+'Calcul des facteurs'!#REF!</f>
        <v>#REF!</v>
      </c>
      <c r="C169">
        <f>'nebuleair_export (1)'!C169*'Calcul des facteurs'!$B$4+'Calcul des facteurs'!$C$4</f>
        <v>2.5071786976967192</v>
      </c>
      <c r="D169">
        <f>'nebuleair_export (1)'!D169*'Calcul des facteurs'!$B$5+'Calcul des facteurs'!$C$5</f>
        <v>4.9739411610275654</v>
      </c>
    </row>
    <row r="170" spans="1:4">
      <c r="A170" t="s">
        <v>1705</v>
      </c>
      <c r="B170" t="e">
        <f>'nebuleair_export (1)'!B170*'Calcul des facteurs'!#REF!+'Calcul des facteurs'!#REF!</f>
        <v>#REF!</v>
      </c>
      <c r="C170">
        <f>'nebuleair_export (1)'!C170*'Calcul des facteurs'!$B$4+'Calcul des facteurs'!$C$4</f>
        <v>2.6068455276466405</v>
      </c>
      <c r="D170">
        <f>'nebuleair_export (1)'!D170*'Calcul des facteurs'!$B$5+'Calcul des facteurs'!$C$5</f>
        <v>5.3695572192934504</v>
      </c>
    </row>
    <row r="171" spans="1:4">
      <c r="A171" t="s">
        <v>1707</v>
      </c>
      <c r="B171" t="e">
        <f>'nebuleair_export (1)'!B171*'Calcul des facteurs'!#REF!+'Calcul des facteurs'!#REF!</f>
        <v>#REF!</v>
      </c>
      <c r="C171">
        <f>'nebuleair_export (1)'!C171*'Calcul des facteurs'!$B$4+'Calcul des facteurs'!$C$4</f>
        <v>2.1786472952691973</v>
      </c>
      <c r="D171">
        <f>'nebuleair_export (1)'!D171*'Calcul des facteurs'!$B$5+'Calcul des facteurs'!$C$5</f>
        <v>5.112859776907194</v>
      </c>
    </row>
    <row r="172" spans="1:4">
      <c r="A172" t="s">
        <v>1709</v>
      </c>
      <c r="B172" t="e">
        <f>'nebuleair_export (1)'!B172*'Calcul des facteurs'!#REF!+'Calcul des facteurs'!#REF!</f>
        <v>#REF!</v>
      </c>
      <c r="C172">
        <f>'nebuleair_export (1)'!C172*'Calcul des facteurs'!$B$4+'Calcul des facteurs'!$C$4</f>
        <v>2.6031541635744251</v>
      </c>
      <c r="D172">
        <f>'nebuleair_export (1)'!D172*'Calcul des facteurs'!$B$5+'Calcul des facteurs'!$C$5</f>
        <v>6.1124698172583898</v>
      </c>
    </row>
    <row r="173" spans="1:4">
      <c r="A173" t="s">
        <v>1711</v>
      </c>
      <c r="B173" t="e">
        <f>'nebuleair_export (1)'!B173*'Calcul des facteurs'!#REF!+'Calcul des facteurs'!#REF!</f>
        <v>#REF!</v>
      </c>
      <c r="C173">
        <f>'nebuleair_export (1)'!C173*'Calcul des facteurs'!$B$4+'Calcul des facteurs'!$C$4</f>
        <v>2.5957714354299828</v>
      </c>
      <c r="D173">
        <f>'nebuleair_export (1)'!D173*'Calcul des facteurs'!$B$5+'Calcul des facteurs'!$C$5</f>
        <v>5.1068198370863378</v>
      </c>
    </row>
    <row r="174" spans="1:4">
      <c r="A174" t="s">
        <v>1713</v>
      </c>
      <c r="B174" t="e">
        <f>'nebuleair_export (1)'!B174*'Calcul des facteurs'!#REF!+'Calcul des facteurs'!#REF!</f>
        <v>#REF!</v>
      </c>
      <c r="C174">
        <f>'nebuleair_export (1)'!C174*'Calcul des facteurs'!$B$4+'Calcul des facteurs'!$C$4</f>
        <v>1.8981036257805337</v>
      </c>
      <c r="D174">
        <f>'nebuleair_export (1)'!D174*'Calcul des facteurs'!$B$5+'Calcul des facteurs'!$C$5</f>
        <v>4.687044019537046</v>
      </c>
    </row>
    <row r="175" spans="1:4">
      <c r="A175" t="s">
        <v>1715</v>
      </c>
      <c r="B175" t="e">
        <f>'nebuleair_export (1)'!B175*'Calcul des facteurs'!#REF!+'Calcul des facteurs'!#REF!</f>
        <v>#REF!</v>
      </c>
      <c r="C175">
        <f>'nebuleair_export (1)'!C175*'Calcul des facteurs'!$B$4+'Calcul des facteurs'!$C$4</f>
        <v>2.2893882174357767</v>
      </c>
      <c r="D175">
        <f>'nebuleair_export (1)'!D175*'Calcul des facteurs'!$B$5+'Calcul des facteurs'!$C$5</f>
        <v>5.5900150227545877</v>
      </c>
    </row>
    <row r="176" spans="1:4">
      <c r="A176" t="s">
        <v>1717</v>
      </c>
      <c r="B176" t="e">
        <f>'nebuleair_export (1)'!B176*'Calcul des facteurs'!#REF!+'Calcul des facteurs'!#REF!</f>
        <v>#REF!</v>
      </c>
      <c r="C176">
        <f>'nebuleair_export (1)'!C176*'Calcul des facteurs'!$B$4+'Calcul des facteurs'!$C$4</f>
        <v>2.4001291396023556</v>
      </c>
      <c r="D176">
        <f>'nebuleair_export (1)'!D176*'Calcul des facteurs'!$B$5+'Calcul des facteurs'!$C$5</f>
        <v>6.175889185377347</v>
      </c>
    </row>
    <row r="177" spans="1:4">
      <c r="A177" t="s">
        <v>1719</v>
      </c>
      <c r="B177" t="e">
        <f>'nebuleair_export (1)'!B177*'Calcul des facteurs'!#REF!+'Calcul des facteurs'!#REF!</f>
        <v>#REF!</v>
      </c>
      <c r="C177">
        <f>'nebuleair_export (1)'!C177*'Calcul des facteurs'!$B$4+'Calcul des facteurs'!$C$4</f>
        <v>2.9796732989407939</v>
      </c>
      <c r="D177">
        <f>'nebuleair_export (1)'!D177*'Calcul des facteurs'!$B$5+'Calcul des facteurs'!$C$5</f>
        <v>6.3963469888384852</v>
      </c>
    </row>
    <row r="178" spans="1:4">
      <c r="A178" t="s">
        <v>1721</v>
      </c>
      <c r="B178" t="e">
        <f>'nebuleair_export (1)'!B178*'Calcul des facteurs'!#REF!+'Calcul des facteurs'!#REF!</f>
        <v>#REF!</v>
      </c>
      <c r="C178">
        <f>'nebuleair_export (1)'!C178*'Calcul des facteurs'!$B$4+'Calcul des facteurs'!$C$4</f>
        <v>2.8504755564131146</v>
      </c>
      <c r="D178">
        <f>'nebuleair_export (1)'!D178*'Calcul des facteurs'!$B$5+'Calcul des facteurs'!$C$5</f>
        <v>6.0460304792290076</v>
      </c>
    </row>
    <row r="179" spans="1:4">
      <c r="A179" t="s">
        <v>1723</v>
      </c>
      <c r="B179" t="e">
        <f>'nebuleair_export (1)'!B179*'Calcul des facteurs'!#REF!+'Calcul des facteurs'!#REF!</f>
        <v>#REF!</v>
      </c>
      <c r="C179">
        <f>'nebuleair_export (1)'!C179*'Calcul des facteurs'!$B$4+'Calcul des facteurs'!$C$4</f>
        <v>2.4001291396023556</v>
      </c>
      <c r="D179">
        <f>'nebuleair_export (1)'!D179*'Calcul des facteurs'!$B$5+'Calcul des facteurs'!$C$5</f>
        <v>5.8678522545138367</v>
      </c>
    </row>
    <row r="180" spans="1:4">
      <c r="A180" t="s">
        <v>1725</v>
      </c>
      <c r="B180" t="e">
        <f>'nebuleair_export (1)'!B180*'Calcul des facteurs'!#REF!+'Calcul des facteurs'!#REF!</f>
        <v>#REF!</v>
      </c>
      <c r="C180">
        <f>'nebuleair_export (1)'!C180*'Calcul des facteurs'!$B$4+'Calcul des facteurs'!$C$4</f>
        <v>2.8652410127019885</v>
      </c>
      <c r="D180">
        <f>'nebuleair_export (1)'!D180*'Calcul des facteurs'!$B$5+'Calcul des facteurs'!$C$5</f>
        <v>5.6564543607839788</v>
      </c>
    </row>
    <row r="181" spans="1:4">
      <c r="A181" t="s">
        <v>1727</v>
      </c>
      <c r="B181" t="e">
        <f>'nebuleair_export (1)'!B181*'Calcul des facteurs'!#REF!+'Calcul des facteurs'!#REF!</f>
        <v>#REF!</v>
      </c>
      <c r="C181">
        <f>'nebuleair_export (1)'!C181*'Calcul des facteurs'!$B$4+'Calcul des facteurs'!$C$4</f>
        <v>2.6548332605854874</v>
      </c>
      <c r="D181">
        <f>'nebuleair_export (1)'!D181*'Calcul des facteurs'!$B$5+'Calcul des facteurs'!$C$5</f>
        <v>5.2396985131451101</v>
      </c>
    </row>
    <row r="182" spans="1:4">
      <c r="A182" t="s">
        <v>1729</v>
      </c>
      <c r="B182" t="e">
        <f>'nebuleair_export (1)'!B182*'Calcul des facteurs'!#REF!+'Calcul des facteurs'!#REF!</f>
        <v>#REF!</v>
      </c>
      <c r="C182">
        <f>'nebuleair_export (1)'!C182*'Calcul des facteurs'!$B$4+'Calcul des facteurs'!$C$4</f>
        <v>3.5629088223514374</v>
      </c>
      <c r="D182">
        <f>'nebuleair_export (1)'!D182*'Calcul des facteurs'!$B$5+'Calcul des facteurs'!$C$5</f>
        <v>6.4929860259721384</v>
      </c>
    </row>
    <row r="183" spans="1:4">
      <c r="A183" t="s">
        <v>1731</v>
      </c>
      <c r="B183" t="e">
        <f>'nebuleair_export (1)'!B183*'Calcul des facteurs'!#REF!+'Calcul des facteurs'!#REF!</f>
        <v>#REF!</v>
      </c>
      <c r="C183">
        <f>'nebuleair_export (1)'!C183*'Calcul des facteurs'!$B$4+'Calcul des facteurs'!$C$4</f>
        <v>2.4038205036745821</v>
      </c>
      <c r="D183">
        <f>'nebuleair_export (1)'!D183*'Calcul des facteurs'!$B$5+'Calcul des facteurs'!$C$5</f>
        <v>5.146079445921881</v>
      </c>
    </row>
    <row r="184" spans="1:4">
      <c r="A184" t="s">
        <v>1733</v>
      </c>
      <c r="B184" t="e">
        <f>'nebuleair_export (1)'!B184*'Calcul des facteurs'!#REF!+'Calcul des facteurs'!#REF!</f>
        <v>#REF!</v>
      </c>
      <c r="C184">
        <f>'nebuleair_export (1)'!C184*'Calcul des facteurs'!$B$4+'Calcul des facteurs'!$C$4</f>
        <v>2.5957714354299828</v>
      </c>
      <c r="D184">
        <f>'nebuleair_export (1)'!D184*'Calcul des facteurs'!$B$5+'Calcul des facteurs'!$C$5</f>
        <v>5.4963959555313666</v>
      </c>
    </row>
    <row r="185" spans="1:4">
      <c r="A185" t="s">
        <v>1735</v>
      </c>
      <c r="B185" t="e">
        <f>'nebuleair_export (1)'!B185*'Calcul des facteurs'!#REF!+'Calcul des facteurs'!#REF!</f>
        <v>#REF!</v>
      </c>
      <c r="C185">
        <f>'nebuleair_export (1)'!C185*'Calcul des facteurs'!$B$4+'Calcul des facteurs'!$C$4</f>
        <v>1.5917204077863276</v>
      </c>
      <c r="D185">
        <f>'nebuleair_export (1)'!D185*'Calcul des facteurs'!$B$5+'Calcul des facteurs'!$C$5</f>
        <v>4.1978088940479399</v>
      </c>
    </row>
    <row r="186" spans="1:4">
      <c r="A186" t="s">
        <v>1736</v>
      </c>
      <c r="B186" t="e">
        <f>'nebuleair_export (1)'!B186*'Calcul des facteurs'!#REF!+'Calcul des facteurs'!#REF!</f>
        <v>#REF!</v>
      </c>
      <c r="C186">
        <f>'nebuleair_export (1)'!C186*'Calcul des facteurs'!$B$4+'Calcul des facteurs'!$C$4</f>
        <v>1.872264077274991</v>
      </c>
      <c r="D186">
        <f>'nebuleair_export (1)'!D186*'Calcul des facteurs'!$B$5+'Calcul des facteurs'!$C$5</f>
        <v>4.2884079913607369</v>
      </c>
    </row>
    <row r="187" spans="1:4">
      <c r="A187" t="s">
        <v>1738</v>
      </c>
      <c r="B187" t="e">
        <f>'nebuleair_export (1)'!B187*'Calcul des facteurs'!#REF!+'Calcul des facteurs'!#REF!</f>
        <v>#REF!</v>
      </c>
      <c r="C187">
        <f>'nebuleair_export (1)'!C187*'Calcul des facteurs'!$B$4+'Calcul des facteurs'!$C$4</f>
        <v>2.2930795815080032</v>
      </c>
      <c r="D187">
        <f>'nebuleair_export (1)'!D187*'Calcul des facteurs'!$B$5+'Calcul des facteurs'!$C$5</f>
        <v>6.115489787168813</v>
      </c>
    </row>
    <row r="188" spans="1:4">
      <c r="A188" t="s">
        <v>1740</v>
      </c>
      <c r="B188" t="e">
        <f>'nebuleair_export (1)'!B188*'Calcul des facteurs'!#REF!+'Calcul des facteurs'!#REF!</f>
        <v>#REF!</v>
      </c>
      <c r="C188">
        <f>'nebuleair_export (1)'!C188*'Calcul des facteurs'!$B$4+'Calcul des facteurs'!$C$4</f>
        <v>1.7836713395417279</v>
      </c>
      <c r="D188">
        <f>'nebuleair_export (1)'!D188*'Calcul des facteurs'!$B$5+'Calcul des facteurs'!$C$5</f>
        <v>4.6810040797161898</v>
      </c>
    </row>
    <row r="189" spans="1:4">
      <c r="A189" t="s">
        <v>1741</v>
      </c>
      <c r="B189" t="e">
        <f>'nebuleair_export (1)'!B189*'Calcul des facteurs'!#REF!+'Calcul des facteurs'!#REF!</f>
        <v>#REF!</v>
      </c>
      <c r="C189">
        <f>'nebuleair_export (1)'!C189*'Calcul des facteurs'!$B$4+'Calcul des facteurs'!$C$4</f>
        <v>1.9239431742860651</v>
      </c>
      <c r="D189">
        <f>'nebuleair_export (1)'!D189*'Calcul des facteurs'!$B$5+'Calcul des facteurs'!$C$5</f>
        <v>4.7232836584621651</v>
      </c>
    </row>
    <row r="190" spans="1:4">
      <c r="A190" t="s">
        <v>1743</v>
      </c>
      <c r="B190" t="e">
        <f>'nebuleair_export (1)'!B190*'Calcul des facteurs'!#REF!+'Calcul des facteurs'!#REF!</f>
        <v>#REF!</v>
      </c>
      <c r="C190">
        <f>'nebuleair_export (1)'!C190*'Calcul des facteurs'!$B$4+'Calcul des facteurs'!$C$4</f>
        <v>1.8095108880472703</v>
      </c>
      <c r="D190">
        <f>'nebuleair_export (1)'!D190*'Calcul des facteurs'!$B$5+'Calcul des facteurs'!$C$5</f>
        <v>4.6810040797161898</v>
      </c>
    </row>
    <row r="191" spans="1:4">
      <c r="A191" t="s">
        <v>1745</v>
      </c>
      <c r="B191" t="e">
        <f>'nebuleair_export (1)'!B191*'Calcul des facteurs'!#REF!+'Calcul des facteurs'!#REF!</f>
        <v>#REF!</v>
      </c>
      <c r="C191">
        <f>'nebuleair_export (1)'!C191*'Calcul des facteurs'!$B$4+'Calcul des facteurs'!$C$4</f>
        <v>2.3299932222301925</v>
      </c>
      <c r="D191">
        <f>'nebuleair_export (1)'!D191*'Calcul des facteurs'!$B$5+'Calcul des facteurs'!$C$5</f>
        <v>5.6292746315901301</v>
      </c>
    </row>
    <row r="192" spans="1:4">
      <c r="A192" t="s">
        <v>1747</v>
      </c>
      <c r="B192" t="e">
        <f>'nebuleair_export (1)'!B192*'Calcul des facteurs'!#REF!+'Calcul des facteurs'!#REF!</f>
        <v>#REF!</v>
      </c>
      <c r="C192">
        <f>'nebuleair_export (1)'!C192*'Calcul des facteurs'!$B$4+'Calcul des facteurs'!$C$4</f>
        <v>1.9276345383582807</v>
      </c>
      <c r="D192">
        <f>'nebuleair_export (1)'!D192*'Calcul des facteurs'!$B$5+'Calcul des facteurs'!$C$5</f>
        <v>4.7867030265811223</v>
      </c>
    </row>
    <row r="193" spans="1:4">
      <c r="A193" t="s">
        <v>1749</v>
      </c>
      <c r="B193" t="e">
        <f>'nebuleair_export (1)'!B193*'Calcul des facteurs'!#REF!+'Calcul des facteurs'!#REF!</f>
        <v>#REF!</v>
      </c>
      <c r="C193">
        <f>'nebuleair_export (1)'!C193*'Calcul des facteurs'!$B$4+'Calcul des facteurs'!$C$4</f>
        <v>1.6840045095918177</v>
      </c>
      <c r="D193">
        <f>'nebuleair_export (1)'!D193*'Calcul des facteurs'!$B$5+'Calcul des facteurs'!$C$5</f>
        <v>4.777643116849843</v>
      </c>
    </row>
    <row r="194" spans="1:4">
      <c r="A194" t="s">
        <v>1751</v>
      </c>
      <c r="B194" t="e">
        <f>'nebuleair_export (1)'!B194*'Calcul des facteurs'!#REF!+'Calcul des facteurs'!#REF!</f>
        <v>#REF!</v>
      </c>
      <c r="C194">
        <f>'nebuleair_export (1)'!C194*'Calcul des facteurs'!$B$4+'Calcul des facteurs'!$C$4</f>
        <v>2.6105368917188558</v>
      </c>
      <c r="D194">
        <f>'nebuleair_export (1)'!D194*'Calcul des facteurs'!$B$5+'Calcul des facteurs'!$C$5</f>
        <v>5.873892194334692</v>
      </c>
    </row>
    <row r="195" spans="1:4">
      <c r="A195" t="s">
        <v>1753</v>
      </c>
      <c r="B195" t="e">
        <f>'nebuleair_export (1)'!B195*'Calcul des facteurs'!#REF!+'Calcul des facteurs'!#REF!</f>
        <v>#REF!</v>
      </c>
      <c r="C195">
        <f>'nebuleair_export (1)'!C195*'Calcul des facteurs'!$B$4+'Calcul des facteurs'!$C$4</f>
        <v>2.2155609359913866</v>
      </c>
      <c r="D195">
        <f>'nebuleair_export (1)'!D195*'Calcul des facteurs'!$B$5+'Calcul des facteurs'!$C$5</f>
        <v>4.8169027256853862</v>
      </c>
    </row>
    <row r="196" spans="1:4">
      <c r="A196" t="s">
        <v>1755</v>
      </c>
      <c r="B196" t="e">
        <f>'nebuleair_export (1)'!B196*'Calcul des facteurs'!#REF!+'Calcul des facteurs'!#REF!</f>
        <v>#REF!</v>
      </c>
      <c r="C196">
        <f>'nebuleair_export (1)'!C196*'Calcul des facteurs'!$B$4+'Calcul des facteurs'!$C$4</f>
        <v>2.1786472952691973</v>
      </c>
      <c r="D196">
        <f>'nebuleair_export (1)'!D196*'Calcul des facteurs'!$B$5+'Calcul des facteurs'!$C$5</f>
        <v>4.53302555410529</v>
      </c>
    </row>
    <row r="197" spans="1:4">
      <c r="A197" t="s">
        <v>1757</v>
      </c>
      <c r="B197" t="e">
        <f>'nebuleair_export (1)'!B197*'Calcul des facteurs'!#REF!+'Calcul des facteurs'!#REF!</f>
        <v>#REF!</v>
      </c>
      <c r="C197">
        <f>'nebuleair_export (1)'!C197*'Calcul des facteurs'!$B$4+'Calcul des facteurs'!$C$4</f>
        <v>2.3964377755301398</v>
      </c>
      <c r="D197">
        <f>'nebuleair_export (1)'!D197*'Calcul des facteurs'!$B$5+'Calcul des facteurs'!$C$5</f>
        <v>5.3393575201891785</v>
      </c>
    </row>
    <row r="198" spans="1:4">
      <c r="A198" t="s">
        <v>1759</v>
      </c>
      <c r="B198" t="e">
        <f>'nebuleair_export (1)'!B198*'Calcul des facteurs'!#REF!+'Calcul des facteurs'!#REF!</f>
        <v>#REF!</v>
      </c>
      <c r="C198">
        <f>'nebuleair_export (1)'!C198*'Calcul des facteurs'!$B$4+'Calcul des facteurs'!$C$4</f>
        <v>3.2749824247183312</v>
      </c>
      <c r="D198">
        <f>'nebuleair_export (1)'!D198*'Calcul des facteurs'!$B$5+'Calcul des facteurs'!$C$5</f>
        <v>5.9614713217370578</v>
      </c>
    </row>
    <row r="199" spans="1:4">
      <c r="A199" t="s">
        <v>1761</v>
      </c>
      <c r="B199" t="e">
        <f>'nebuleair_export (1)'!B199*'Calcul des facteurs'!#REF!+'Calcul des facteurs'!#REF!</f>
        <v>#REF!</v>
      </c>
      <c r="C199">
        <f>'nebuleair_export (1)'!C199*'Calcul des facteurs'!$B$4+'Calcul des facteurs'!$C$4</f>
        <v>3.4706247205459584</v>
      </c>
      <c r="D199">
        <f>'nebuleair_export (1)'!D199*'Calcul des facteurs'!$B$5+'Calcul des facteurs'!$C$5</f>
        <v>6.5292256648972575</v>
      </c>
    </row>
    <row r="200" spans="1:4">
      <c r="A200" t="s">
        <v>1763</v>
      </c>
      <c r="B200" t="e">
        <f>'nebuleair_export (1)'!B200*'Calcul des facteurs'!#REF!+'Calcul des facteurs'!#REF!</f>
        <v>#REF!</v>
      </c>
      <c r="C200">
        <f>'nebuleair_export (1)'!C200*'Calcul des facteurs'!$B$4+'Calcul des facteurs'!$C$4</f>
        <v>4.1129220691121171</v>
      </c>
      <c r="D200">
        <f>'nebuleair_export (1)'!D200*'Calcul des facteurs'!$B$5+'Calcul des facteurs'!$C$5</f>
        <v>7.0275207001176438</v>
      </c>
    </row>
    <row r="201" spans="1:4">
      <c r="A201" t="s">
        <v>1765</v>
      </c>
      <c r="B201" t="e">
        <f>'nebuleair_export (1)'!B201*'Calcul des facteurs'!#REF!+'Calcul des facteurs'!#REF!</f>
        <v>#REF!</v>
      </c>
      <c r="C201">
        <f>'nebuleair_export (1)'!C201*'Calcul des facteurs'!$B$4+'Calcul des facteurs'!$C$4</f>
        <v>3.1420933181184365</v>
      </c>
      <c r="D201">
        <f>'nebuleair_export (1)'!D201*'Calcul des facteurs'!$B$5+'Calcul des facteurs'!$C$5</f>
        <v>6.5050659056138418</v>
      </c>
    </row>
    <row r="202" spans="1:4">
      <c r="A202" t="s">
        <v>1767</v>
      </c>
      <c r="B202" t="e">
        <f>'nebuleair_export (1)'!B202*'Calcul des facteurs'!#REF!+'Calcul des facteurs'!#REF!</f>
        <v>#REF!</v>
      </c>
      <c r="C202">
        <f>'nebuleair_export (1)'!C202*'Calcul des facteurs'!$B$4+'Calcul des facteurs'!$C$4</f>
        <v>4.3417866415897066</v>
      </c>
      <c r="D202">
        <f>'nebuleair_export (1)'!D202*'Calcul des facteurs'!$B$5+'Calcul des facteurs'!$C$5</f>
        <v>7.2026789549223817</v>
      </c>
    </row>
    <row r="203" spans="1:4">
      <c r="A203" t="s">
        <v>1769</v>
      </c>
      <c r="B203" t="e">
        <f>'nebuleair_export (1)'!B203*'Calcul des facteurs'!#REF!+'Calcul des facteurs'!#REF!</f>
        <v>#REF!</v>
      </c>
      <c r="C203">
        <f>'nebuleair_export (1)'!C203*'Calcul des facteurs'!$B$4+'Calcul des facteurs'!$C$4</f>
        <v>6.9958774095153915</v>
      </c>
      <c r="D203">
        <f>'nebuleair_export (1)'!D203*'Calcul des facteurs'!$B$5+'Calcul des facteurs'!$C$5</f>
        <v>9.836092716814365</v>
      </c>
    </row>
    <row r="204" spans="1:4">
      <c r="A204" t="s">
        <v>1771</v>
      </c>
      <c r="B204" t="e">
        <f>'nebuleair_export (1)'!B204*'Calcul des facteurs'!#REF!+'Calcul des facteurs'!#REF!</f>
        <v>#REF!</v>
      </c>
      <c r="C204">
        <f>'nebuleair_export (1)'!C204*'Calcul des facteurs'!$B$4+'Calcul des facteurs'!$C$4</f>
        <v>4.7589107817504921</v>
      </c>
      <c r="D204">
        <f>'nebuleair_export (1)'!D204*'Calcul des facteurs'!$B$5+'Calcul des facteurs'!$C$5</f>
        <v>7.0335606399385</v>
      </c>
    </row>
    <row r="205" spans="1:4">
      <c r="A205" t="s">
        <v>1773</v>
      </c>
      <c r="B205" t="e">
        <f>'nebuleair_export (1)'!B205*'Calcul des facteurs'!#REF!+'Calcul des facteurs'!#REF!</f>
        <v>#REF!</v>
      </c>
      <c r="C205">
        <f>'nebuleair_export (1)'!C205*'Calcul des facteurs'!$B$4+'Calcul des facteurs'!$C$4</f>
        <v>5.194491742272378</v>
      </c>
      <c r="D205">
        <f>'nebuleair_export (1)'!D205*'Calcul des facteurs'!$B$5+'Calcul des facteurs'!$C$5</f>
        <v>8.827422766731889</v>
      </c>
    </row>
    <row r="206" spans="1:4">
      <c r="A206" t="s">
        <v>1775</v>
      </c>
      <c r="B206" t="e">
        <f>'nebuleair_export (1)'!B206*'Calcul des facteurs'!#REF!+'Calcul des facteurs'!#REF!</f>
        <v>#REF!</v>
      </c>
      <c r="C206">
        <f>'nebuleair_export (1)'!C206*'Calcul des facteurs'!$B$4+'Calcul des facteurs'!$C$4</f>
        <v>4.5226634811284603</v>
      </c>
      <c r="D206">
        <f>'nebuleair_export (1)'!D206*'Calcul des facteurs'!$B$5+'Calcul des facteurs'!$C$5</f>
        <v>7.9033119741413467</v>
      </c>
    </row>
    <row r="207" spans="1:4">
      <c r="A207" t="s">
        <v>1777</v>
      </c>
      <c r="B207" t="e">
        <f>'nebuleair_export (1)'!B207*'Calcul des facteurs'!#REF!+'Calcul des facteurs'!#REF!</f>
        <v>#REF!</v>
      </c>
      <c r="C207">
        <f>'nebuleair_export (1)'!C207*'Calcul des facteurs'!$B$4+'Calcul des facteurs'!$C$4</f>
        <v>3.7585511181790641</v>
      </c>
      <c r="D207">
        <f>'nebuleair_export (1)'!D207*'Calcul des facteurs'!$B$5+'Calcul des facteurs'!$C$5</f>
        <v>6.0067708703934564</v>
      </c>
    </row>
    <row r="208" spans="1:4">
      <c r="A208" t="s">
        <v>1778</v>
      </c>
      <c r="B208" t="e">
        <f>'nebuleair_export (1)'!B208*'Calcul des facteurs'!#REF!+'Calcul des facteurs'!#REF!</f>
        <v>#REF!</v>
      </c>
      <c r="C208">
        <f>'nebuleair_export (1)'!C208*'Calcul des facteurs'!$B$4+'Calcul des facteurs'!$C$4</f>
        <v>3.2417601480683573</v>
      </c>
      <c r="D208">
        <f>'nebuleair_export (1)'!D208*'Calcul des facteurs'!$B$5+'Calcul des facteurs'!$C$5</f>
        <v>5.7712132173801827</v>
      </c>
    </row>
    <row r="209" spans="1:4">
      <c r="A209" t="s">
        <v>1780</v>
      </c>
      <c r="B209" t="e">
        <f>'nebuleair_export (1)'!B209*'Calcul des facteurs'!#REF!+'Calcul des facteurs'!#REF!</f>
        <v>#REF!</v>
      </c>
      <c r="C209">
        <f>'nebuleair_export (1)'!C209*'Calcul des facteurs'!$B$4+'Calcul des facteurs'!$C$4</f>
        <v>2.7508087264631933</v>
      </c>
      <c r="D209">
        <f>'nebuleair_export (1)'!D209*'Calcul des facteurs'!$B$5+'Calcul des facteurs'!$C$5</f>
        <v>5.4329765874124085</v>
      </c>
    </row>
    <row r="210" spans="1:4">
      <c r="A210" t="s">
        <v>1782</v>
      </c>
      <c r="B210" t="e">
        <f>'nebuleair_export (1)'!B210*'Calcul des facteurs'!#REF!+'Calcul des facteurs'!#REF!</f>
        <v>#REF!</v>
      </c>
      <c r="C210">
        <f>'nebuleair_export (1)'!C210*'Calcul des facteurs'!$B$4+'Calcul des facteurs'!$C$4</f>
        <v>4.5078980248395863</v>
      </c>
      <c r="D210">
        <f>'nebuleair_export (1)'!D210*'Calcul des facteurs'!$B$5+'Calcul des facteurs'!$C$5</f>
        <v>7.8368726361119645</v>
      </c>
    </row>
    <row r="211" spans="1:4">
      <c r="A211" t="s">
        <v>1784</v>
      </c>
      <c r="B211" t="e">
        <f>'nebuleair_export (1)'!B211*'Calcul des facteurs'!#REF!+'Calcul des facteurs'!#REF!</f>
        <v>#REF!</v>
      </c>
      <c r="C211">
        <f>'nebuleair_export (1)'!C211*'Calcul des facteurs'!$B$4+'Calcul des facteurs'!$C$4</f>
        <v>4.422996651178539</v>
      </c>
      <c r="D211">
        <f>'nebuleair_export (1)'!D211*'Calcul des facteurs'!$B$5+'Calcul des facteurs'!$C$5</f>
        <v>7.667754321128073</v>
      </c>
    </row>
    <row r="212" spans="1:4">
      <c r="A212" t="s">
        <v>1786</v>
      </c>
      <c r="B212" t="e">
        <f>'nebuleair_export (1)'!B212*'Calcul des facteurs'!#REF!+'Calcul des facteurs'!#REF!</f>
        <v>#REF!</v>
      </c>
      <c r="C212">
        <f>'nebuleair_export (1)'!C212*'Calcul des facteurs'!$B$4+'Calcul des facteurs'!$C$4</f>
        <v>4.6001821266450662</v>
      </c>
      <c r="D212">
        <f>'nebuleair_export (1)'!D212*'Calcul des facteurs'!$B$5+'Calcul des facteurs'!$C$5</f>
        <v>7.9848511617228644</v>
      </c>
    </row>
    <row r="213" spans="1:4">
      <c r="A213" t="s">
        <v>1788</v>
      </c>
      <c r="B213" t="e">
        <f>'nebuleair_export (1)'!B213*'Calcul des facteurs'!#REF!+'Calcul des facteurs'!#REF!</f>
        <v>#REF!</v>
      </c>
      <c r="C213">
        <f>'nebuleair_export (1)'!C213*'Calcul des facteurs'!$B$4+'Calcul des facteurs'!$C$4</f>
        <v>3.636736103795827</v>
      </c>
      <c r="D213">
        <f>'nebuleair_export (1)'!D213*'Calcul des facteurs'!$B$5+'Calcul des facteurs'!$C$5</f>
        <v>6.8463225054920489</v>
      </c>
    </row>
    <row r="214" spans="1:4">
      <c r="A214" t="s">
        <v>1790</v>
      </c>
      <c r="B214" t="e">
        <f>'nebuleair_export (1)'!B214*'Calcul des facteurs'!#REF!+'Calcul des facteurs'!#REF!</f>
        <v>#REF!</v>
      </c>
      <c r="C214">
        <f>'nebuleair_export (1)'!C214*'Calcul des facteurs'!$B$4+'Calcul des facteurs'!$C$4</f>
        <v>3.655192924156927</v>
      </c>
      <c r="D214">
        <f>'nebuleair_export (1)'!D214*'Calcul des facteurs'!$B$5+'Calcul des facteurs'!$C$5</f>
        <v>7.3989769991001131</v>
      </c>
    </row>
    <row r="215" spans="1:4">
      <c r="A215" t="s">
        <v>1792</v>
      </c>
      <c r="B215" t="e">
        <f>'nebuleair_export (1)'!B215*'Calcul des facteurs'!#REF!+'Calcul des facteurs'!#REF!</f>
        <v>#REF!</v>
      </c>
      <c r="C215">
        <f>'nebuleair_export (1)'!C215*'Calcul des facteurs'!$B$4+'Calcul des facteurs'!$C$4</f>
        <v>3.3118960654405316</v>
      </c>
      <c r="D215">
        <f>'nebuleair_export (1)'!D215*'Calcul des facteurs'!$B$5+'Calcul des facteurs'!$C$5</f>
        <v>5.8316126155887176</v>
      </c>
    </row>
    <row r="216" spans="1:4">
      <c r="A216" t="s">
        <v>1793</v>
      </c>
      <c r="B216" t="e">
        <f>'nebuleair_export (1)'!B216*'Calcul des facteurs'!#REF!+'Calcul des facteurs'!#REF!</f>
        <v>#REF!</v>
      </c>
      <c r="C216">
        <f>'nebuleair_export (1)'!C216*'Calcul des facteurs'!$B$4+'Calcul des facteurs'!$C$4</f>
        <v>3.5518347301347788</v>
      </c>
      <c r="D216">
        <f>'nebuleair_export (1)'!D216*'Calcul des facteurs'!$B$5+'Calcul des facteurs'!$C$5</f>
        <v>6.2302486437650266</v>
      </c>
    </row>
    <row r="217" spans="1:4">
      <c r="A217" t="s">
        <v>1795</v>
      </c>
      <c r="B217" t="e">
        <f>'nebuleair_export (1)'!B217*'Calcul des facteurs'!#REF!+'Calcul des facteurs'!#REF!</f>
        <v>#REF!</v>
      </c>
      <c r="C217">
        <f>'nebuleair_export (1)'!C217*'Calcul des facteurs'!$B$4+'Calcul des facteurs'!$C$4</f>
        <v>3.2786737887905577</v>
      </c>
      <c r="D217">
        <f>'nebuleair_export (1)'!D217*'Calcul des facteurs'!$B$5+'Calcul des facteurs'!$C$5</f>
        <v>7.1603993761764162</v>
      </c>
    </row>
    <row r="218" spans="1:4">
      <c r="A218" t="s">
        <v>1797</v>
      </c>
      <c r="B218" t="e">
        <f>'nebuleair_export (1)'!B218*'Calcul des facteurs'!#REF!+'Calcul des facteurs'!#REF!</f>
        <v>#REF!</v>
      </c>
      <c r="C218">
        <f>'nebuleair_export (1)'!C218*'Calcul des facteurs'!$B$4+'Calcul des facteurs'!$C$4</f>
        <v>3.1900810510572835</v>
      </c>
      <c r="D218">
        <f>'nebuleair_export (1)'!D218*'Calcul des facteurs'!$B$5+'Calcul des facteurs'!$C$5</f>
        <v>5.8920120137972525</v>
      </c>
    </row>
    <row r="219" spans="1:4">
      <c r="A219" t="s">
        <v>1799</v>
      </c>
      <c r="B219" t="e">
        <f>'nebuleair_export (1)'!B219*'Calcul des facteurs'!#REF!+'Calcul des facteurs'!#REF!</f>
        <v>#REF!</v>
      </c>
      <c r="C219">
        <f>'nebuleair_export (1)'!C219*'Calcul des facteurs'!$B$4+'Calcul des facteurs'!$C$4</f>
        <v>3.359883798379379</v>
      </c>
      <c r="D219">
        <f>'nebuleair_export (1)'!D219*'Calcul des facteurs'!$B$5+'Calcul des facteurs'!$C$5</f>
        <v>5.9705312314683372</v>
      </c>
    </row>
    <row r="220" spans="1:4">
      <c r="A220" t="s">
        <v>1801</v>
      </c>
      <c r="B220" t="e">
        <f>'nebuleair_export (1)'!B220*'Calcul des facteurs'!#REF!+'Calcul des facteurs'!#REF!</f>
        <v>#REF!</v>
      </c>
      <c r="C220">
        <f>'nebuleair_export (1)'!C220*'Calcul des facteurs'!$B$4+'Calcul des facteurs'!$C$4</f>
        <v>3.238068783996142</v>
      </c>
      <c r="D220">
        <f>'nebuleair_export (1)'!D220*'Calcul des facteurs'!$B$5+'Calcul des facteurs'!$C$5</f>
        <v>5.6987339395299443</v>
      </c>
    </row>
    <row r="221" spans="1:4">
      <c r="A221" t="s">
        <v>1802</v>
      </c>
      <c r="B221" t="e">
        <f>'nebuleair_export (1)'!B221*'Calcul des facteurs'!#REF!+'Calcul des facteurs'!#REF!</f>
        <v>#REF!</v>
      </c>
      <c r="C221">
        <f>'nebuleair_export (1)'!C221*'Calcul des facteurs'!$B$4+'Calcul des facteurs'!$C$4</f>
        <v>3.4004888031737948</v>
      </c>
      <c r="D221">
        <f>'nebuleair_export (1)'!D221*'Calcul des facteurs'!$B$5+'Calcul des facteurs'!$C$5</f>
        <v>6.175889185377347</v>
      </c>
    </row>
    <row r="222" spans="1:4">
      <c r="A222" t="s">
        <v>1804</v>
      </c>
      <c r="B222" t="e">
        <f>'nebuleair_export (1)'!B222*'Calcul des facteurs'!#REF!+'Calcul des facteurs'!#REF!</f>
        <v>#REF!</v>
      </c>
      <c r="C222">
        <f>'nebuleair_export (1)'!C222*'Calcul des facteurs'!$B$4+'Calcul des facteurs'!$C$4</f>
        <v>3.238068783996142</v>
      </c>
      <c r="D222">
        <f>'nebuleair_export (1)'!D222*'Calcul des facteurs'!$B$5+'Calcul des facteurs'!$C$5</f>
        <v>6.9278616930735666</v>
      </c>
    </row>
    <row r="223" spans="1:4">
      <c r="A223" t="s">
        <v>1805</v>
      </c>
      <c r="B223" t="e">
        <f>'nebuleair_export (1)'!B223*'Calcul des facteurs'!#REF!+'Calcul des facteurs'!#REF!</f>
        <v>#REF!</v>
      </c>
      <c r="C223">
        <f>'nebuleair_export (1)'!C223*'Calcul des facteurs'!$B$4+'Calcul des facteurs'!$C$4</f>
        <v>3.0682660366740575</v>
      </c>
      <c r="D223">
        <f>'nebuleair_export (1)'!D223*'Calcul des facteurs'!$B$5+'Calcul des facteurs'!$C$5</f>
        <v>6.5111058454346979</v>
      </c>
    </row>
    <row r="224" spans="1:4">
      <c r="A224" t="s">
        <v>1807</v>
      </c>
      <c r="B224" t="e">
        <f>'nebuleair_export (1)'!B224*'Calcul des facteurs'!#REF!+'Calcul des facteurs'!#REF!</f>
        <v>#REF!</v>
      </c>
      <c r="C224">
        <f>'nebuleair_export (1)'!C224*'Calcul des facteurs'!$B$4+'Calcul des facteurs'!$C$4</f>
        <v>2.9464510222908205</v>
      </c>
      <c r="D224">
        <f>'nebuleair_export (1)'!D224*'Calcul des facteurs'!$B$5+'Calcul des facteurs'!$C$5</f>
        <v>5.3091578210849155</v>
      </c>
    </row>
    <row r="225" spans="1:4">
      <c r="A225" t="s">
        <v>1809</v>
      </c>
      <c r="B225" t="e">
        <f>'nebuleair_export (1)'!B225*'Calcul des facteurs'!#REF!+'Calcul des facteurs'!#REF!</f>
        <v>#REF!</v>
      </c>
      <c r="C225">
        <f>'nebuleair_export (1)'!C225*'Calcul des facteurs'!$B$4+'Calcul des facteurs'!$C$4</f>
        <v>3.8028474870456956</v>
      </c>
      <c r="D225">
        <f>'nebuleair_export (1)'!D225*'Calcul des facteurs'!$B$5+'Calcul des facteurs'!$C$5</f>
        <v>7.5560154344422923</v>
      </c>
    </row>
    <row r="226" spans="1:4">
      <c r="A226" t="s">
        <v>1811</v>
      </c>
      <c r="B226" t="e">
        <f>'nebuleair_export (1)'!B226*'Calcul des facteurs'!#REF!+'Calcul des facteurs'!#REF!</f>
        <v>#REF!</v>
      </c>
      <c r="C226">
        <f>'nebuleair_export (1)'!C226*'Calcul des facteurs'!$B$4+'Calcul des facteurs'!$C$4</f>
        <v>3.17531559476841</v>
      </c>
      <c r="D226">
        <f>'nebuleair_export (1)'!D226*'Calcul des facteurs'!$B$5+'Calcul des facteurs'!$C$5</f>
        <v>5.9856310810204736</v>
      </c>
    </row>
    <row r="227" spans="1:4">
      <c r="A227" t="s">
        <v>1813</v>
      </c>
      <c r="B227" t="e">
        <f>'nebuleair_export (1)'!B227*'Calcul des facteurs'!#REF!+'Calcul des facteurs'!#REF!</f>
        <v>#REF!</v>
      </c>
      <c r="C227">
        <f>'nebuleair_export (1)'!C227*'Calcul des facteurs'!$B$4+'Calcul des facteurs'!$C$4</f>
        <v>3.2491428762127996</v>
      </c>
      <c r="D227">
        <f>'nebuleair_export (1)'!D227*'Calcul des facteurs'!$B$5+'Calcul des facteurs'!$C$5</f>
        <v>5.5960549625754439</v>
      </c>
    </row>
    <row r="228" spans="1:4">
      <c r="A228" t="s">
        <v>1815</v>
      </c>
      <c r="B228" t="e">
        <f>'nebuleair_export (1)'!B228*'Calcul des facteurs'!#REF!+'Calcul des facteurs'!#REF!</f>
        <v>#REF!</v>
      </c>
      <c r="C228">
        <f>'nebuleair_export (1)'!C228*'Calcul des facteurs'!$B$4+'Calcul des facteurs'!$C$4</f>
        <v>3.6108965552902954</v>
      </c>
      <c r="D228">
        <f>'nebuleair_export (1)'!D228*'Calcul des facteurs'!$B$5+'Calcul des facteurs'!$C$5</f>
        <v>6.6500244613143185</v>
      </c>
    </row>
    <row r="229" spans="1:4">
      <c r="A229" t="s">
        <v>1817</v>
      </c>
      <c r="B229" t="e">
        <f>'nebuleair_export (1)'!B229*'Calcul des facteurs'!#REF!+'Calcul des facteurs'!#REF!</f>
        <v>#REF!</v>
      </c>
      <c r="C229">
        <f>'nebuleair_export (1)'!C229*'Calcul des facteurs'!$B$4+'Calcul des facteurs'!$C$4</f>
        <v>3.5555260942070057</v>
      </c>
      <c r="D229">
        <f>'nebuleair_export (1)'!D229*'Calcul des facteurs'!$B$5+'Calcul des facteurs'!$C$5</f>
        <v>7.9848511617228732</v>
      </c>
    </row>
    <row r="230" spans="1:4">
      <c r="A230" t="s">
        <v>1819</v>
      </c>
      <c r="B230" t="e">
        <f>'nebuleair_export (1)'!B230*'Calcul des facteurs'!#REF!+'Calcul des facteurs'!#REF!</f>
        <v>#REF!</v>
      </c>
      <c r="C230">
        <f>'nebuleair_export (1)'!C230*'Calcul des facteurs'!$B$4+'Calcul des facteurs'!$C$4</f>
        <v>4.190440714628723</v>
      </c>
      <c r="D230">
        <f>'nebuleair_export (1)'!D230*'Calcul des facteurs'!$B$5+'Calcul des facteurs'!$C$5</f>
        <v>6.7134438294332757</v>
      </c>
    </row>
    <row r="231" spans="1:4">
      <c r="A231" t="s">
        <v>1821</v>
      </c>
      <c r="B231" t="e">
        <f>'nebuleair_export (1)'!B231*'Calcul des facteurs'!#REF!+'Calcul des facteurs'!#REF!</f>
        <v>#REF!</v>
      </c>
      <c r="C231">
        <f>'nebuleair_export (1)'!C231*'Calcul des facteurs'!$B$4+'Calcul des facteurs'!$C$4</f>
        <v>3.1790069588406253</v>
      </c>
      <c r="D231">
        <f>'nebuleair_export (1)'!D231*'Calcul des facteurs'!$B$5+'Calcul des facteurs'!$C$5</f>
        <v>5.5477354440086124</v>
      </c>
    </row>
    <row r="232" spans="1:4">
      <c r="A232" t="s">
        <v>1823</v>
      </c>
      <c r="B232" t="e">
        <f>'nebuleair_export (1)'!B232*'Calcul des facteurs'!#REF!+'Calcul des facteurs'!#REF!</f>
        <v>#REF!</v>
      </c>
      <c r="C232">
        <f>'nebuleair_export (1)'!C232*'Calcul des facteurs'!$B$4+'Calcul des facteurs'!$C$4</f>
        <v>3.729020205601306</v>
      </c>
      <c r="D232">
        <f>'nebuleair_export (1)'!D232*'Calcul des facteurs'!$B$5+'Calcul des facteurs'!$C$5</f>
        <v>6.2755481924214251</v>
      </c>
    </row>
    <row r="233" spans="1:4">
      <c r="A233" t="s">
        <v>1825</v>
      </c>
      <c r="B233" t="e">
        <f>'nebuleair_export (1)'!B233*'Calcul des facteurs'!#REF!+'Calcul des facteurs'!#REF!</f>
        <v>#REF!</v>
      </c>
      <c r="C233">
        <f>'nebuleair_export (1)'!C233*'Calcul des facteurs'!$B$4+'Calcul des facteurs'!$C$4</f>
        <v>3.5813656427125369</v>
      </c>
      <c r="D233">
        <f>'nebuleair_export (1)'!D233*'Calcul des facteurs'!$B$5+'Calcul des facteurs'!$C$5</f>
        <v>5.9282516527223716</v>
      </c>
    </row>
    <row r="234" spans="1:4">
      <c r="A234" t="s">
        <v>1827</v>
      </c>
      <c r="B234" t="e">
        <f>'nebuleair_export (1)'!B234*'Calcul des facteurs'!#REF!+'Calcul des facteurs'!#REF!</f>
        <v>#REF!</v>
      </c>
      <c r="C234">
        <f>'nebuleair_export (1)'!C234*'Calcul des facteurs'!$B$4+'Calcul des facteurs'!$C$4</f>
        <v>4.0280206954510698</v>
      </c>
      <c r="D234">
        <f>'nebuleair_export (1)'!D234*'Calcul des facteurs'!$B$5+'Calcul des facteurs'!$C$5</f>
        <v>6.4416465374948837</v>
      </c>
    </row>
    <row r="235" spans="1:4">
      <c r="A235" t="s">
        <v>1829</v>
      </c>
      <c r="B235" t="e">
        <f>'nebuleair_export (1)'!B235*'Calcul des facteurs'!#REF!+'Calcul des facteurs'!#REF!</f>
        <v>#REF!</v>
      </c>
      <c r="C235">
        <f>'nebuleair_export (1)'!C235*'Calcul des facteurs'!$B$4+'Calcul des facteurs'!$C$4</f>
        <v>5.3421463051611466</v>
      </c>
      <c r="D235">
        <f>'nebuleair_export (1)'!D235*'Calcul des facteurs'!$B$5+'Calcul des facteurs'!$C$5</f>
        <v>8.4408666181972833</v>
      </c>
    </row>
    <row r="236" spans="1:4">
      <c r="A236" t="s">
        <v>1831</v>
      </c>
      <c r="B236" t="e">
        <f>'nebuleair_export (1)'!B236*'Calcul des facteurs'!#REF!+'Calcul des facteurs'!#REF!</f>
        <v>#REF!</v>
      </c>
      <c r="C236">
        <f>'nebuleair_export (1)'!C236*'Calcul des facteurs'!$B$4+'Calcul des facteurs'!$C$4</f>
        <v>4.6777007721616712</v>
      </c>
      <c r="D236">
        <f>'nebuleair_export (1)'!D236*'Calcul des facteurs'!$B$5+'Calcul des facteurs'!$C$5</f>
        <v>7.0184607903863645</v>
      </c>
    </row>
    <row r="237" spans="1:4">
      <c r="A237" t="s">
        <v>1833</v>
      </c>
      <c r="B237" t="e">
        <f>'nebuleair_export (1)'!B237*'Calcul des facteurs'!#REF!+'Calcul des facteurs'!#REF!</f>
        <v>#REF!</v>
      </c>
      <c r="C237">
        <f>'nebuleair_export (1)'!C237*'Calcul des facteurs'!$B$4+'Calcul des facteurs'!$C$4</f>
        <v>5.6522208872275685</v>
      </c>
      <c r="D237">
        <f>'nebuleair_export (1)'!D237*'Calcul des facteurs'!$B$5+'Calcul des facteurs'!$C$5</f>
        <v>8.7700433384337781</v>
      </c>
    </row>
    <row r="238" spans="1:4">
      <c r="A238" t="s">
        <v>1835</v>
      </c>
      <c r="B238" t="e">
        <f>'nebuleair_export (1)'!B238*'Calcul des facteurs'!#REF!+'Calcul des facteurs'!#REF!</f>
        <v>#REF!</v>
      </c>
      <c r="C238">
        <f>'nebuleair_export (1)'!C238*'Calcul des facteurs'!$B$4+'Calcul des facteurs'!$C$4</f>
        <v>4.5964907625728504</v>
      </c>
      <c r="D238">
        <f>'nebuleair_export (1)'!D238*'Calcul des facteurs'!$B$5+'Calcul des facteurs'!$C$5</f>
        <v>7.1150998275200177</v>
      </c>
    </row>
    <row r="239" spans="1:4">
      <c r="A239" t="s">
        <v>1837</v>
      </c>
      <c r="B239" t="e">
        <f>'nebuleair_export (1)'!B239*'Calcul des facteurs'!#REF!+'Calcul des facteurs'!#REF!</f>
        <v>#REF!</v>
      </c>
      <c r="C239">
        <f>'nebuleair_export (1)'!C239*'Calcul des facteurs'!$B$4+'Calcul des facteurs'!$C$4</f>
        <v>4.5706512140673077</v>
      </c>
      <c r="D239">
        <f>'nebuleair_export (1)'!D239*'Calcul des facteurs'!$B$5+'Calcul des facteurs'!$C$5</f>
        <v>7.6888941105010655</v>
      </c>
    </row>
    <row r="240" spans="1:4">
      <c r="A240" t="s">
        <v>1839</v>
      </c>
      <c r="B240" t="e">
        <f>'nebuleair_export (1)'!B240*'Calcul des facteurs'!#REF!+'Calcul des facteurs'!#REF!</f>
        <v>#REF!</v>
      </c>
      <c r="C240">
        <f>'nebuleair_export (1)'!C240*'Calcul des facteurs'!$B$4+'Calcul des facteurs'!$C$4</f>
        <v>4.3233298212286178</v>
      </c>
      <c r="D240">
        <f>'nebuleair_export (1)'!D240*'Calcul des facteurs'!$B$5+'Calcul des facteurs'!$C$5</f>
        <v>7.2962980221456029</v>
      </c>
    </row>
    <row r="241" spans="1:4">
      <c r="A241" t="s">
        <v>1841</v>
      </c>
      <c r="B241" t="e">
        <f>'nebuleair_export (1)'!B241*'Calcul des facteurs'!#REF!+'Calcul des facteurs'!#REF!</f>
        <v>#REF!</v>
      </c>
      <c r="C241">
        <f>'nebuleair_export (1)'!C241*'Calcul des facteurs'!$B$4+'Calcul des facteurs'!$C$4</f>
        <v>4.2716507242175439</v>
      </c>
      <c r="D241">
        <f>'nebuleair_export (1)'!D241*'Calcul des facteurs'!$B$5+'Calcul des facteurs'!$C$5</f>
        <v>6.4718462365991556</v>
      </c>
    </row>
    <row r="242" spans="1:4">
      <c r="A242" t="s">
        <v>1843</v>
      </c>
      <c r="B242" t="e">
        <f>'nebuleair_export (1)'!B242*'Calcul des facteurs'!#REF!+'Calcul des facteurs'!#REF!</f>
        <v>#REF!</v>
      </c>
      <c r="C242">
        <f>'nebuleair_export (1)'!C242*'Calcul des facteurs'!$B$4+'Calcul des facteurs'!$C$4</f>
        <v>4.0944652487510176</v>
      </c>
      <c r="D242">
        <f>'nebuleair_export (1)'!D242*'Calcul des facteurs'!$B$5+'Calcul des facteurs'!$C$5</f>
        <v>6.9520214523569726</v>
      </c>
    </row>
    <row r="243" spans="1:4">
      <c r="A243" t="s">
        <v>1845</v>
      </c>
      <c r="B243" t="e">
        <f>'nebuleair_export (1)'!B243*'Calcul des facteurs'!#REF!+'Calcul des facteurs'!#REF!</f>
        <v>#REF!</v>
      </c>
      <c r="C243">
        <f>'nebuleair_export (1)'!C243*'Calcul des facteurs'!$B$4+'Calcul des facteurs'!$C$4</f>
        <v>4.0317120595232847</v>
      </c>
      <c r="D243">
        <f>'nebuleair_export (1)'!D243*'Calcul des facteurs'!$B$5+'Calcul des facteurs'!$C$5</f>
        <v>6.4114468383906207</v>
      </c>
    </row>
    <row r="244" spans="1:4">
      <c r="A244" t="s">
        <v>1846</v>
      </c>
      <c r="B244" t="e">
        <f>'nebuleair_export (1)'!B244*'Calcul des facteurs'!#REF!+'Calcul des facteurs'!#REF!</f>
        <v>#REF!</v>
      </c>
      <c r="C244">
        <f>'nebuleair_export (1)'!C244*'Calcul des facteurs'!$B$4+'Calcul des facteurs'!$C$4</f>
        <v>3.7068720211679898</v>
      </c>
      <c r="D244">
        <f>'nebuleair_export (1)'!D244*'Calcul des facteurs'!$B$5+'Calcul des facteurs'!$C$5</f>
        <v>7.5590354043527155</v>
      </c>
    </row>
    <row r="245" spans="1:4">
      <c r="A245" t="s">
        <v>1847</v>
      </c>
      <c r="B245" t="e">
        <f>'nebuleair_export (1)'!B245*'Calcul des facteurs'!#REF!+'Calcul des facteurs'!#REF!</f>
        <v>#REF!</v>
      </c>
      <c r="C245">
        <f>'nebuleair_export (1)'!C245*'Calcul des facteurs'!$B$4+'Calcul des facteurs'!$C$4</f>
        <v>3.5444520019903369</v>
      </c>
      <c r="D245">
        <f>'nebuleair_export (1)'!D245*'Calcul des facteurs'!$B$5+'Calcul des facteurs'!$C$5</f>
        <v>6.7406235586271155</v>
      </c>
    </row>
    <row r="246" spans="1:4">
      <c r="A246" t="s">
        <v>1849</v>
      </c>
      <c r="B246" t="e">
        <f>'nebuleair_export (1)'!B246*'Calcul des facteurs'!#REF!+'Calcul des facteurs'!#REF!</f>
        <v>#REF!</v>
      </c>
      <c r="C246">
        <f>'nebuleair_export (1)'!C246*'Calcul des facteurs'!$B$4+'Calcul des facteurs'!$C$4</f>
        <v>3.1605501384795365</v>
      </c>
      <c r="D246">
        <f>'nebuleair_export (1)'!D246*'Calcul des facteurs'!$B$5+'Calcul des facteurs'!$C$5</f>
        <v>6.5020459357034177</v>
      </c>
    </row>
    <row r="247" spans="1:4">
      <c r="A247" t="s">
        <v>1851</v>
      </c>
      <c r="B247" t="e">
        <f>'nebuleair_export (1)'!B247*'Calcul des facteurs'!#REF!+'Calcul des facteurs'!#REF!</f>
        <v>#REF!</v>
      </c>
      <c r="C247">
        <f>'nebuleair_export (1)'!C247*'Calcul des facteurs'!$B$4+'Calcul des facteurs'!$C$4</f>
        <v>4.5669598499950919</v>
      </c>
      <c r="D247">
        <f>'nebuleair_export (1)'!D247*'Calcul des facteurs'!$B$5+'Calcul des facteurs'!$C$5</f>
        <v>7.7553334485304468</v>
      </c>
    </row>
    <row r="248" spans="1:4">
      <c r="A248" t="s">
        <v>1853</v>
      </c>
      <c r="B248" t="e">
        <f>'nebuleair_export (1)'!B248*'Calcul des facteurs'!#REF!+'Calcul des facteurs'!#REF!</f>
        <v>#REF!</v>
      </c>
      <c r="C248">
        <f>'nebuleair_export (1)'!C248*'Calcul des facteurs'!$B$4+'Calcul des facteurs'!$C$4</f>
        <v>4.3270211853008336</v>
      </c>
      <c r="D248">
        <f>'nebuleair_export (1)'!D248*'Calcul des facteurs'!$B$5+'Calcul des facteurs'!$C$5</f>
        <v>7.0154408204759404</v>
      </c>
    </row>
    <row r="249" spans="1:4">
      <c r="A249" t="s">
        <v>1855</v>
      </c>
      <c r="B249" t="e">
        <f>'nebuleair_export (1)'!B249*'Calcul des facteurs'!#REF!+'Calcul des facteurs'!#REF!</f>
        <v>#REF!</v>
      </c>
      <c r="C249">
        <f>'nebuleair_export (1)'!C249*'Calcul des facteurs'!$B$4+'Calcul des facteurs'!$C$4</f>
        <v>3.9652675062233373</v>
      </c>
      <c r="D249">
        <f>'nebuleair_export (1)'!D249*'Calcul des facteurs'!$B$5+'Calcul des facteurs'!$C$5</f>
        <v>7.0154408204759315</v>
      </c>
    </row>
    <row r="250" spans="1:4">
      <c r="A250" t="s">
        <v>1857</v>
      </c>
      <c r="B250" t="e">
        <f>'nebuleair_export (1)'!B250*'Calcul des facteurs'!#REF!+'Calcul des facteurs'!#REF!</f>
        <v>#REF!</v>
      </c>
      <c r="C250">
        <f>'nebuleair_export (1)'!C250*'Calcul des facteurs'!$B$4+'Calcul des facteurs'!$C$4</f>
        <v>4.2273543553509123</v>
      </c>
      <c r="D250">
        <f>'nebuleair_export (1)'!D250*'Calcul des facteurs'!$B$5+'Calcul des facteurs'!$C$5</f>
        <v>7.2358986239370777</v>
      </c>
    </row>
    <row r="251" spans="1:4">
      <c r="A251" t="s">
        <v>1859</v>
      </c>
      <c r="B251" t="e">
        <f>'nebuleair_export (1)'!B251*'Calcul des facteurs'!#REF!+'Calcul des facteurs'!#REF!</f>
        <v>#REF!</v>
      </c>
      <c r="C251">
        <f>'nebuleair_export (1)'!C251*'Calcul des facteurs'!$B$4+'Calcul des facteurs'!$C$4</f>
        <v>3.9246625014289327</v>
      </c>
      <c r="D251">
        <f>'nebuleair_export (1)'!D251*'Calcul des facteurs'!$B$5+'Calcul des facteurs'!$C$5</f>
        <v>7.8972720343204994</v>
      </c>
    </row>
    <row r="252" spans="1:4">
      <c r="A252" t="s">
        <v>1861</v>
      </c>
      <c r="B252" t="e">
        <f>'nebuleair_export (1)'!B252*'Calcul des facteurs'!#REF!+'Calcul des facteurs'!#REF!</f>
        <v>#REF!</v>
      </c>
      <c r="C252">
        <f>'nebuleair_export (1)'!C252*'Calcul des facteurs'!$B$4+'Calcul des facteurs'!$C$4</f>
        <v>3.6072051912180689</v>
      </c>
      <c r="D252">
        <f>'nebuleair_export (1)'!D252*'Calcul des facteurs'!$B$5+'Calcul des facteurs'!$C$5</f>
        <v>6.6288846719413357</v>
      </c>
    </row>
    <row r="253" spans="1:4">
      <c r="A253" t="s">
        <v>1863</v>
      </c>
      <c r="B253" t="e">
        <f>'nebuleair_export (1)'!B253*'Calcul des facteurs'!#REF!+'Calcul des facteurs'!#REF!</f>
        <v>#REF!</v>
      </c>
      <c r="C253">
        <f>'nebuleair_export (1)'!C253*'Calcul des facteurs'!$B$4+'Calcul des facteurs'!$C$4</f>
        <v>4.744145325461619</v>
      </c>
      <c r="D253">
        <f>'nebuleair_export (1)'!D253*'Calcul des facteurs'!$B$5+'Calcul des facteurs'!$C$5</f>
        <v>7.9033119741413556</v>
      </c>
    </row>
    <row r="254" spans="1:4">
      <c r="A254" t="s">
        <v>1864</v>
      </c>
      <c r="B254" t="e">
        <f>'nebuleair_export (1)'!B254*'Calcul des facteurs'!#REF!+'Calcul des facteurs'!#REF!</f>
        <v>#REF!</v>
      </c>
      <c r="C254">
        <f>'nebuleair_export (1)'!C254*'Calcul des facteurs'!$B$4+'Calcul des facteurs'!$C$4</f>
        <v>4.5521943937062179</v>
      </c>
      <c r="D254">
        <f>'nebuleair_export (1)'!D254*'Calcul des facteurs'!$B$5+'Calcul des facteurs'!$C$5</f>
        <v>6.7949830170147942</v>
      </c>
    </row>
    <row r="255" spans="1:4">
      <c r="A255" t="s">
        <v>1866</v>
      </c>
      <c r="B255" t="e">
        <f>'nebuleair_export (1)'!B255*'Calcul des facteurs'!#REF!+'Calcul des facteurs'!#REF!</f>
        <v>#REF!</v>
      </c>
      <c r="C255">
        <f>'nebuleair_export (1)'!C255*'Calcul des facteurs'!$B$4+'Calcul des facteurs'!$C$4</f>
        <v>4.8142812428337818</v>
      </c>
      <c r="D255">
        <f>'nebuleair_export (1)'!D255*'Calcul des facteurs'!$B$5+'Calcul des facteurs'!$C$5</f>
        <v>7.2811981725934771</v>
      </c>
    </row>
    <row r="256" spans="1:4">
      <c r="A256" t="s">
        <v>1868</v>
      </c>
      <c r="B256" t="e">
        <f>'nebuleair_export (1)'!B256*'Calcul des facteurs'!#REF!+'Calcul des facteurs'!#REF!</f>
        <v>#REF!</v>
      </c>
      <c r="C256">
        <f>'nebuleair_export (1)'!C256*'Calcul des facteurs'!$B$4+'Calcul des facteurs'!$C$4</f>
        <v>4.991466718300309</v>
      </c>
      <c r="D256">
        <f>'nebuleair_export (1)'!D256*'Calcul des facteurs'!$B$5+'Calcul des facteurs'!$C$5</f>
        <v>9.380077260339954</v>
      </c>
    </row>
    <row r="257" spans="1:4">
      <c r="A257" t="s">
        <v>1870</v>
      </c>
      <c r="B257" t="e">
        <f>'nebuleair_export (1)'!B257*'Calcul des facteurs'!#REF!+'Calcul des facteurs'!#REF!</f>
        <v>#REF!</v>
      </c>
      <c r="C257">
        <f>'nebuleair_export (1)'!C257*'Calcul des facteurs'!$B$4+'Calcul des facteurs'!$C$4</f>
        <v>3.3155874295127474</v>
      </c>
      <c r="D257">
        <f>'nebuleair_export (1)'!D257*'Calcul des facteurs'!$B$5+'Calcul des facteurs'!$C$5</f>
        <v>6.3933270189280611</v>
      </c>
    </row>
    <row r="258" spans="1:4">
      <c r="A258" t="s">
        <v>1872</v>
      </c>
      <c r="B258" t="e">
        <f>'nebuleair_export (1)'!B258*'Calcul des facteurs'!#REF!+'Calcul des facteurs'!#REF!</f>
        <v>#REF!</v>
      </c>
      <c r="C258">
        <f>'nebuleair_export (1)'!C258*'Calcul des facteurs'!$B$4+'Calcul des facteurs'!$C$4</f>
        <v>3.9246625014289327</v>
      </c>
      <c r="D258">
        <f>'nebuleair_export (1)'!D258*'Calcul des facteurs'!$B$5+'Calcul des facteurs'!$C$5</f>
        <v>7.5741352539048519</v>
      </c>
    </row>
    <row r="259" spans="1:4">
      <c r="A259" t="s">
        <v>1874</v>
      </c>
      <c r="B259" t="e">
        <f>'nebuleair_export (1)'!B259*'Calcul des facteurs'!#REF!+'Calcul des facteurs'!#REF!</f>
        <v>#REF!</v>
      </c>
      <c r="C259">
        <f>'nebuleair_export (1)'!C259*'Calcul des facteurs'!$B$4+'Calcul des facteurs'!$C$4</f>
        <v>3.8213043074067961</v>
      </c>
      <c r="D259">
        <f>'nebuleair_export (1)'!D259*'Calcul des facteurs'!$B$5+'Calcul des facteurs'!$C$5</f>
        <v>6.8825621444171672</v>
      </c>
    </row>
    <row r="260" spans="1:4">
      <c r="A260" t="s">
        <v>1876</v>
      </c>
      <c r="B260" t="e">
        <f>'nebuleair_export (1)'!B260*'Calcul des facteurs'!#REF!+'Calcul des facteurs'!#REF!</f>
        <v>#REF!</v>
      </c>
      <c r="C260">
        <f>'nebuleair_export (1)'!C260*'Calcul des facteurs'!$B$4+'Calcul des facteurs'!$C$4</f>
        <v>4.4414534715396279</v>
      </c>
      <c r="D260">
        <f>'nebuleair_export (1)'!D260*'Calcul des facteurs'!$B$5+'Calcul des facteurs'!$C$5</f>
        <v>7.6949340503219208</v>
      </c>
    </row>
    <row r="261" spans="1:4">
      <c r="A261" t="s">
        <v>1878</v>
      </c>
      <c r="B261" t="e">
        <f>'nebuleair_export (1)'!B261*'Calcul des facteurs'!#REF!+'Calcul des facteurs'!#REF!</f>
        <v>#REF!</v>
      </c>
      <c r="C261">
        <f>'nebuleair_export (1)'!C261*'Calcul des facteurs'!$B$4+'Calcul des facteurs'!$C$4</f>
        <v>4.2421198116397969</v>
      </c>
      <c r="D261">
        <f>'nebuleair_export (1)'!D261*'Calcul des facteurs'!$B$5+'Calcul des facteurs'!$C$5</f>
        <v>7.3113978716977392</v>
      </c>
    </row>
    <row r="262" spans="1:4">
      <c r="A262" t="s">
        <v>1880</v>
      </c>
      <c r="B262" t="e">
        <f>'nebuleair_export (1)'!B262*'Calcul des facteurs'!#REF!+'Calcul des facteurs'!#REF!</f>
        <v>#REF!</v>
      </c>
      <c r="C262">
        <f>'nebuleair_export (1)'!C262*'Calcul des facteurs'!$B$4+'Calcul des facteurs'!$C$4</f>
        <v>5.7297395327441727</v>
      </c>
      <c r="D262">
        <f>'nebuleair_export (1)'!D262*'Calcul des facteurs'!$B$5+'Calcul des facteurs'!$C$5</f>
        <v>10.107890008752758</v>
      </c>
    </row>
    <row r="263" spans="1:4">
      <c r="A263" t="s">
        <v>1882</v>
      </c>
      <c r="B263" t="e">
        <f>'nebuleair_export (1)'!B263*'Calcul des facteurs'!#REF!+'Calcul des facteurs'!#REF!</f>
        <v>#REF!</v>
      </c>
      <c r="C263">
        <f>'nebuleair_export (1)'!C263*'Calcul des facteurs'!$B$4+'Calcul des facteurs'!$C$4</f>
        <v>5.6706777075886681</v>
      </c>
      <c r="D263">
        <f>'nebuleair_export (1)'!D263*'Calcul des facteurs'!$B$5+'Calcul des facteurs'!$C$5</f>
        <v>8.3955670695408848</v>
      </c>
    </row>
    <row r="264" spans="1:4">
      <c r="A264" t="s">
        <v>1885</v>
      </c>
      <c r="B264" t="e">
        <f>'nebuleair_export (1)'!B264*'Calcul des facteurs'!#REF!+'Calcul des facteurs'!#REF!</f>
        <v>#REF!</v>
      </c>
      <c r="C264">
        <f>'nebuleair_export (1)'!C264*'Calcul des facteurs'!$B$4+'Calcul des facteurs'!$C$4</f>
        <v>4.6186389470061657</v>
      </c>
      <c r="D264">
        <f>'nebuleair_export (1)'!D264*'Calcul des facteurs'!$B$5+'Calcul des facteurs'!$C$5</f>
        <v>7.4201167884730959</v>
      </c>
    </row>
    <row r="265" spans="1:4">
      <c r="A265" t="s">
        <v>1887</v>
      </c>
      <c r="B265" t="e">
        <f>'nebuleair_export (1)'!B265*'Calcul des facteurs'!#REF!+'Calcul des facteurs'!#REF!</f>
        <v>#REF!</v>
      </c>
      <c r="C265">
        <f>'nebuleair_export (1)'!C265*'Calcul des facteurs'!$B$4+'Calcul des facteurs'!$C$4</f>
        <v>4.8770344320615138</v>
      </c>
      <c r="D265">
        <f>'nebuleair_export (1)'!D265*'Calcul des facteurs'!$B$5+'Calcul des facteurs'!$C$5</f>
        <v>7.6496345016655223</v>
      </c>
    </row>
    <row r="266" spans="1:4">
      <c r="A266" t="s">
        <v>1889</v>
      </c>
      <c r="B266" t="e">
        <f>'nebuleair_export (1)'!B266*'Calcul des facteurs'!#REF!+'Calcul des facteurs'!#REF!</f>
        <v>#REF!</v>
      </c>
      <c r="C266">
        <f>'nebuleair_export (1)'!C266*'Calcul des facteurs'!$B$4+'Calcul des facteurs'!$C$4</f>
        <v>4.6740094080894554</v>
      </c>
      <c r="D266">
        <f>'nebuleair_export (1)'!D266*'Calcul des facteurs'!$B$5+'Calcul des facteurs'!$C$5</f>
        <v>7.1603993761764162</v>
      </c>
    </row>
    <row r="267" spans="1:4">
      <c r="A267" t="s">
        <v>1891</v>
      </c>
      <c r="B267" t="e">
        <f>'nebuleair_export (1)'!B267*'Calcul des facteurs'!#REF!+'Calcul des facteurs'!#REF!</f>
        <v>#REF!</v>
      </c>
      <c r="C267">
        <f>'nebuleair_export (1)'!C267*'Calcul des facteurs'!$B$4+'Calcul des facteurs'!$C$4</f>
        <v>4.7773676021115925</v>
      </c>
      <c r="D267">
        <f>'nebuleair_export (1)'!D267*'Calcul des facteurs'!$B$5+'Calcul des facteurs'!$C$5</f>
        <v>8.6160248730020221</v>
      </c>
    </row>
    <row r="268" spans="1:4">
      <c r="A268" t="s">
        <v>1893</v>
      </c>
      <c r="B268" t="e">
        <f>'nebuleair_export (1)'!B268*'Calcul des facteurs'!#REF!+'Calcul des facteurs'!#REF!</f>
        <v>#REF!</v>
      </c>
      <c r="C268">
        <f>'nebuleair_export (1)'!C268*'Calcul des facteurs'!$B$4+'Calcul des facteurs'!$C$4</f>
        <v>4.4894412044784868</v>
      </c>
      <c r="D268">
        <f>'nebuleair_export (1)'!D268*'Calcul des facteurs'!$B$5+'Calcul des facteurs'!$C$5</f>
        <v>7.0275207001176438</v>
      </c>
    </row>
    <row r="269" spans="1:4">
      <c r="A269" t="s">
        <v>1895</v>
      </c>
      <c r="B269" t="e">
        <f>'nebuleair_export (1)'!B269*'Calcul des facteurs'!#REF!+'Calcul des facteurs'!#REF!</f>
        <v>#REF!</v>
      </c>
      <c r="C269">
        <f>'nebuleair_export (1)'!C269*'Calcul des facteurs'!$B$4+'Calcul des facteurs'!$C$4</f>
        <v>4.282724816434202</v>
      </c>
      <c r="D269">
        <f>'nebuleair_export (1)'!D269*'Calcul des facteurs'!$B$5+'Calcul des facteurs'!$C$5</f>
        <v>7.1120798576095847</v>
      </c>
    </row>
    <row r="270" spans="1:4">
      <c r="A270" t="s">
        <v>1896</v>
      </c>
      <c r="B270" t="e">
        <f>'nebuleair_export (1)'!B270*'Calcul des facteurs'!#REF!+'Calcul des facteurs'!#REF!</f>
        <v>#REF!</v>
      </c>
      <c r="C270">
        <f>'nebuleair_export (1)'!C270*'Calcul des facteurs'!$B$4+'Calcul des facteurs'!$C$4</f>
        <v>3.5887483708569685</v>
      </c>
      <c r="D270">
        <f>'nebuleair_export (1)'!D270*'Calcul des facteurs'!$B$5+'Calcul des facteurs'!$C$5</f>
        <v>6.3540674100925099</v>
      </c>
    </row>
    <row r="271" spans="1:4">
      <c r="A271" t="s">
        <v>1898</v>
      </c>
      <c r="B271" t="e">
        <f>'nebuleair_export (1)'!B271*'Calcul des facteurs'!#REF!+'Calcul des facteurs'!#REF!</f>
        <v>#REF!</v>
      </c>
      <c r="C271">
        <f>'nebuleair_export (1)'!C271*'Calcul des facteurs'!$B$4+'Calcul des facteurs'!$C$4</f>
        <v>3.0424264881685148</v>
      </c>
      <c r="D271">
        <f>'nebuleair_export (1)'!D271*'Calcul des facteurs'!$B$5+'Calcul des facteurs'!$C$5</f>
        <v>7.335557630981155</v>
      </c>
    </row>
    <row r="272" spans="1:4">
      <c r="A272" t="s">
        <v>1900</v>
      </c>
      <c r="B272" t="e">
        <f>'nebuleair_export (1)'!B272*'Calcul des facteurs'!#REF!+'Calcul des facteurs'!#REF!</f>
        <v>#REF!</v>
      </c>
      <c r="C272">
        <f>'nebuleair_export (1)'!C272*'Calcul des facteurs'!$B$4+'Calcul des facteurs'!$C$4</f>
        <v>3.5333779097736899</v>
      </c>
      <c r="D272">
        <f>'nebuleair_export (1)'!D272*'Calcul des facteurs'!$B$5+'Calcul des facteurs'!$C$5</f>
        <v>6.3963469888384852</v>
      </c>
    </row>
    <row r="273" spans="1:4">
      <c r="A273" t="s">
        <v>1901</v>
      </c>
      <c r="B273" t="e">
        <f>'nebuleair_export (1)'!B273*'Calcul des facteurs'!#REF!+'Calcul des facteurs'!#REF!</f>
        <v>#REF!</v>
      </c>
      <c r="C273">
        <f>'nebuleair_export (1)'!C273*'Calcul des facteurs'!$B$4+'Calcul des facteurs'!$C$4</f>
        <v>3.7511683900346218</v>
      </c>
      <c r="D273">
        <f>'nebuleair_export (1)'!D273*'Calcul des facteurs'!$B$5+'Calcul des facteurs'!$C$5</f>
        <v>8.0845101687669505</v>
      </c>
    </row>
    <row r="274" spans="1:4">
      <c r="A274" t="s">
        <v>1902</v>
      </c>
      <c r="B274" t="e">
        <f>'nebuleair_export (1)'!B274*'Calcul des facteurs'!#REF!+'Calcul des facteurs'!#REF!</f>
        <v>#REF!</v>
      </c>
      <c r="C274">
        <f>'nebuleair_export (1)'!C274*'Calcul des facteurs'!$B$4+'Calcul des facteurs'!$C$4</f>
        <v>4.205206170917597</v>
      </c>
      <c r="D274">
        <f>'nebuleair_export (1)'!D274*'Calcul des facteurs'!$B$5+'Calcul des facteurs'!$C$5</f>
        <v>7.2358986239370777</v>
      </c>
    </row>
    <row r="275" spans="1:4">
      <c r="A275" t="s">
        <v>1904</v>
      </c>
      <c r="B275" t="e">
        <f>'nebuleair_export (1)'!B275*'Calcul des facteurs'!#REF!+'Calcul des facteurs'!#REF!</f>
        <v>#REF!</v>
      </c>
      <c r="C275">
        <f>'nebuleair_export (1)'!C275*'Calcul des facteurs'!$B$4+'Calcul des facteurs'!$C$4</f>
        <v>3.8951315888511746</v>
      </c>
      <c r="D275">
        <f>'nebuleair_export (1)'!D275*'Calcul des facteurs'!$B$5+'Calcul des facteurs'!$C$5</f>
        <v>7.2509984734892043</v>
      </c>
    </row>
    <row r="276" spans="1:4">
      <c r="A276" t="s">
        <v>1907</v>
      </c>
      <c r="B276" t="e">
        <f>'nebuleair_export (1)'!B276*'Calcul des facteurs'!#REF!+'Calcul des facteurs'!#REF!</f>
        <v>#REF!</v>
      </c>
      <c r="C276">
        <f>'nebuleair_export (1)'!C276*'Calcul des facteurs'!$B$4+'Calcul des facteurs'!$C$4</f>
        <v>3.655192924156927</v>
      </c>
      <c r="D276">
        <f>'nebuleair_export (1)'!D276*'Calcul des facteurs'!$B$5+'Calcul des facteurs'!$C$5</f>
        <v>7.486556126502478</v>
      </c>
    </row>
    <row r="277" spans="1:4">
      <c r="A277" t="s">
        <v>1908</v>
      </c>
      <c r="B277" t="e">
        <f>'nebuleair_export (1)'!B277*'Calcul des facteurs'!#REF!+'Calcul des facteurs'!#REF!</f>
        <v>#REF!</v>
      </c>
      <c r="C277">
        <f>'nebuleair_export (1)'!C277*'Calcul des facteurs'!$B$4+'Calcul des facteurs'!$C$4</f>
        <v>3.4263283516793264</v>
      </c>
      <c r="D277">
        <f>'nebuleair_export (1)'!D277*'Calcul des facteurs'!$B$5+'Calcul des facteurs'!$C$5</f>
        <v>6.2664882826901458</v>
      </c>
    </row>
    <row r="278" spans="1:4">
      <c r="A278" t="s">
        <v>1910</v>
      </c>
      <c r="B278" t="e">
        <f>'nebuleair_export (1)'!B278*'Calcul des facteurs'!#REF!+'Calcul des facteurs'!#REF!</f>
        <v>#REF!</v>
      </c>
      <c r="C278">
        <f>'nebuleair_export (1)'!C278*'Calcul des facteurs'!$B$4+'Calcul des facteurs'!$C$4</f>
        <v>2.6695987168743724</v>
      </c>
      <c r="D278">
        <f>'nebuleair_export (1)'!D278*'Calcul des facteurs'!$B$5+'Calcul des facteurs'!$C$5</f>
        <v>5.1943989644887116</v>
      </c>
    </row>
    <row r="279" spans="1:4">
      <c r="A279" t="s">
        <v>1913</v>
      </c>
      <c r="B279" t="e">
        <f>'nebuleair_export (1)'!B279*'Calcul des facteurs'!#REF!+'Calcul des facteurs'!#REF!</f>
        <v>#REF!</v>
      </c>
      <c r="C279">
        <f>'nebuleair_export (1)'!C279*'Calcul des facteurs'!$B$4+'Calcul des facteurs'!$C$4</f>
        <v>2.9796732989407939</v>
      </c>
      <c r="D279">
        <f>'nebuleair_export (1)'!D279*'Calcul des facteurs'!$B$5+'Calcul des facteurs'!$C$5</f>
        <v>6.8402825656711927</v>
      </c>
    </row>
    <row r="280" spans="1:4">
      <c r="A280" t="s">
        <v>1915</v>
      </c>
      <c r="B280" t="e">
        <f>'nebuleair_export (1)'!B280*'Calcul des facteurs'!#REF!+'Calcul des facteurs'!#REF!</f>
        <v>#REF!</v>
      </c>
      <c r="C280">
        <f>'nebuleair_export (1)'!C280*'Calcul des facteurs'!$B$4+'Calcul des facteurs'!$C$4</f>
        <v>2.374289591096824</v>
      </c>
      <c r="D280">
        <f>'nebuleair_export (1)'!D280*'Calcul des facteurs'!$B$5+'Calcul des facteurs'!$C$5</f>
        <v>5.7017539094403773</v>
      </c>
    </row>
    <row r="281" spans="1:4">
      <c r="A281" t="s">
        <v>1916</v>
      </c>
      <c r="B281" t="e">
        <f>'nebuleair_export (1)'!B281*'Calcul des facteurs'!#REF!+'Calcul des facteurs'!#REF!</f>
        <v>#REF!</v>
      </c>
      <c r="C281">
        <f>'nebuleair_export (1)'!C281*'Calcul des facteurs'!$B$4+'Calcul des facteurs'!$C$4</f>
        <v>2.8578582845575569</v>
      </c>
      <c r="D281">
        <f>'nebuleair_export (1)'!D281*'Calcul des facteurs'!$B$5+'Calcul des facteurs'!$C$5</f>
        <v>6.5835851232849354</v>
      </c>
    </row>
    <row r="282" spans="1:4">
      <c r="A282" t="s">
        <v>1918</v>
      </c>
      <c r="B282" t="e">
        <f>'nebuleair_export (1)'!B282*'Calcul des facteurs'!#REF!+'Calcul des facteurs'!#REF!</f>
        <v>#REF!</v>
      </c>
      <c r="C282">
        <f>'nebuleair_export (1)'!C282*'Calcul des facteurs'!$B$4+'Calcul des facteurs'!$C$4</f>
        <v>3.529686545701463</v>
      </c>
      <c r="D282">
        <f>'nebuleair_export (1)'!D282*'Calcul des facteurs'!$B$5+'Calcul des facteurs'!$C$5</f>
        <v>6.631904641851758</v>
      </c>
    </row>
    <row r="283" spans="1:4">
      <c r="A283" t="s">
        <v>1920</v>
      </c>
      <c r="B283" t="e">
        <f>'nebuleair_export (1)'!B283*'Calcul des facteurs'!#REF!+'Calcul des facteurs'!#REF!</f>
        <v>#REF!</v>
      </c>
      <c r="C283">
        <f>'nebuleair_export (1)'!C283*'Calcul des facteurs'!$B$4+'Calcul des facteurs'!$C$4</f>
        <v>2.2598573048580297</v>
      </c>
      <c r="D283">
        <f>'nebuleair_export (1)'!D283*'Calcul des facteurs'!$B$5+'Calcul des facteurs'!$C$5</f>
        <v>5.022260679594396</v>
      </c>
    </row>
    <row r="284" spans="1:4">
      <c r="A284" t="s">
        <v>1922</v>
      </c>
      <c r="B284" t="e">
        <f>'nebuleair_export (1)'!B284*'Calcul des facteurs'!#REF!+'Calcul des facteurs'!#REF!</f>
        <v>#REF!</v>
      </c>
      <c r="C284">
        <f>'nebuleair_export (1)'!C284*'Calcul des facteurs'!$B$4+'Calcul des facteurs'!$C$4</f>
        <v>2.5773146150688824</v>
      </c>
      <c r="D284">
        <f>'nebuleair_export (1)'!D284*'Calcul des facteurs'!$B$5+'Calcul des facteurs'!$C$5</f>
        <v>5.4994159254417898</v>
      </c>
    </row>
    <row r="285" spans="1:4">
      <c r="A285" t="s">
        <v>1924</v>
      </c>
      <c r="B285" t="e">
        <f>'nebuleair_export (1)'!B285*'Calcul des facteurs'!#REF!+'Calcul des facteurs'!#REF!</f>
        <v>#REF!</v>
      </c>
      <c r="C285">
        <f>'nebuleair_export (1)'!C285*'Calcul des facteurs'!$B$4+'Calcul des facteurs'!$C$4</f>
        <v>2.2783141252191186</v>
      </c>
      <c r="D285">
        <f>'nebuleair_export (1)'!D285*'Calcul des facteurs'!$B$5+'Calcul des facteurs'!$C$5</f>
        <v>5.0162207397735408</v>
      </c>
    </row>
    <row r="286" spans="1:4">
      <c r="A286" t="s">
        <v>1926</v>
      </c>
      <c r="B286" t="e">
        <f>'nebuleair_export (1)'!B286*'Calcul des facteurs'!#REF!+'Calcul des facteurs'!#REF!</f>
        <v>#REF!</v>
      </c>
      <c r="C286">
        <f>'nebuleair_export (1)'!C286*'Calcul des facteurs'!$B$4+'Calcul des facteurs'!$C$4</f>
        <v>2.3152277659413079</v>
      </c>
      <c r="D286">
        <f>'nebuleair_export (1)'!D286*'Calcul des facteurs'!$B$5+'Calcul des facteurs'!$C$5</f>
        <v>6.0822701181541179</v>
      </c>
    </row>
    <row r="287" spans="1:4">
      <c r="A287" t="s">
        <v>1928</v>
      </c>
      <c r="B287" t="e">
        <f>'nebuleair_export (1)'!B287*'Calcul des facteurs'!#REF!+'Calcul des facteurs'!#REF!</f>
        <v>#REF!</v>
      </c>
      <c r="C287">
        <f>'nebuleair_export (1)'!C287*'Calcul des facteurs'!$B$4+'Calcul des facteurs'!$C$4</f>
        <v>2.6880555372354618</v>
      </c>
      <c r="D287">
        <f>'nebuleair_export (1)'!D287*'Calcul des facteurs'!$B$5+'Calcul des facteurs'!$C$5</f>
        <v>5.2185587237721185</v>
      </c>
    </row>
    <row r="288" spans="1:4">
      <c r="A288" t="s">
        <v>1930</v>
      </c>
      <c r="B288" t="e">
        <f>'nebuleair_export (1)'!B288*'Calcul des facteurs'!#REF!+'Calcul des facteurs'!#REF!</f>
        <v>#REF!</v>
      </c>
      <c r="C288">
        <f>'nebuleair_export (1)'!C288*'Calcul des facteurs'!$B$4+'Calcul des facteurs'!$C$4</f>
        <v>2.7840310031131672</v>
      </c>
      <c r="D288">
        <f>'nebuleair_export (1)'!D288*'Calcul des facteurs'!$B$5+'Calcul des facteurs'!$C$5</f>
        <v>6.9822211514612453</v>
      </c>
    </row>
    <row r="289" spans="1:4">
      <c r="A289" t="s">
        <v>1932</v>
      </c>
      <c r="B289" t="e">
        <f>'nebuleair_export (1)'!B289*'Calcul des facteurs'!#REF!+'Calcul des facteurs'!#REF!</f>
        <v>#REF!</v>
      </c>
      <c r="C289">
        <f>'nebuleair_export (1)'!C289*'Calcul des facteurs'!$B$4+'Calcul des facteurs'!$C$4</f>
        <v>2.5699318869244401</v>
      </c>
      <c r="D289">
        <f>'nebuleair_export (1)'!D289*'Calcul des facteurs'!$B$5+'Calcul des facteurs'!$C$5</f>
        <v>5.2276186335033978</v>
      </c>
    </row>
    <row r="290" spans="1:4">
      <c r="A290" t="s">
        <v>1933</v>
      </c>
      <c r="B290" t="e">
        <f>'nebuleair_export (1)'!B290*'Calcul des facteurs'!#REF!+'Calcul des facteurs'!#REF!</f>
        <v>#REF!</v>
      </c>
      <c r="C290">
        <f>'nebuleair_export (1)'!C290*'Calcul des facteurs'!$B$4+'Calcul des facteurs'!$C$4</f>
        <v>3.1826983229128523</v>
      </c>
      <c r="D290">
        <f>'nebuleair_export (1)'!D290*'Calcul des facteurs'!$B$5+'Calcul des facteurs'!$C$5</f>
        <v>6.5896250631057836</v>
      </c>
    </row>
    <row r="291" spans="1:4">
      <c r="A291" t="s">
        <v>1934</v>
      </c>
      <c r="B291" t="e">
        <f>'nebuleair_export (1)'!B291*'Calcul des facteurs'!#REF!+'Calcul des facteurs'!#REF!</f>
        <v>#REF!</v>
      </c>
      <c r="C291">
        <f>'nebuleair_export (1)'!C291*'Calcul des facteurs'!$B$4+'Calcul des facteurs'!$C$4</f>
        <v>2.824636007907583</v>
      </c>
      <c r="D291">
        <f>'nebuleair_export (1)'!D291*'Calcul des facteurs'!$B$5+'Calcul des facteurs'!$C$5</f>
        <v>6.3933270189280611</v>
      </c>
    </row>
    <row r="292" spans="1:4">
      <c r="A292" t="s">
        <v>1935</v>
      </c>
      <c r="B292" t="e">
        <f>'nebuleair_export (1)'!B292*'Calcul des facteurs'!#REF!+'Calcul des facteurs'!#REF!</f>
        <v>#REF!</v>
      </c>
      <c r="C292">
        <f>'nebuleair_export (1)'!C292*'Calcul des facteurs'!$B$4+'Calcul des facteurs'!$C$4</f>
        <v>3.7105633852402167</v>
      </c>
      <c r="D292">
        <f>'nebuleair_export (1)'!D292*'Calcul des facteurs'!$B$5+'Calcul des facteurs'!$C$5</f>
        <v>5.8950319837076757</v>
      </c>
    </row>
    <row r="293" spans="1:4">
      <c r="A293" t="s">
        <v>1937</v>
      </c>
      <c r="B293" t="e">
        <f>'nebuleair_export (1)'!B293*'Calcul des facteurs'!#REF!+'Calcul des facteurs'!#REF!</f>
        <v>#REF!</v>
      </c>
      <c r="C293">
        <f>'nebuleair_export (1)'!C293*'Calcul des facteurs'!$B$4+'Calcul des facteurs'!$C$4</f>
        <v>3.544452001990348</v>
      </c>
      <c r="D293">
        <f>'nebuleair_export (1)'!D293*'Calcul des facteurs'!$B$5+'Calcul des facteurs'!$C$5</f>
        <v>7.4050169389209701</v>
      </c>
    </row>
    <row r="294" spans="1:4">
      <c r="A294" t="s">
        <v>1939</v>
      </c>
      <c r="B294" t="e">
        <f>'nebuleair_export (1)'!B294*'Calcul des facteurs'!#REF!+'Calcul des facteurs'!#REF!</f>
        <v>#REF!</v>
      </c>
      <c r="C294">
        <f>'nebuleair_export (1)'!C294*'Calcul des facteurs'!$B$4+'Calcul des facteurs'!$C$4</f>
        <v>3.8176129433345691</v>
      </c>
      <c r="D294">
        <f>'nebuleair_export (1)'!D294*'Calcul des facteurs'!$B$5+'Calcul des facteurs'!$C$5</f>
        <v>7.1483194965347039</v>
      </c>
    </row>
    <row r="295" spans="1:4">
      <c r="A295" t="s">
        <v>1941</v>
      </c>
      <c r="B295" t="e">
        <f>'nebuleair_export (1)'!B295*'Calcul des facteurs'!#REF!+'Calcul des facteurs'!#REF!</f>
        <v>#REF!</v>
      </c>
      <c r="C295">
        <f>'nebuleair_export (1)'!C295*'Calcul des facteurs'!$B$4+'Calcul des facteurs'!$C$4</f>
        <v>3.6072051912180689</v>
      </c>
      <c r="D295">
        <f>'nebuleair_export (1)'!D295*'Calcul des facteurs'!$B$5+'Calcul des facteurs'!$C$5</f>
        <v>8.1056499581399333</v>
      </c>
    </row>
    <row r="296" spans="1:4">
      <c r="A296" t="s">
        <v>1942</v>
      </c>
      <c r="B296" t="e">
        <f>'nebuleair_export (1)'!B296*'Calcul des facteurs'!#REF!+'Calcul des facteurs'!#REF!</f>
        <v>#REF!</v>
      </c>
      <c r="C296">
        <f>'nebuleair_export (1)'!C296*'Calcul des facteurs'!$B$4+'Calcul des facteurs'!$C$4</f>
        <v>5.6891345279497569</v>
      </c>
      <c r="D296">
        <f>'nebuleair_export (1)'!D296*'Calcul des facteurs'!$B$5+'Calcul des facteurs'!$C$5</f>
        <v>8.002970981185431</v>
      </c>
    </row>
    <row r="297" spans="1:4">
      <c r="A297" t="s">
        <v>1944</v>
      </c>
      <c r="B297" t="e">
        <f>'nebuleair_export (1)'!B297*'Calcul des facteurs'!#REF!+'Calcul des facteurs'!#REF!</f>
        <v>#REF!</v>
      </c>
      <c r="C297">
        <f>'nebuleair_export (1)'!C297*'Calcul des facteurs'!$B$4+'Calcul des facteurs'!$C$4</f>
        <v>3.9726502343677801</v>
      </c>
      <c r="D297">
        <f>'nebuleair_export (1)'!D297*'Calcul des facteurs'!$B$5+'Calcul des facteurs'!$C$5</f>
        <v>6.6651243108664548</v>
      </c>
    </row>
    <row r="298" spans="1:4">
      <c r="A298" t="s">
        <v>1946</v>
      </c>
      <c r="B298" t="e">
        <f>'nebuleair_export (1)'!B298*'Calcul des facteurs'!#REF!+'Calcul des facteurs'!#REF!</f>
        <v>#REF!</v>
      </c>
      <c r="C298">
        <f>'nebuleair_export (1)'!C298*'Calcul des facteurs'!$B$4+'Calcul des facteurs'!$C$4</f>
        <v>4.2864161805064285</v>
      </c>
      <c r="D298">
        <f>'nebuleair_export (1)'!D298*'Calcul des facteurs'!$B$5+'Calcul des facteurs'!$C$5</f>
        <v>7.0214807602967877</v>
      </c>
    </row>
    <row r="299" spans="1:4">
      <c r="A299" t="s">
        <v>1948</v>
      </c>
      <c r="B299" t="e">
        <f>'nebuleair_export (1)'!B299*'Calcul des facteurs'!#REF!+'Calcul des facteurs'!#REF!</f>
        <v>#REF!</v>
      </c>
      <c r="C299">
        <f>'nebuleair_export (1)'!C299*'Calcul des facteurs'!$B$4+'Calcul des facteurs'!$C$4</f>
        <v>4.2679593601453281</v>
      </c>
      <c r="D299">
        <f>'nebuleair_export (1)'!D299*'Calcul des facteurs'!$B$5+'Calcul des facteurs'!$C$5</f>
        <v>6.4476864773157399</v>
      </c>
    </row>
    <row r="300" spans="1:4">
      <c r="A300" t="s">
        <v>1950</v>
      </c>
      <c r="B300" t="e">
        <f>'nebuleair_export (1)'!B300*'Calcul des facteurs'!#REF!+'Calcul des facteurs'!#REF!</f>
        <v>#REF!</v>
      </c>
      <c r="C300">
        <f>'nebuleair_export (1)'!C300*'Calcul des facteurs'!$B$4+'Calcul des facteurs'!$C$4</f>
        <v>4.7146144128838605</v>
      </c>
      <c r="D300">
        <f>'nebuleair_export (1)'!D300*'Calcul des facteurs'!$B$5+'Calcul des facteurs'!$C$5</f>
        <v>7.6707742910385051</v>
      </c>
    </row>
    <row r="301" spans="1:4">
      <c r="A301" t="s">
        <v>1952</v>
      </c>
      <c r="B301" t="e">
        <f>'nebuleair_export (1)'!B301*'Calcul des facteurs'!#REF!+'Calcul des facteurs'!#REF!</f>
        <v>#REF!</v>
      </c>
      <c r="C301">
        <f>'nebuleair_export (1)'!C301*'Calcul des facteurs'!$B$4+'Calcul des facteurs'!$C$4</f>
        <v>6.1468636729049591</v>
      </c>
      <c r="D301">
        <f>'nebuleair_export (1)'!D301*'Calcul des facteurs'!$B$5+'Calcul des facteurs'!$C$5</f>
        <v>8.1690693262588923</v>
      </c>
    </row>
    <row r="302" spans="1:4">
      <c r="A302" t="s">
        <v>1954</v>
      </c>
      <c r="B302" t="e">
        <f>'nebuleair_export (1)'!B302*'Calcul des facteurs'!#REF!+'Calcul des facteurs'!#REF!</f>
        <v>#REF!</v>
      </c>
      <c r="C302">
        <f>'nebuleair_export (1)'!C302*'Calcul des facteurs'!$B$4+'Calcul des facteurs'!$C$4</f>
        <v>10.011721856518571</v>
      </c>
      <c r="D302">
        <f>'nebuleair_export (1)'!D302*'Calcul des facteurs'!$B$5+'Calcul des facteurs'!$C$5</f>
        <v>12.47554641852714</v>
      </c>
    </row>
    <row r="303" spans="1:4">
      <c r="A303" t="s">
        <v>1957</v>
      </c>
      <c r="B303" t="e">
        <f>'nebuleair_export (1)'!B303*'Calcul des facteurs'!#REF!+'Calcul des facteurs'!#REF!</f>
        <v>#REF!</v>
      </c>
      <c r="C303">
        <f>'nebuleair_export (1)'!C303*'Calcul des facteurs'!$B$4+'Calcul des facteurs'!$C$4</f>
        <v>18.044130077667745</v>
      </c>
      <c r="D303">
        <f>'nebuleair_export (1)'!D303*'Calcul des facteurs'!$B$5+'Calcul des facteurs'!$C$5</f>
        <v>20.738184093454265</v>
      </c>
    </row>
    <row r="304" spans="1:4">
      <c r="A304" t="s">
        <v>1959</v>
      </c>
      <c r="B304" t="e">
        <f>'nebuleair_export (1)'!B304*'Calcul des facteurs'!#REF!+'Calcul des facteurs'!#REF!</f>
        <v>#REF!</v>
      </c>
      <c r="C304">
        <f>'nebuleair_export (1)'!C304*'Calcul des facteurs'!$B$4+'Calcul des facteurs'!$C$4</f>
        <v>13.570196822137946</v>
      </c>
      <c r="D304">
        <f>'nebuleair_export (1)'!D304*'Calcul des facteurs'!$B$5+'Calcul des facteurs'!$C$5</f>
        <v>15.909252206682163</v>
      </c>
    </row>
    <row r="305" spans="1:4">
      <c r="A305" t="s">
        <v>1962</v>
      </c>
      <c r="B305" t="e">
        <f>'nebuleair_export (1)'!B305*'Calcul des facteurs'!#REF!+'Calcul des facteurs'!#REF!</f>
        <v>#REF!</v>
      </c>
      <c r="C305">
        <f>'nebuleair_export (1)'!C305*'Calcul des facteurs'!$B$4+'Calcul des facteurs'!$C$4</f>
        <v>6.3166664202270431</v>
      </c>
      <c r="D305">
        <f>'nebuleair_export (1)'!D305*'Calcul des facteurs'!$B$5+'Calcul des facteurs'!$C$5</f>
        <v>8.4136868890034435</v>
      </c>
    </row>
    <row r="306" spans="1:4">
      <c r="A306" t="s">
        <v>1967</v>
      </c>
      <c r="B306" t="e">
        <f>'nebuleair_export (1)'!B306*'Calcul des facteurs'!#REF!+'Calcul des facteurs'!#REF!</f>
        <v>#REF!</v>
      </c>
      <c r="C306">
        <f>'nebuleair_export (1)'!C306*'Calcul des facteurs'!$B$4+'Calcul des facteurs'!$C$4</f>
        <v>9.0925722025359654</v>
      </c>
      <c r="D306">
        <f>'nebuleair_export (1)'!D306*'Calcul des facteurs'!$B$5+'Calcul des facteurs'!$C$5</f>
        <v>12.496686207900094</v>
      </c>
    </row>
    <row r="307" spans="1:4">
      <c r="A307" t="s">
        <v>1969</v>
      </c>
      <c r="B307" t="e">
        <f>'nebuleair_export (1)'!B307*'Calcul des facteurs'!#REF!+'Calcul des facteurs'!#REF!</f>
        <v>#REF!</v>
      </c>
      <c r="C307">
        <f>'nebuleair_export (1)'!C307*'Calcul des facteurs'!$B$4+'Calcul des facteurs'!$C$4</f>
        <v>4.3233298212286178</v>
      </c>
      <c r="D307">
        <f>'nebuleair_export (1)'!D307*'Calcul des facteurs'!$B$5+'Calcul des facteurs'!$C$5</f>
        <v>7.0607403691323389</v>
      </c>
    </row>
    <row r="308" spans="1:4">
      <c r="A308" t="s">
        <v>1971</v>
      </c>
      <c r="B308" t="e">
        <f>'nebuleair_export (1)'!B308*'Calcul des facteurs'!#REF!+'Calcul des facteurs'!#REF!</f>
        <v>#REF!</v>
      </c>
      <c r="C308">
        <f>'nebuleair_export (1)'!C308*'Calcul des facteurs'!$B$4+'Calcul des facteurs'!$C$4</f>
        <v>5.7740359016108052</v>
      </c>
      <c r="D308">
        <f>'nebuleair_export (1)'!D308*'Calcul des facteurs'!$B$5+'Calcul des facteurs'!$C$5</f>
        <v>8.3834871898991725</v>
      </c>
    </row>
    <row r="309" spans="1:4">
      <c r="A309" t="s">
        <v>1973</v>
      </c>
      <c r="B309" t="e">
        <f>'nebuleair_export (1)'!B309*'Calcul des facteurs'!#REF!+'Calcul des facteurs'!#REF!</f>
        <v>#REF!</v>
      </c>
      <c r="C309">
        <f>'nebuleair_export (1)'!C309*'Calcul des facteurs'!$B$4+'Calcul des facteurs'!$C$4</f>
        <v>12.400034411244389</v>
      </c>
      <c r="D309">
        <f>'nebuleair_export (1)'!D309*'Calcul des facteurs'!$B$5+'Calcul des facteurs'!$C$5</f>
        <v>14.903602226510111</v>
      </c>
    </row>
    <row r="310" spans="1:4">
      <c r="A310" t="s">
        <v>1975</v>
      </c>
      <c r="B310" t="e">
        <f>'nebuleair_export (1)'!B310*'Calcul des facteurs'!#REF!+'Calcul des facteurs'!#REF!</f>
        <v>#REF!</v>
      </c>
      <c r="C310">
        <f>'nebuleair_export (1)'!C310*'Calcul des facteurs'!$B$4+'Calcul des facteurs'!$C$4</f>
        <v>12.174861202839049</v>
      </c>
      <c r="D310">
        <f>'nebuleair_export (1)'!D310*'Calcul des facteurs'!$B$5+'Calcul des facteurs'!$C$5</f>
        <v>14.776763490272195</v>
      </c>
    </row>
    <row r="311" spans="1:4">
      <c r="A311" t="s">
        <v>1979</v>
      </c>
      <c r="B311" t="e">
        <f>'nebuleair_export (1)'!B311*'Calcul des facteurs'!#REF!+'Calcul des facteurs'!#REF!</f>
        <v>#REF!</v>
      </c>
      <c r="C311">
        <f>'nebuleair_export (1)'!C311*'Calcul des facteurs'!$B$4+'Calcul des facteurs'!$C$4</f>
        <v>12.152713018405732</v>
      </c>
      <c r="D311">
        <f>'nebuleair_export (1)'!D311*'Calcul des facteurs'!$B$5+'Calcul des facteurs'!$C$5</f>
        <v>14.468726559408685</v>
      </c>
    </row>
    <row r="312" spans="1:4">
      <c r="A312" t="s">
        <v>1982</v>
      </c>
      <c r="B312" t="e">
        <f>'nebuleair_export (1)'!B312*'Calcul des facteurs'!#REF!+'Calcul des facteurs'!#REF!</f>
        <v>#REF!</v>
      </c>
      <c r="C312">
        <f>'nebuleair_export (1)'!C312*'Calcul des facteurs'!$B$4+'Calcul des facteurs'!$C$4</f>
        <v>10.044944133168547</v>
      </c>
      <c r="D312">
        <f>'nebuleair_export (1)'!D312*'Calcul des facteurs'!$B$5+'Calcul des facteurs'!$C$5</f>
        <v>12.409107080497785</v>
      </c>
    </row>
    <row r="313" spans="1:4">
      <c r="A313" t="s">
        <v>1987</v>
      </c>
      <c r="B313" t="e">
        <f>'nebuleair_export (1)'!B313*'Calcul des facteurs'!#REF!+'Calcul des facteurs'!#REF!</f>
        <v>#REF!</v>
      </c>
      <c r="C313">
        <f>'nebuleair_export (1)'!C313*'Calcul des facteurs'!$B$4+'Calcul des facteurs'!$C$4</f>
        <v>17.630697301579222</v>
      </c>
      <c r="D313">
        <f>'nebuleair_export (1)'!D313*'Calcul des facteurs'!$B$5+'Calcul des facteurs'!$C$5</f>
        <v>18.065510722726742</v>
      </c>
    </row>
    <row r="314" spans="1:4">
      <c r="A314" t="s">
        <v>1990</v>
      </c>
      <c r="B314" t="e">
        <f>'nebuleair_export (1)'!B314*'Calcul des facteurs'!#REF!+'Calcul des facteurs'!#REF!</f>
        <v>#REF!</v>
      </c>
      <c r="C314">
        <f>'nebuleair_export (1)'!C314*'Calcul des facteurs'!$B$4+'Calcul des facteurs'!$C$4</f>
        <v>16.933029491929769</v>
      </c>
      <c r="D314">
        <f>'nebuleair_export (1)'!D314*'Calcul des facteurs'!$B$5+'Calcul des facteurs'!$C$5</f>
        <v>19.152699890480314</v>
      </c>
    </row>
    <row r="315" spans="1:4">
      <c r="A315" t="s">
        <v>1993</v>
      </c>
      <c r="B315" t="e">
        <f>'nebuleair_export (1)'!B315*'Calcul des facteurs'!#REF!+'Calcul des facteurs'!#REF!</f>
        <v>#REF!</v>
      </c>
      <c r="C315">
        <f>'nebuleair_export (1)'!C315*'Calcul des facteurs'!$B$4+'Calcul des facteurs'!$C$4</f>
        <v>15.079964727675605</v>
      </c>
      <c r="D315">
        <f>'nebuleair_export (1)'!D315*'Calcul des facteurs'!$B$5+'Calcul des facteurs'!$C$5</f>
        <v>17.277298576105402</v>
      </c>
    </row>
    <row r="316" spans="1:4">
      <c r="A316" t="s">
        <v>1995</v>
      </c>
      <c r="B316" t="e">
        <f>'nebuleair_export (1)'!B316*'Calcul des facteurs'!#REF!+'Calcul des facteurs'!#REF!</f>
        <v>#REF!</v>
      </c>
      <c r="C316">
        <f>'nebuleair_export (1)'!C316*'Calcul des facteurs'!$B$4+'Calcul des facteurs'!$C$4</f>
        <v>15.943743920574923</v>
      </c>
      <c r="D316">
        <f>'nebuleair_export (1)'!D316*'Calcul des facteurs'!$B$5+'Calcul des facteurs'!$C$5</f>
        <v>17.721234152938113</v>
      </c>
    </row>
    <row r="317" spans="1:4">
      <c r="A317" t="s">
        <v>2000</v>
      </c>
      <c r="B317" t="e">
        <f>'nebuleair_export (1)'!B317*'Calcul des facteurs'!#REF!+'Calcul des facteurs'!#REF!</f>
        <v>#REF!</v>
      </c>
      <c r="C317">
        <f>'nebuleair_export (1)'!C317*'Calcul des facteurs'!$B$4+'Calcul des facteurs'!$C$4</f>
        <v>16.3719421529524</v>
      </c>
      <c r="D317">
        <f>'nebuleair_export (1)'!D317*'Calcul des facteurs'!$B$5+'Calcul des facteurs'!$C$5</f>
        <v>18.409787292515372</v>
      </c>
    </row>
    <row r="318" spans="1:4">
      <c r="A318" t="s">
        <v>2004</v>
      </c>
      <c r="B318" t="e">
        <f>'nebuleair_export (1)'!B318*'Calcul des facteurs'!#REF!+'Calcul des facteurs'!#REF!</f>
        <v>#REF!</v>
      </c>
      <c r="C318">
        <f>'nebuleair_export (1)'!C318*'Calcul des facteurs'!$B$4+'Calcul des facteurs'!$C$4</f>
        <v>17.427672277607083</v>
      </c>
      <c r="D318">
        <f>'nebuleair_export (1)'!D318*'Calcul des facteurs'!$B$5+'Calcul des facteurs'!$C$5</f>
        <v>20.723084243902107</v>
      </c>
    </row>
    <row r="319" spans="1:4">
      <c r="A319" t="s">
        <v>2007</v>
      </c>
      <c r="B319" t="e">
        <f>'nebuleair_export (1)'!B319*'Calcul des facteurs'!#REF!+'Calcul des facteurs'!#REF!</f>
        <v>#REF!</v>
      </c>
      <c r="C319">
        <f>'nebuleair_export (1)'!C319*'Calcul des facteurs'!$B$4+'Calcul des facteurs'!$C$4</f>
        <v>22.115704649325675</v>
      </c>
      <c r="D319">
        <f>'nebuleair_export (1)'!D319*'Calcul des facteurs'!$B$5+'Calcul des facteurs'!$C$5</f>
        <v>22.664924896306459</v>
      </c>
    </row>
    <row r="320" spans="1:4">
      <c r="A320" t="s">
        <v>2012</v>
      </c>
      <c r="B320" t="e">
        <f>'nebuleair_export (1)'!B320*'Calcul des facteurs'!#REF!+'Calcul des facteurs'!#REF!</f>
        <v>#REF!</v>
      </c>
      <c r="C320">
        <f>'nebuleair_export (1)'!C320*'Calcul des facteurs'!$B$4+'Calcul des facteurs'!$C$4</f>
        <v>25.04295635859555</v>
      </c>
      <c r="D320">
        <f>'nebuleair_export (1)'!D320*'Calcul des facteurs'!$B$5+'Calcul des facteurs'!$C$5</f>
        <v>27.164680062842095</v>
      </c>
    </row>
    <row r="321" spans="1:4">
      <c r="A321" t="s">
        <v>2016</v>
      </c>
      <c r="B321" t="e">
        <f>'nebuleair_export (1)'!B321*'Calcul des facteurs'!#REF!+'Calcul des facteurs'!#REF!</f>
        <v>#REF!</v>
      </c>
      <c r="C321">
        <f>'nebuleair_export (1)'!C321*'Calcul des facteurs'!$B$4+'Calcul des facteurs'!$C$4</f>
        <v>20.100219865893823</v>
      </c>
      <c r="D321">
        <f>'nebuleair_export (1)'!D321*'Calcul des facteurs'!$B$5+'Calcul des facteurs'!$C$5</f>
        <v>21.565655848911213</v>
      </c>
    </row>
    <row r="322" spans="1:4">
      <c r="A322" t="s">
        <v>2020</v>
      </c>
      <c r="B322" t="e">
        <f>'nebuleair_export (1)'!B322*'Calcul des facteurs'!#REF!+'Calcul des facteurs'!#REF!</f>
        <v>#REF!</v>
      </c>
      <c r="C322">
        <f>'nebuleair_export (1)'!C322*'Calcul des facteurs'!$B$4+'Calcul des facteurs'!$C$4</f>
        <v>19.085094746033587</v>
      </c>
      <c r="D322">
        <f>'nebuleair_export (1)'!D322*'Calcul des facteurs'!$B$5+'Calcul des facteurs'!$C$5</f>
        <v>19.952991916743414</v>
      </c>
    </row>
    <row r="323" spans="1:4">
      <c r="A323" t="s">
        <v>2024</v>
      </c>
      <c r="B323" t="e">
        <f>'nebuleair_export (1)'!B323*'Calcul des facteurs'!#REF!+'Calcul des facteurs'!#REF!</f>
        <v>#REF!</v>
      </c>
      <c r="C323">
        <f>'nebuleair_export (1)'!C323*'Calcul des facteurs'!$B$4+'Calcul des facteurs'!$C$4</f>
        <v>13.592345006571263</v>
      </c>
      <c r="D323">
        <f>'nebuleair_export (1)'!D323*'Calcul des facteurs'!$B$5+'Calcul des facteurs'!$C$5</f>
        <v>15.423037051103544</v>
      </c>
    </row>
    <row r="324" spans="1:4">
      <c r="A324" t="s">
        <v>2028</v>
      </c>
      <c r="B324" t="e">
        <f>'nebuleair_export (1)'!B324*'Calcul des facteurs'!#REF!+'Calcul des facteurs'!#REF!</f>
        <v>#REF!</v>
      </c>
      <c r="C324">
        <f>'nebuleair_export (1)'!C324*'Calcul des facteurs'!$B$4+'Calcul des facteurs'!$C$4</f>
        <v>10.325487802657209</v>
      </c>
      <c r="D324">
        <f>'nebuleair_export (1)'!D324*'Calcul des facteurs'!$B$5+'Calcul des facteurs'!$C$5</f>
        <v>14.100290230336611</v>
      </c>
    </row>
    <row r="325" spans="1:4">
      <c r="A325" t="s">
        <v>2030</v>
      </c>
      <c r="B325" t="e">
        <f>'nebuleair_export (1)'!B325*'Calcul des facteurs'!#REF!+'Calcul des facteurs'!#REF!</f>
        <v>#REF!</v>
      </c>
      <c r="C325">
        <f>'nebuleair_export (1)'!C325*'Calcul des facteurs'!$B$4+'Calcul des facteurs'!$C$4</f>
        <v>9.0187449210915762</v>
      </c>
      <c r="D325">
        <f>'nebuleair_export (1)'!D325*'Calcul des facteurs'!$B$5+'Calcul des facteurs'!$C$5</f>
        <v>11.19809914641675</v>
      </c>
    </row>
    <row r="326" spans="1:4">
      <c r="A326" t="s">
        <v>2032</v>
      </c>
      <c r="B326" t="e">
        <f>'nebuleair_export (1)'!B326*'Calcul des facteurs'!#REF!+'Calcul des facteurs'!#REF!</f>
        <v>#REF!</v>
      </c>
      <c r="C326">
        <f>'nebuleair_export (1)'!C326*'Calcul des facteurs'!$B$4+'Calcul des facteurs'!$C$4</f>
        <v>7.9999284371590464</v>
      </c>
      <c r="D326">
        <f>'nebuleair_export (1)'!D326*'Calcul des facteurs'!$B$5+'Calcul des facteurs'!$C$5</f>
        <v>9.7122739504868711</v>
      </c>
    </row>
    <row r="327" spans="1:4">
      <c r="A327" t="s">
        <v>2034</v>
      </c>
      <c r="B327" t="e">
        <f>'nebuleair_export (1)'!B327*'Calcul des facteurs'!#REF!+'Calcul des facteurs'!#REF!</f>
        <v>#REF!</v>
      </c>
      <c r="C327">
        <f>'nebuleair_export (1)'!C327*'Calcul des facteurs'!$B$4+'Calcul des facteurs'!$C$4</f>
        <v>10.288574161935019</v>
      </c>
      <c r="D327">
        <f>'nebuleair_export (1)'!D327*'Calcul des facteurs'!$B$5+'Calcul des facteurs'!$C$5</f>
        <v>12.206769096499235</v>
      </c>
    </row>
    <row r="328" spans="1:4">
      <c r="A328" t="s">
        <v>2036</v>
      </c>
      <c r="B328" t="e">
        <f>'nebuleair_export (1)'!B328*'Calcul des facteurs'!#REF!+'Calcul des facteurs'!#REF!</f>
        <v>#REF!</v>
      </c>
      <c r="C328">
        <f>'nebuleair_export (1)'!C328*'Calcul des facteurs'!$B$4+'Calcul des facteurs'!$C$4</f>
        <v>16.165225764908079</v>
      </c>
      <c r="D328">
        <f>'nebuleair_export (1)'!D328*'Calcul des facteurs'!$B$5+'Calcul des facteurs'!$C$5</f>
        <v>18.225569127979384</v>
      </c>
    </row>
    <row r="329" spans="1:4">
      <c r="A329" t="s">
        <v>2038</v>
      </c>
      <c r="B329" t="e">
        <f>'nebuleair_export (1)'!B329*'Calcul des facteurs'!#REF!+'Calcul des facteurs'!#REF!</f>
        <v>#REF!</v>
      </c>
      <c r="C329">
        <f>'nebuleair_export (1)'!C329*'Calcul des facteurs'!$B$4+'Calcul des facteurs'!$C$4</f>
        <v>8.8895471785638946</v>
      </c>
      <c r="D329">
        <f>'nebuleair_export (1)'!D329*'Calcul des facteurs'!$B$5+'Calcul des facteurs'!$C$5</f>
        <v>10.530685796212472</v>
      </c>
    </row>
    <row r="330" spans="1:4">
      <c r="A330" t="s">
        <v>2042</v>
      </c>
      <c r="B330" t="e">
        <f>'nebuleair_export (1)'!B330*'Calcul des facteurs'!#REF!+'Calcul des facteurs'!#REF!</f>
        <v>#REF!</v>
      </c>
      <c r="C330">
        <f>'nebuleair_export (1)'!C330*'Calcul des facteurs'!$B$4+'Calcul des facteurs'!$C$4</f>
        <v>8.4798057665475515</v>
      </c>
      <c r="D330">
        <f>'nebuleair_export (1)'!D330*'Calcul des facteurs'!$B$5+'Calcul des facteurs'!$C$5</f>
        <v>12.300388163722427</v>
      </c>
    </row>
    <row r="331" spans="1:4">
      <c r="A331" t="s">
        <v>2044</v>
      </c>
      <c r="B331" t="e">
        <f>'nebuleair_export (1)'!B331*'Calcul des facteurs'!#REF!+'Calcul des facteurs'!#REF!</f>
        <v>#REF!</v>
      </c>
      <c r="C331">
        <f>'nebuleair_export (1)'!C331*'Calcul des facteurs'!$B$4+'Calcul des facteurs'!$C$4</f>
        <v>8.365373480308758</v>
      </c>
      <c r="D331">
        <f>'nebuleair_export (1)'!D331*'Calcul des facteurs'!$B$5+'Calcul des facteurs'!$C$5</f>
        <v>10.280028293647071</v>
      </c>
    </row>
    <row r="332" spans="1:4">
      <c r="A332" t="s">
        <v>2046</v>
      </c>
      <c r="B332" t="e">
        <f>'nebuleair_export (1)'!B332*'Calcul des facteurs'!#REF!+'Calcul des facteurs'!#REF!</f>
        <v>#REF!</v>
      </c>
      <c r="C332">
        <f>'nebuleair_export (1)'!C332*'Calcul des facteurs'!$B$4+'Calcul des facteurs'!$C$4</f>
        <v>9.3620417798079707</v>
      </c>
      <c r="D332">
        <f>'nebuleair_export (1)'!D332*'Calcul des facteurs'!$B$5+'Calcul des facteurs'!$C$5</f>
        <v>11.466876468444719</v>
      </c>
    </row>
    <row r="333" spans="1:4">
      <c r="A333" t="s">
        <v>2048</v>
      </c>
      <c r="B333" t="e">
        <f>'nebuleair_export (1)'!B333*'Calcul des facteurs'!#REF!+'Calcul des facteurs'!#REF!</f>
        <v>#REF!</v>
      </c>
      <c r="C333">
        <f>'nebuleair_export (1)'!C333*'Calcul des facteurs'!$B$4+'Calcul des facteurs'!$C$4</f>
        <v>6.6451978226545538</v>
      </c>
      <c r="D333">
        <f>'nebuleair_export (1)'!D333*'Calcul des facteurs'!$B$5+'Calcul des facteurs'!$C$5</f>
        <v>8.1237697776024937</v>
      </c>
    </row>
    <row r="334" spans="1:4">
      <c r="A334" t="s">
        <v>2051</v>
      </c>
      <c r="B334" t="e">
        <f>'nebuleair_export (1)'!B334*'Calcul des facteurs'!#REF!+'Calcul des facteurs'!#REF!</f>
        <v>#REF!</v>
      </c>
      <c r="C334">
        <f>'nebuleair_export (1)'!C334*'Calcul des facteurs'!$B$4+'Calcul des facteurs'!$C$4</f>
        <v>10.067092317601862</v>
      </c>
      <c r="D334">
        <f>'nebuleair_export (1)'!D334*'Calcul des facteurs'!$B$5+'Calcul des facteurs'!$C$5</f>
        <v>13.420797000490721</v>
      </c>
    </row>
    <row r="335" spans="1:4">
      <c r="A335" t="s">
        <v>2054</v>
      </c>
      <c r="B335" t="e">
        <f>'nebuleair_export (1)'!B335*'Calcul des facteurs'!#REF!+'Calcul des facteurs'!#REF!</f>
        <v>#REF!</v>
      </c>
      <c r="C335">
        <f>'nebuleair_export (1)'!C335*'Calcul des facteurs'!$B$4+'Calcul des facteurs'!$C$4</f>
        <v>7.7747552287536728</v>
      </c>
      <c r="D335">
        <f>'nebuleair_export (1)'!D335*'Calcul des facteurs'!$B$5+'Calcul des facteurs'!$C$5</f>
        <v>11.182999296864622</v>
      </c>
    </row>
    <row r="336" spans="1:4">
      <c r="A336" t="s">
        <v>2056</v>
      </c>
      <c r="B336" t="e">
        <f>'nebuleair_export (1)'!B336*'Calcul des facteurs'!#REF!+'Calcul des facteurs'!#REF!</f>
        <v>#REF!</v>
      </c>
      <c r="C336">
        <f>'nebuleair_export (1)'!C336*'Calcul des facteurs'!$B$4+'Calcul des facteurs'!$C$4</f>
        <v>7.6640143065870818</v>
      </c>
      <c r="D336">
        <f>'nebuleair_export (1)'!D336*'Calcul des facteurs'!$B$5+'Calcul des facteurs'!$C$5</f>
        <v>10.364587451139013</v>
      </c>
    </row>
    <row r="337" spans="1:4">
      <c r="A337" t="s">
        <v>2058</v>
      </c>
      <c r="B337" t="e">
        <f>'nebuleair_export (1)'!B337*'Calcul des facteurs'!#REF!+'Calcul des facteurs'!#REF!</f>
        <v>#REF!</v>
      </c>
      <c r="C337">
        <f>'nebuleair_export (1)'!C337*'Calcul des facteurs'!$B$4+'Calcul des facteurs'!$C$4</f>
        <v>7.320717447870698</v>
      </c>
      <c r="D337">
        <f>'nebuleair_export (1)'!D337*'Calcul des facteurs'!$B$5+'Calcul des facteurs'!$C$5</f>
        <v>9.7605934690537026</v>
      </c>
    </row>
    <row r="338" spans="1:4">
      <c r="A338" t="s">
        <v>2060</v>
      </c>
      <c r="B338" t="e">
        <f>'nebuleair_export (1)'!B338*'Calcul des facteurs'!#REF!+'Calcul des facteurs'!#REF!</f>
        <v>#REF!</v>
      </c>
      <c r="C338">
        <f>'nebuleair_export (1)'!C338*'Calcul des facteurs'!$B$4+'Calcul des facteurs'!$C$4</f>
        <v>5.7445049890330466</v>
      </c>
      <c r="D338">
        <f>'nebuleair_export (1)'!D338*'Calcul des facteurs'!$B$5+'Calcul des facteurs'!$C$5</f>
        <v>8.5375056553309392</v>
      </c>
    </row>
    <row r="339" spans="1:4">
      <c r="A339" t="s">
        <v>2062</v>
      </c>
      <c r="B339" t="e">
        <f>'nebuleair_export (1)'!B339*'Calcul des facteurs'!#REF!+'Calcul des facteurs'!#REF!</f>
        <v>#REF!</v>
      </c>
      <c r="C339">
        <f>'nebuleair_export (1)'!C339*'Calcul des facteurs'!$B$4+'Calcul des facteurs'!$C$4</f>
        <v>5.3753685818111201</v>
      </c>
      <c r="D339">
        <f>'nebuleair_export (1)'!D339*'Calcul des facteurs'!$B$5+'Calcul des facteurs'!$C$5</f>
        <v>9.0871401790285695</v>
      </c>
    </row>
    <row r="340" spans="1:4">
      <c r="A340" t="s">
        <v>2064</v>
      </c>
      <c r="B340" t="e">
        <f>'nebuleair_export (1)'!B340*'Calcul des facteurs'!#REF!+'Calcul des facteurs'!#REF!</f>
        <v>#REF!</v>
      </c>
      <c r="C340">
        <f>'nebuleair_export (1)'!C340*'Calcul des facteurs'!$B$4+'Calcul des facteurs'!$C$4</f>
        <v>6.3978764298158639</v>
      </c>
      <c r="D340">
        <f>'nebuleair_export (1)'!D340*'Calcul des facteurs'!$B$5+'Calcul des facteurs'!$C$5</f>
        <v>9.6095949735323707</v>
      </c>
    </row>
    <row r="341" spans="1:4">
      <c r="A341" t="s">
        <v>2066</v>
      </c>
      <c r="B341" t="e">
        <f>'nebuleair_export (1)'!B341*'Calcul des facteurs'!#REF!+'Calcul des facteurs'!#REF!</f>
        <v>#REF!</v>
      </c>
      <c r="C341">
        <f>'nebuleair_export (1)'!C341*'Calcul des facteurs'!$B$4+'Calcul des facteurs'!$C$4</f>
        <v>4.4119225589618809</v>
      </c>
      <c r="D341">
        <f>'nebuleair_export (1)'!D341*'Calcul des facteurs'!$B$5+'Calcul des facteurs'!$C$5</f>
        <v>7.2660983230413407</v>
      </c>
    </row>
    <row r="342" spans="1:4">
      <c r="A342" t="s">
        <v>2068</v>
      </c>
      <c r="B342" t="e">
        <f>'nebuleair_export (1)'!B342*'Calcul des facteurs'!#REF!+'Calcul des facteurs'!#REF!</f>
        <v>#REF!</v>
      </c>
      <c r="C342">
        <f>'nebuleair_export (1)'!C342*'Calcul des facteurs'!$B$4+'Calcul des facteurs'!$C$4</f>
        <v>5.5599367854220887</v>
      </c>
      <c r="D342">
        <f>'nebuleair_export (1)'!D342*'Calcul des facteurs'!$B$5+'Calcul des facteurs'!$C$5</f>
        <v>8.5314657155100804</v>
      </c>
    </row>
    <row r="343" spans="1:4">
      <c r="A343" t="s">
        <v>2069</v>
      </c>
      <c r="B343" t="e">
        <f>'nebuleair_export (1)'!B343*'Calcul des facteurs'!#REF!+'Calcul des facteurs'!#REF!</f>
        <v>#REF!</v>
      </c>
      <c r="C343">
        <f>'nebuleair_export (1)'!C343*'Calcul des facteurs'!$B$4+'Calcul des facteurs'!$C$4</f>
        <v>4.2310457194231272</v>
      </c>
      <c r="D343">
        <f>'nebuleair_export (1)'!D343*'Calcul des facteurs'!$B$5+'Calcul des facteurs'!$C$5</f>
        <v>7.0607403691323389</v>
      </c>
    </row>
    <row r="344" spans="1:4">
      <c r="A344" t="s">
        <v>2071</v>
      </c>
      <c r="B344" t="e">
        <f>'nebuleair_export (1)'!B344*'Calcul des facteurs'!#REF!+'Calcul des facteurs'!#REF!</f>
        <v>#REF!</v>
      </c>
      <c r="C344">
        <f>'nebuleair_export (1)'!C344*'Calcul des facteurs'!$B$4+'Calcul des facteurs'!$C$4</f>
        <v>4.2716507242175439</v>
      </c>
      <c r="D344">
        <f>'nebuleair_export (1)'!D344*'Calcul des facteurs'!$B$5+'Calcul des facteurs'!$C$5</f>
        <v>7.0758402186844664</v>
      </c>
    </row>
    <row r="345" spans="1:4">
      <c r="A345" t="s">
        <v>2073</v>
      </c>
      <c r="B345" t="e">
        <f>'nebuleair_export (1)'!B345*'Calcul des facteurs'!#REF!+'Calcul des facteurs'!#REF!</f>
        <v>#REF!</v>
      </c>
      <c r="C345">
        <f>'nebuleair_export (1)'!C345*'Calcul des facteurs'!$B$4+'Calcul des facteurs'!$C$4</f>
        <v>5.6485295231553527</v>
      </c>
      <c r="D345">
        <f>'nebuleair_export (1)'!D345*'Calcul des facteurs'!$B$5+'Calcul des facteurs'!$C$5</f>
        <v>9.5793952744281086</v>
      </c>
    </row>
    <row r="346" spans="1:4">
      <c r="A346" t="s">
        <v>2075</v>
      </c>
      <c r="B346" t="e">
        <f>'nebuleair_export (1)'!B346*'Calcul des facteurs'!#REF!+'Calcul des facteurs'!#REF!</f>
        <v>#REF!</v>
      </c>
      <c r="C346">
        <f>'nebuleair_export (1)'!C346*'Calcul des facteurs'!$B$4+'Calcul des facteurs'!$C$4</f>
        <v>4.452527563756286</v>
      </c>
      <c r="D346">
        <f>'nebuleair_export (1)'!D346*'Calcul des facteurs'!$B$5+'Calcul des facteurs'!$C$5</f>
        <v>8.4106669190930212</v>
      </c>
    </row>
    <row r="347" spans="1:4">
      <c r="A347" t="s">
        <v>2077</v>
      </c>
      <c r="B347" t="e">
        <f>'nebuleair_export (1)'!B347*'Calcul des facteurs'!#REF!+'Calcul des facteurs'!#REF!</f>
        <v>#REF!</v>
      </c>
      <c r="C347">
        <f>'nebuleair_export (1)'!C347*'Calcul des facteurs'!$B$4+'Calcul des facteurs'!$C$4</f>
        <v>4.718305776956087</v>
      </c>
      <c r="D347">
        <f>'nebuleair_export (1)'!D347*'Calcul des facteurs'!$B$5+'Calcul des facteurs'!$C$5</f>
        <v>7.459376397308648</v>
      </c>
    </row>
    <row r="348" spans="1:4">
      <c r="A348" t="s">
        <v>2079</v>
      </c>
      <c r="B348" t="e">
        <f>'nebuleair_export (1)'!B348*'Calcul des facteurs'!#REF!+'Calcul des facteurs'!#REF!</f>
        <v>#REF!</v>
      </c>
      <c r="C348">
        <f>'nebuleair_export (1)'!C348*'Calcul des facteurs'!$B$4+'Calcul des facteurs'!$C$4</f>
        <v>4.8622689757726398</v>
      </c>
      <c r="D348">
        <f>'nebuleair_export (1)'!D348*'Calcul des facteurs'!$B$5+'Calcul des facteurs'!$C$5</f>
        <v>7.7613733883513039</v>
      </c>
    </row>
    <row r="349" spans="1:4">
      <c r="A349" t="s">
        <v>2081</v>
      </c>
      <c r="B349" t="e">
        <f>'nebuleair_export (1)'!B349*'Calcul des facteurs'!#REF!+'Calcul des facteurs'!#REF!</f>
        <v>#REF!</v>
      </c>
      <c r="C349">
        <f>'nebuleair_export (1)'!C349*'Calcul des facteurs'!$B$4+'Calcul des facteurs'!$C$4</f>
        <v>2.9981301193018832</v>
      </c>
      <c r="D349">
        <f>'nebuleair_export (1)'!D349*'Calcul des facteurs'!$B$5+'Calcul des facteurs'!$C$5</f>
        <v>5.7863130669323191</v>
      </c>
    </row>
    <row r="350" spans="1:4">
      <c r="A350" t="s">
        <v>2083</v>
      </c>
      <c r="B350" t="e">
        <f>'nebuleair_export (1)'!B350*'Calcul des facteurs'!#REF!+'Calcul des facteurs'!#REF!</f>
        <v>#REF!</v>
      </c>
      <c r="C350">
        <f>'nebuleair_export (1)'!C350*'Calcul des facteurs'!$B$4+'Calcul des facteurs'!$C$4</f>
        <v>5.1428126452613041</v>
      </c>
      <c r="D350">
        <f>'nebuleair_export (1)'!D350*'Calcul des facteurs'!$B$5+'Calcul des facteurs'!$C$5</f>
        <v>7.8429125759328207</v>
      </c>
    </row>
    <row r="351" spans="1:4">
      <c r="A351" t="s">
        <v>2085</v>
      </c>
      <c r="B351" t="e">
        <f>'nebuleair_export (1)'!B351*'Calcul des facteurs'!#REF!+'Calcul des facteurs'!#REF!</f>
        <v>#REF!</v>
      </c>
      <c r="C351">
        <f>'nebuleair_export (1)'!C351*'Calcul des facteurs'!$B$4+'Calcul des facteurs'!$C$4</f>
        <v>5.4528872273277251</v>
      </c>
      <c r="D351">
        <f>'nebuleair_export (1)'!D351*'Calcul des facteurs'!$B$5+'Calcul des facteurs'!$C$5</f>
        <v>9.0237208109096123</v>
      </c>
    </row>
    <row r="352" spans="1:4">
      <c r="A352" t="s">
        <v>2087</v>
      </c>
      <c r="B352" t="e">
        <f>'nebuleair_export (1)'!B352*'Calcul des facteurs'!#REF!+'Calcul des facteurs'!#REF!</f>
        <v>#REF!</v>
      </c>
      <c r="C352">
        <f>'nebuleair_export (1)'!C352*'Calcul des facteurs'!$B$4+'Calcul des facteurs'!$C$4</f>
        <v>4.4562189278285125</v>
      </c>
      <c r="D352">
        <f>'nebuleair_export (1)'!D352*'Calcul des facteurs'!$B$5+'Calcul des facteurs'!$C$5</f>
        <v>8.797223067627618</v>
      </c>
    </row>
    <row r="353" spans="1:4">
      <c r="A353" t="s">
        <v>2089</v>
      </c>
      <c r="B353" t="e">
        <f>'nebuleair_export (1)'!B353*'Calcul des facteurs'!#REF!+'Calcul des facteurs'!#REF!</f>
        <v>#REF!</v>
      </c>
      <c r="C353">
        <f>'nebuleair_export (1)'!C353*'Calcul des facteurs'!$B$4+'Calcul des facteurs'!$C$4</f>
        <v>3.9394279577178062</v>
      </c>
      <c r="D353">
        <f>'nebuleair_export (1)'!D353*'Calcul des facteurs'!$B$5+'Calcul des facteurs'!$C$5</f>
        <v>6.6017049427474959</v>
      </c>
    </row>
    <row r="354" spans="1:4">
      <c r="A354" t="s">
        <v>2091</v>
      </c>
      <c r="B354" t="e">
        <f>'nebuleair_export (1)'!B354*'Calcul des facteurs'!#REF!+'Calcul des facteurs'!#REF!</f>
        <v>#REF!</v>
      </c>
      <c r="C354">
        <f>'nebuleair_export (1)'!C354*'Calcul des facteurs'!$B$4+'Calcul des facteurs'!$C$4</f>
        <v>5.3199981207278304</v>
      </c>
      <c r="D354">
        <f>'nebuleair_export (1)'!D354*'Calcul des facteurs'!$B$5+'Calcul des facteurs'!$C$5</f>
        <v>8.0814901988565175</v>
      </c>
    </row>
    <row r="355" spans="1:4">
      <c r="A355" t="s">
        <v>2093</v>
      </c>
      <c r="B355" t="e">
        <f>'nebuleair_export (1)'!B355*'Calcul des facteurs'!#REF!+'Calcul des facteurs'!#REF!</f>
        <v>#REF!</v>
      </c>
      <c r="C355">
        <f>'nebuleair_export (1)'!C355*'Calcul des facteurs'!$B$4+'Calcul des facteurs'!$C$4</f>
        <v>5.8330977267663098</v>
      </c>
      <c r="D355">
        <f>'nebuleair_export (1)'!D355*'Calcul des facteurs'!$B$5+'Calcul des facteurs'!$C$5</f>
        <v>9.7938131380683906</v>
      </c>
    </row>
    <row r="356" spans="1:4">
      <c r="A356" t="s">
        <v>2095</v>
      </c>
      <c r="B356" t="e">
        <f>'nebuleair_export (1)'!B356*'Calcul des facteurs'!#REF!+'Calcul des facteurs'!#REF!</f>
        <v>#REF!</v>
      </c>
      <c r="C356">
        <f>'nebuleair_export (1)'!C356*'Calcul des facteurs'!$B$4+'Calcul des facteurs'!$C$4</f>
        <v>7.4277670059650509</v>
      </c>
      <c r="D356">
        <f>'nebuleair_export (1)'!D356*'Calcul des facteurs'!$B$5+'Calcul des facteurs'!$C$5</f>
        <v>12.602385154765056</v>
      </c>
    </row>
    <row r="357" spans="1:4">
      <c r="A357" t="s">
        <v>2097</v>
      </c>
      <c r="B357" t="e">
        <f>'nebuleair_export (1)'!B357*'Calcul des facteurs'!#REF!+'Calcul des facteurs'!#REF!</f>
        <v>#REF!</v>
      </c>
      <c r="C357">
        <f>'nebuleair_export (1)'!C357*'Calcul des facteurs'!$B$4+'Calcul des facteurs'!$C$4</f>
        <v>5.2129485626334668</v>
      </c>
      <c r="D357">
        <f>'nebuleair_export (1)'!D357*'Calcul des facteurs'!$B$5+'Calcul des facteurs'!$C$5</f>
        <v>9.0478805701930263</v>
      </c>
    </row>
    <row r="358" spans="1:4">
      <c r="A358" t="s">
        <v>2099</v>
      </c>
      <c r="B358" t="e">
        <f>'nebuleair_export (1)'!B358*'Calcul des facteurs'!#REF!+'Calcul des facteurs'!#REF!</f>
        <v>#REF!</v>
      </c>
      <c r="C358">
        <f>'nebuleair_export (1)'!C358*'Calcul des facteurs'!$B$4+'Calcul des facteurs'!$C$4</f>
        <v>5.4639613195443841</v>
      </c>
      <c r="D358">
        <f>'nebuleair_export (1)'!D358*'Calcul des facteurs'!$B$5+'Calcul des facteurs'!$C$5</f>
        <v>9.3226978320418432</v>
      </c>
    </row>
    <row r="359" spans="1:4">
      <c r="A359" t="s">
        <v>2101</v>
      </c>
      <c r="B359" t="e">
        <f>'nebuleair_export (1)'!B359*'Calcul des facteurs'!#REF!+'Calcul des facteurs'!#REF!</f>
        <v>#REF!</v>
      </c>
      <c r="C359">
        <f>'nebuleair_export (1)'!C359*'Calcul des facteurs'!$B$4+'Calcul des facteurs'!$C$4</f>
        <v>5.7518877171774898</v>
      </c>
      <c r="D359">
        <f>'nebuleair_export (1)'!D359*'Calcul des facteurs'!$B$5+'Calcul des facteurs'!$C$5</f>
        <v>9.8149529274413716</v>
      </c>
    </row>
    <row r="360" spans="1:4">
      <c r="A360" t="s">
        <v>2103</v>
      </c>
      <c r="B360" t="e">
        <f>'nebuleair_export (1)'!B360*'Calcul des facteurs'!#REF!+'Calcul des facteurs'!#REF!</f>
        <v>#REF!</v>
      </c>
      <c r="C360">
        <f>'nebuleair_export (1)'!C360*'Calcul des facteurs'!$B$4+'Calcul des facteurs'!$C$4</f>
        <v>4.2495025397842277</v>
      </c>
      <c r="D360">
        <f>'nebuleair_export (1)'!D360*'Calcul des facteurs'!$B$5+'Calcul des facteurs'!$C$5</f>
        <v>8.9965410817157725</v>
      </c>
    </row>
    <row r="361" spans="1:4">
      <c r="A361" t="s">
        <v>2105</v>
      </c>
      <c r="B361" t="e">
        <f>'nebuleair_export (1)'!B361*'Calcul des facteurs'!#REF!+'Calcul des facteurs'!#REF!</f>
        <v>#REF!</v>
      </c>
      <c r="C361">
        <f>'nebuleair_export (1)'!C361*'Calcul des facteurs'!$B$4+'Calcul des facteurs'!$C$4</f>
        <v>4.3491693697341489</v>
      </c>
      <c r="D361">
        <f>'nebuleair_export (1)'!D361*'Calcul des facteurs'!$B$5+'Calcul des facteurs'!$C$5</f>
        <v>7.4291766982043761</v>
      </c>
    </row>
    <row r="362" spans="1:4">
      <c r="A362" t="s">
        <v>2107</v>
      </c>
      <c r="B362" t="e">
        <f>'nebuleair_export (1)'!B362*'Calcul des facteurs'!#REF!+'Calcul des facteurs'!#REF!</f>
        <v>#REF!</v>
      </c>
      <c r="C362">
        <f>'nebuleair_export (1)'!C362*'Calcul des facteurs'!$B$4+'Calcul des facteurs'!$C$4</f>
        <v>5.1169730967557721</v>
      </c>
      <c r="D362">
        <f>'nebuleair_export (1)'!D362*'Calcul des facteurs'!$B$5+'Calcul des facteurs'!$C$5</f>
        <v>10.675644351912958</v>
      </c>
    </row>
    <row r="363" spans="1:4">
      <c r="A363" t="s">
        <v>2108</v>
      </c>
      <c r="B363" t="e">
        <f>'nebuleair_export (1)'!B363*'Calcul des facteurs'!#REF!+'Calcul des facteurs'!#REF!</f>
        <v>#REF!</v>
      </c>
      <c r="C363">
        <f>'nebuleair_export (1)'!C363*'Calcul des facteurs'!$B$4+'Calcul des facteurs'!$C$4</f>
        <v>3.8803661325623007</v>
      </c>
      <c r="D363">
        <f>'nebuleair_export (1)'!D363*'Calcul des facteurs'!$B$5+'Calcul des facteurs'!$C$5</f>
        <v>6.9641013319986849</v>
      </c>
    </row>
    <row r="364" spans="1:4">
      <c r="A364" t="s">
        <v>2110</v>
      </c>
      <c r="B364" t="e">
        <f>'nebuleair_export (1)'!B364*'Calcul des facteurs'!#REF!+'Calcul des facteurs'!#REF!</f>
        <v>#REF!</v>
      </c>
      <c r="C364">
        <f>'nebuleair_export (1)'!C364*'Calcul des facteurs'!$B$4+'Calcul des facteurs'!$C$4</f>
        <v>3.9025143169956169</v>
      </c>
      <c r="D364">
        <f>'nebuleair_export (1)'!D364*'Calcul des facteurs'!$B$5+'Calcul des facteurs'!$C$5</f>
        <v>7.5348756450693095</v>
      </c>
    </row>
    <row r="365" spans="1:4">
      <c r="A365" t="s">
        <v>2111</v>
      </c>
      <c r="B365" t="e">
        <f>'nebuleair_export (1)'!B365*'Calcul des facteurs'!#REF!+'Calcul des facteurs'!#REF!</f>
        <v>#REF!</v>
      </c>
      <c r="C365">
        <f>'nebuleair_export (1)'!C365*'Calcul des facteurs'!$B$4+'Calcul des facteurs'!$C$4</f>
        <v>3.6625756523013582</v>
      </c>
      <c r="D365">
        <f>'nebuleair_export (1)'!D365*'Calcul des facteurs'!$B$5+'Calcul des facteurs'!$C$5</f>
        <v>6.1215297269896691</v>
      </c>
    </row>
    <row r="366" spans="1:4">
      <c r="A366" t="s">
        <v>2113</v>
      </c>
      <c r="B366" t="e">
        <f>'nebuleair_export (1)'!B366*'Calcul des facteurs'!#REF!+'Calcul des facteurs'!#REF!</f>
        <v>#REF!</v>
      </c>
      <c r="C366">
        <f>'nebuleair_export (1)'!C366*'Calcul des facteurs'!$B$4+'Calcul des facteurs'!$C$4</f>
        <v>3.0941055851795887</v>
      </c>
      <c r="D366">
        <f>'nebuleair_export (1)'!D366*'Calcul des facteurs'!$B$5+'Calcul des facteurs'!$C$5</f>
        <v>7.3144178416081722</v>
      </c>
    </row>
    <row r="367" spans="1:4">
      <c r="A367" t="s">
        <v>2115</v>
      </c>
      <c r="B367" t="e">
        <f>'nebuleair_export (1)'!B367*'Calcul des facteurs'!#REF!+'Calcul des facteurs'!#REF!</f>
        <v>#REF!</v>
      </c>
      <c r="C367">
        <f>'nebuleair_export (1)'!C367*'Calcul des facteurs'!$B$4+'Calcul des facteurs'!$C$4</f>
        <v>2.8467841923408987</v>
      </c>
      <c r="D367">
        <f>'nebuleair_export (1)'!D367*'Calcul des facteurs'!$B$5+'Calcul des facteurs'!$C$5</f>
        <v>5.4299566175019844</v>
      </c>
    </row>
    <row r="368" spans="1:4">
      <c r="A368" t="s">
        <v>2117</v>
      </c>
      <c r="B368" t="e">
        <f>'nebuleair_export (1)'!B368*'Calcul des facteurs'!#REF!+'Calcul des facteurs'!#REF!</f>
        <v>#REF!</v>
      </c>
      <c r="C368">
        <f>'nebuleair_export (1)'!C368*'Calcul des facteurs'!$B$4+'Calcul des facteurs'!$C$4</f>
        <v>2.8135619156909253</v>
      </c>
      <c r="D368">
        <f>'nebuleair_export (1)'!D368*'Calcul des facteurs'!$B$5+'Calcul des facteurs'!$C$5</f>
        <v>6.091330027885407</v>
      </c>
    </row>
    <row r="369" spans="1:4">
      <c r="A369" t="s">
        <v>2119</v>
      </c>
      <c r="B369" t="e">
        <f>'nebuleair_export (1)'!B369*'Calcul des facteurs'!#REF!+'Calcul des facteurs'!#REF!</f>
        <v>#REF!</v>
      </c>
      <c r="C369">
        <f>'nebuleair_export (1)'!C369*'Calcul des facteurs'!$B$4+'Calcul des facteurs'!$C$4</f>
        <v>2.7877223671853826</v>
      </c>
      <c r="D369">
        <f>'nebuleair_export (1)'!D369*'Calcul des facteurs'!$B$5+'Calcul des facteurs'!$C$5</f>
        <v>5.4359965573228326</v>
      </c>
    </row>
    <row r="370" spans="1:4">
      <c r="A370" t="s">
        <v>2121</v>
      </c>
      <c r="B370" t="e">
        <f>'nebuleair_export (1)'!B370*'Calcul des facteurs'!#REF!+'Calcul des facteurs'!#REF!</f>
        <v>#REF!</v>
      </c>
      <c r="C370">
        <f>'nebuleair_export (1)'!C370*'Calcul des facteurs'!$B$4+'Calcul des facteurs'!$C$4</f>
        <v>2.5625491587800084</v>
      </c>
      <c r="D370">
        <f>'nebuleair_export (1)'!D370*'Calcul des facteurs'!$B$5+'Calcul des facteurs'!$C$5</f>
        <v>6.2634683127797128</v>
      </c>
    </row>
    <row r="371" spans="1:4">
      <c r="A371" t="s">
        <v>2123</v>
      </c>
      <c r="B371" t="e">
        <f>'nebuleair_export (1)'!B371*'Calcul des facteurs'!#REF!+'Calcul des facteurs'!#REF!</f>
        <v>#REF!</v>
      </c>
      <c r="C371">
        <f>'nebuleair_export (1)'!C371*'Calcul des facteurs'!$B$4+'Calcul des facteurs'!$C$4</f>
        <v>1.7246095143862226</v>
      </c>
      <c r="D371">
        <f>'nebuleair_export (1)'!D371*'Calcul des facteurs'!$B$5+'Calcul des facteurs'!$C$5</f>
        <v>4.8893820035356246</v>
      </c>
    </row>
    <row r="372" spans="1:4">
      <c r="A372" t="s">
        <v>2125</v>
      </c>
      <c r="B372" t="e">
        <f>'nebuleair_export (1)'!B372*'Calcul des facteurs'!#REF!+'Calcul des facteurs'!#REF!</f>
        <v>#REF!</v>
      </c>
      <c r="C372">
        <f>'nebuleair_export (1)'!C372*'Calcul des facteurs'!$B$4+'Calcul des facteurs'!$C$4</f>
        <v>2.4739564210467453</v>
      </c>
      <c r="D372">
        <f>'nebuleair_export (1)'!D372*'Calcul des facteurs'!$B$5+'Calcul des facteurs'!$C$5</f>
        <v>5.2094988140408383</v>
      </c>
    </row>
    <row r="373" spans="1:4">
      <c r="A373" t="s">
        <v>2127</v>
      </c>
      <c r="B373" t="e">
        <f>'nebuleair_export (1)'!B373*'Calcul des facteurs'!#REF!+'Calcul des facteurs'!#REF!</f>
        <v>#REF!</v>
      </c>
      <c r="C373">
        <f>'nebuleair_export (1)'!C373*'Calcul des facteurs'!$B$4+'Calcul des facteurs'!$C$4</f>
        <v>3.4669333564737421</v>
      </c>
      <c r="D373">
        <f>'nebuleair_export (1)'!D373*'Calcul des facteurs'!$B$5+'Calcul des facteurs'!$C$5</f>
        <v>6.2121288243024662</v>
      </c>
    </row>
    <row r="374" spans="1:4">
      <c r="A374" t="s">
        <v>2129</v>
      </c>
      <c r="B374" t="e">
        <f>'nebuleair_export (1)'!B374*'Calcul des facteurs'!#REF!+'Calcul des facteurs'!#REF!</f>
        <v>#REF!</v>
      </c>
      <c r="C374">
        <f>'nebuleair_export (1)'!C374*'Calcul des facteurs'!$B$4+'Calcul des facteurs'!$C$4</f>
        <v>3.4041801672460106</v>
      </c>
      <c r="D374">
        <f>'nebuleair_export (1)'!D374*'Calcul des facteurs'!$B$5+'Calcul des facteurs'!$C$5</f>
        <v>7.8338526662015413</v>
      </c>
    </row>
    <row r="375" spans="1:4">
      <c r="A375" t="s">
        <v>2131</v>
      </c>
      <c r="B375" t="e">
        <f>'nebuleair_export (1)'!B375*'Calcul des facteurs'!#REF!+'Calcul des facteurs'!#REF!</f>
        <v>#REF!</v>
      </c>
      <c r="C375">
        <f>'nebuleair_export (1)'!C375*'Calcul des facteurs'!$B$4+'Calcul des facteurs'!$C$4</f>
        <v>3.2196119636350415</v>
      </c>
      <c r="D375">
        <f>'nebuleair_export (1)'!D375*'Calcul des facteurs'!$B$5+'Calcul des facteurs'!$C$5</f>
        <v>6.695324009970717</v>
      </c>
    </row>
    <row r="376" spans="1:4">
      <c r="A376" t="s">
        <v>2133</v>
      </c>
      <c r="B376" t="e">
        <f>'nebuleair_export (1)'!B376*'Calcul des facteurs'!#REF!+'Calcul des facteurs'!#REF!</f>
        <v>#REF!</v>
      </c>
      <c r="C376">
        <f>'nebuleair_export (1)'!C376*'Calcul des facteurs'!$B$4+'Calcul des facteurs'!$C$4</f>
        <v>4.2974902727230866</v>
      </c>
      <c r="D376">
        <f>'nebuleair_export (1)'!D376*'Calcul des facteurs'!$B$5+'Calcul des facteurs'!$C$5</f>
        <v>7.5167558256067499</v>
      </c>
    </row>
    <row r="377" spans="1:4">
      <c r="A377" t="s">
        <v>2135</v>
      </c>
      <c r="B377" t="e">
        <f>'nebuleair_export (1)'!B377*'Calcul des facteurs'!#REF!+'Calcul des facteurs'!#REF!</f>
        <v>#REF!</v>
      </c>
      <c r="C377">
        <f>'nebuleair_export (1)'!C377*'Calcul des facteurs'!$B$4+'Calcul des facteurs'!$C$4</f>
        <v>7.4831374670483406</v>
      </c>
      <c r="D377">
        <f>'nebuleair_export (1)'!D377*'Calcul des facteurs'!$B$5+'Calcul des facteurs'!$C$5</f>
        <v>12.273208434528589</v>
      </c>
    </row>
    <row r="378" spans="1:4">
      <c r="A378" t="s">
        <v>2137</v>
      </c>
      <c r="B378" t="e">
        <f>'nebuleair_export (1)'!B378*'Calcul des facteurs'!#REF!+'Calcul des facteurs'!#REF!</f>
        <v>#REF!</v>
      </c>
      <c r="C378">
        <f>'nebuleair_export (1)'!C378*'Calcul des facteurs'!$B$4+'Calcul des facteurs'!$C$4</f>
        <v>6.563987813065733</v>
      </c>
      <c r="D378">
        <f>'nebuleair_export (1)'!D378*'Calcul des facteurs'!$B$5+'Calcul des facteurs'!$C$5</f>
        <v>11.40345710032576</v>
      </c>
    </row>
    <row r="379" spans="1:4">
      <c r="A379" t="s">
        <v>2139</v>
      </c>
      <c r="B379" t="e">
        <f>'nebuleair_export (1)'!B379*'Calcul des facteurs'!#REF!+'Calcul des facteurs'!#REF!</f>
        <v>#REF!</v>
      </c>
      <c r="C379">
        <f>'nebuleair_export (1)'!C379*'Calcul des facteurs'!$B$4+'Calcul des facteurs'!$C$4</f>
        <v>6.5307655364157586</v>
      </c>
      <c r="D379">
        <f>'nebuleair_export (1)'!D379*'Calcul des facteurs'!$B$5+'Calcul des facteurs'!$C$5</f>
        <v>13.103700159895837</v>
      </c>
    </row>
    <row r="380" spans="1:4">
      <c r="A380" t="s">
        <v>2141</v>
      </c>
      <c r="B380" t="e">
        <f>'nebuleair_export (1)'!B380*'Calcul des facteurs'!#REF!+'Calcul des facteurs'!#REF!</f>
        <v>#REF!</v>
      </c>
      <c r="C380">
        <f>'nebuleair_export (1)'!C380*'Calcul des facteurs'!$B$4+'Calcul des facteurs'!$C$4</f>
        <v>6.2022341339882372</v>
      </c>
      <c r="D380">
        <f>'nebuleair_export (1)'!D380*'Calcul des facteurs'!$B$5+'Calcul des facteurs'!$C$5</f>
        <v>11.460836528623863</v>
      </c>
    </row>
    <row r="381" spans="1:4">
      <c r="A381" t="s">
        <v>2142</v>
      </c>
      <c r="B381" t="e">
        <f>'nebuleair_export (1)'!B381*'Calcul des facteurs'!#REF!+'Calcul des facteurs'!#REF!</f>
        <v>#REF!</v>
      </c>
      <c r="C381">
        <f>'nebuleair_export (1)'!C381*'Calcul des facteurs'!$B$4+'Calcul des facteurs'!$C$4</f>
        <v>6.2760614154326273</v>
      </c>
      <c r="D381">
        <f>'nebuleair_export (1)'!D381*'Calcul des facteurs'!$B$5+'Calcul des facteurs'!$C$5</f>
        <v>9.0599604498347297</v>
      </c>
    </row>
    <row r="382" spans="1:4">
      <c r="A382" t="s">
        <v>2143</v>
      </c>
      <c r="B382" t="e">
        <f>'nebuleair_export (1)'!B382*'Calcul des facteurs'!#REF!+'Calcul des facteurs'!#REF!</f>
        <v>#REF!</v>
      </c>
      <c r="C382">
        <f>'nebuleair_export (1)'!C382*'Calcul des facteurs'!$B$4+'Calcul des facteurs'!$C$4</f>
        <v>5.5894676979998366</v>
      </c>
      <c r="D382">
        <f>'nebuleair_export (1)'!D382*'Calcul des facteurs'!$B$5+'Calcul des facteurs'!$C$5</f>
        <v>9.772673348695406</v>
      </c>
    </row>
    <row r="383" spans="1:4">
      <c r="A383" t="s">
        <v>2146</v>
      </c>
      <c r="B383" t="e">
        <f>'nebuleair_export (1)'!B383*'Calcul des facteurs'!#REF!+'Calcul des facteurs'!#REF!</f>
        <v>#REF!</v>
      </c>
      <c r="C383">
        <f>'nebuleair_export (1)'!C383*'Calcul des facteurs'!$B$4+'Calcul des facteurs'!$C$4</f>
        <v>6.7153337400267281</v>
      </c>
      <c r="D383">
        <f>'nebuleair_export (1)'!D383*'Calcul des facteurs'!$B$5+'Calcul des facteurs'!$C$5</f>
        <v>12.119189969096833</v>
      </c>
    </row>
    <row r="384" spans="1:4">
      <c r="A384" t="s">
        <v>2148</v>
      </c>
      <c r="B384" t="e">
        <f>'nebuleair_export (1)'!B384*'Calcul des facteurs'!#REF!+'Calcul des facteurs'!#REF!</f>
        <v>#REF!</v>
      </c>
      <c r="C384">
        <f>'nebuleair_export (1)'!C384*'Calcul des facteurs'!$B$4+'Calcul des facteurs'!$C$4</f>
        <v>7.5791129329260452</v>
      </c>
      <c r="D384">
        <f>'nebuleair_export (1)'!D384*'Calcul des facteurs'!$B$5+'Calcul des facteurs'!$C$5</f>
        <v>12.611445064496335</v>
      </c>
    </row>
    <row r="385" spans="1:4">
      <c r="A385" t="s">
        <v>2150</v>
      </c>
      <c r="B385" t="e">
        <f>'nebuleair_export (1)'!B385*'Calcul des facteurs'!#REF!+'Calcul des facteurs'!#REF!</f>
        <v>#REF!</v>
      </c>
      <c r="C385">
        <f>'nebuleair_export (1)'!C385*'Calcul des facteurs'!$B$4+'Calcul des facteurs'!$C$4</f>
        <v>6.7374819244600435</v>
      </c>
      <c r="D385">
        <f>'nebuleair_export (1)'!D385*'Calcul des facteurs'!$B$5+'Calcul des facteurs'!$C$5</f>
        <v>10.443106668810106</v>
      </c>
    </row>
    <row r="386" spans="1:4">
      <c r="A386" t="s">
        <v>2152</v>
      </c>
      <c r="B386" t="e">
        <f>'nebuleair_export (1)'!B386*'Calcul des facteurs'!#REF!+'Calcul des facteurs'!#REF!</f>
        <v>#REF!</v>
      </c>
      <c r="C386">
        <f>'nebuleair_export (1)'!C386*'Calcul des facteurs'!$B$4+'Calcul des facteurs'!$C$4</f>
        <v>7.553273384420514</v>
      </c>
      <c r="D386">
        <f>'nebuleair_export (1)'!D386*'Calcul des facteurs'!$B$5+'Calcul des facteurs'!$C$5</f>
        <v>10.917241944747078</v>
      </c>
    </row>
    <row r="387" spans="1:4">
      <c r="A387" t="s">
        <v>2155</v>
      </c>
      <c r="B387" t="e">
        <f>'nebuleair_export (1)'!B387*'Calcul des facteurs'!#REF!+'Calcul des facteurs'!#REF!</f>
        <v>#REF!</v>
      </c>
      <c r="C387">
        <f>'nebuleair_export (1)'!C387*'Calcul des facteurs'!$B$4+'Calcul des facteurs'!$C$4</f>
        <v>7.9703975245812879</v>
      </c>
      <c r="D387">
        <f>'nebuleair_export (1)'!D387*'Calcul des facteurs'!$B$5+'Calcul des facteurs'!$C$5</f>
        <v>14.435506890393961</v>
      </c>
    </row>
    <row r="388" spans="1:4">
      <c r="A388" t="s">
        <v>2157</v>
      </c>
      <c r="B388" t="e">
        <f>'nebuleair_export (1)'!B388*'Calcul des facteurs'!#REF!+'Calcul des facteurs'!#REF!</f>
        <v>#REF!</v>
      </c>
      <c r="C388">
        <f>'nebuleair_export (1)'!C388*'Calcul des facteurs'!$B$4+'Calcul des facteurs'!$C$4</f>
        <v>9.6536595415132922</v>
      </c>
      <c r="D388">
        <f>'nebuleair_export (1)'!D388*'Calcul des facteurs'!$B$5+'Calcul des facteurs'!$C$5</f>
        <v>15.866972627936251</v>
      </c>
    </row>
    <row r="389" spans="1:4">
      <c r="A389" t="s">
        <v>2158</v>
      </c>
      <c r="B389" t="e">
        <f>'nebuleair_export (1)'!B389*'Calcul des facteurs'!#REF!+'Calcul des facteurs'!#REF!</f>
        <v>#REF!</v>
      </c>
      <c r="C389">
        <f>'nebuleair_export (1)'!C389*'Calcul des facteurs'!$B$4+'Calcul des facteurs'!$C$4</f>
        <v>10.030178676879661</v>
      </c>
      <c r="D389">
        <f>'nebuleair_export (1)'!D389*'Calcul des facteurs'!$B$5+'Calcul des facteurs'!$C$5</f>
        <v>17.183679508882211</v>
      </c>
    </row>
    <row r="390" spans="1:4">
      <c r="A390" t="s">
        <v>2160</v>
      </c>
      <c r="B390" t="e">
        <f>'nebuleair_export (1)'!B390*'Calcul des facteurs'!#REF!+'Calcul des facteurs'!#REF!</f>
        <v>#REF!</v>
      </c>
      <c r="C390">
        <f>'nebuleair_export (1)'!C390*'Calcul des facteurs'!$B$4+'Calcul des facteurs'!$C$4</f>
        <v>11.746662970461573</v>
      </c>
      <c r="D390">
        <f>'nebuleair_export (1)'!D390*'Calcul des facteurs'!$B$5+'Calcul des facteurs'!$C$5</f>
        <v>18.409787292515372</v>
      </c>
    </row>
    <row r="391" spans="1:4">
      <c r="A391" t="s">
        <v>2161</v>
      </c>
      <c r="B391" t="e">
        <f>'nebuleair_export (1)'!B391*'Calcul des facteurs'!#REF!+'Calcul des facteurs'!#REF!</f>
        <v>#REF!</v>
      </c>
      <c r="C391">
        <f>'nebuleair_export (1)'!C391*'Calcul des facteurs'!$B$4+'Calcul des facteurs'!$C$4</f>
        <v>10.879192413490104</v>
      </c>
      <c r="D391">
        <f>'nebuleair_export (1)'!D391*'Calcul des facteurs'!$B$5+'Calcul des facteurs'!$C$5</f>
        <v>19.040961003794557</v>
      </c>
    </row>
    <row r="392" spans="1:4">
      <c r="A392" t="s">
        <v>2164</v>
      </c>
      <c r="B392" t="e">
        <f>'nebuleair_export (1)'!B392*'Calcul des facteurs'!#REF!+'Calcul des facteurs'!#REF!</f>
        <v>#REF!</v>
      </c>
      <c r="C392">
        <f>'nebuleair_export (1)'!C392*'Calcul des facteurs'!$B$4+'Calcul des facteurs'!$C$4</f>
        <v>9.8751413858464492</v>
      </c>
      <c r="D392">
        <f>'nebuleair_export (1)'!D392*'Calcul des facteurs'!$B$5+'Calcul des facteurs'!$C$5</f>
        <v>15.885092447398812</v>
      </c>
    </row>
    <row r="393" spans="1:4">
      <c r="A393" t="s">
        <v>2166</v>
      </c>
      <c r="B393" t="e">
        <f>'nebuleair_export (1)'!B393*'Calcul des facteurs'!#REF!+'Calcul des facteurs'!#REF!</f>
        <v>#REF!</v>
      </c>
      <c r="C393">
        <f>'nebuleair_export (1)'!C393*'Calcul des facteurs'!$B$4+'Calcul des facteurs'!$C$4</f>
        <v>7.9408666120035418</v>
      </c>
      <c r="D393">
        <f>'nebuleair_export (1)'!D393*'Calcul des facteurs'!$B$5+'Calcul des facteurs'!$C$5</f>
        <v>13.595955255295431</v>
      </c>
    </row>
    <row r="394" spans="1:4">
      <c r="A394" t="s">
        <v>2167</v>
      </c>
      <c r="B394" t="e">
        <f>'nebuleair_export (1)'!B394*'Calcul des facteurs'!#REF!+'Calcul des facteurs'!#REF!</f>
        <v>#REF!</v>
      </c>
      <c r="C394">
        <f>'nebuleair_export (1)'!C394*'Calcul des facteurs'!$B$4+'Calcul des facteurs'!$C$4</f>
        <v>6.7854696573988917</v>
      </c>
      <c r="D394">
        <f>'nebuleair_export (1)'!D394*'Calcul des facteurs'!$B$5+'Calcul des facteurs'!$C$5</f>
        <v>12.496686207900186</v>
      </c>
    </row>
    <row r="395" spans="1:4">
      <c r="A395" t="s">
        <v>2169</v>
      </c>
      <c r="B395" t="e">
        <f>'nebuleair_export (1)'!B395*'Calcul des facteurs'!#REF!+'Calcul des facteurs'!#REF!</f>
        <v>#REF!</v>
      </c>
      <c r="C395">
        <f>'nebuleair_export (1)'!C395*'Calcul des facteurs'!$B$4+'Calcul des facteurs'!$C$4</f>
        <v>8.5241021354141839</v>
      </c>
      <c r="D395">
        <f>'nebuleair_export (1)'!D395*'Calcul des facteurs'!$B$5+'Calcul des facteurs'!$C$5</f>
        <v>14.054990681680211</v>
      </c>
    </row>
    <row r="396" spans="1:4">
      <c r="A396" t="s">
        <v>2171</v>
      </c>
      <c r="B396" t="e">
        <f>'nebuleair_export (1)'!B396*'Calcul des facteurs'!#REF!+'Calcul des facteurs'!#REF!</f>
        <v>#REF!</v>
      </c>
      <c r="C396">
        <f>'nebuleair_export (1)'!C396*'Calcul des facteurs'!$B$4+'Calcul des facteurs'!$C$4</f>
        <v>12.532923517844283</v>
      </c>
      <c r="D396">
        <f>'nebuleair_export (1)'!D396*'Calcul des facteurs'!$B$5+'Calcul des facteurs'!$C$5</f>
        <v>19.197999439136709</v>
      </c>
    </row>
    <row r="397" spans="1:4">
      <c r="A397" t="s">
        <v>2173</v>
      </c>
      <c r="B397" t="e">
        <f>'nebuleair_export (1)'!B397*'Calcul des facteurs'!#REF!+'Calcul des facteurs'!#REF!</f>
        <v>#REF!</v>
      </c>
      <c r="C397">
        <f>'nebuleair_export (1)'!C397*'Calcul des facteurs'!$B$4+'Calcul des facteurs'!$C$4</f>
        <v>16.482683075118977</v>
      </c>
      <c r="D397">
        <f>'nebuleair_export (1)'!D397*'Calcul des facteurs'!$B$5+'Calcul des facteurs'!$C$5</f>
        <v>23.625275327822109</v>
      </c>
    </row>
    <row r="398" spans="1:4">
      <c r="A398" t="s">
        <v>2175</v>
      </c>
      <c r="B398" t="e">
        <f>'nebuleair_export (1)'!B398*'Calcul des facteurs'!#REF!+'Calcul des facteurs'!#REF!</f>
        <v>#REF!</v>
      </c>
      <c r="C398">
        <f>'nebuleair_export (1)'!C398*'Calcul des facteurs'!$B$4+'Calcul des facteurs'!$C$4</f>
        <v>20.3180103461548</v>
      </c>
      <c r="D398">
        <f>'nebuleair_export (1)'!D398*'Calcul des facteurs'!$B$5+'Calcul des facteurs'!$C$5</f>
        <v>25.539936251032529</v>
      </c>
    </row>
    <row r="399" spans="1:4">
      <c r="A399" t="s">
        <v>2178</v>
      </c>
      <c r="B399" t="e">
        <f>'nebuleair_export (1)'!B399*'Calcul des facteurs'!#REF!+'Calcul des facteurs'!#REF!</f>
        <v>#REF!</v>
      </c>
      <c r="C399">
        <f>'nebuleair_export (1)'!C399*'Calcul des facteurs'!$B$4+'Calcul des facteurs'!$C$4</f>
        <v>23.315397972796912</v>
      </c>
      <c r="D399">
        <f>'nebuleair_export (1)'!D399*'Calcul des facteurs'!$B$5+'Calcul des facteurs'!$C$5</f>
        <v>29.994391868911769</v>
      </c>
    </row>
    <row r="400" spans="1:4">
      <c r="A400" t="s">
        <v>2182</v>
      </c>
      <c r="B400" t="e">
        <f>'nebuleair_export (1)'!B400*'Calcul des facteurs'!#REF!+'Calcul des facteurs'!#REF!</f>
        <v>#REF!</v>
      </c>
      <c r="C400">
        <f>'nebuleair_export (1)'!C400*'Calcul des facteurs'!$B$4+'Calcul des facteurs'!$C$4</f>
        <v>25.293969115506389</v>
      </c>
      <c r="D400">
        <f>'nebuleair_export (1)'!D400*'Calcul des facteurs'!$B$5+'Calcul des facteurs'!$C$5</f>
        <v>32.416407737073861</v>
      </c>
    </row>
    <row r="401" spans="1:4">
      <c r="A401" t="s">
        <v>2186</v>
      </c>
      <c r="B401" t="e">
        <f>'nebuleair_export (1)'!B401*'Calcul des facteurs'!#REF!+'Calcul des facteurs'!#REF!</f>
        <v>#REF!</v>
      </c>
      <c r="C401">
        <f>'nebuleair_export (1)'!C401*'Calcul des facteurs'!$B$4+'Calcul des facteurs'!$C$4</f>
        <v>20.550566282704619</v>
      </c>
      <c r="D401">
        <f>'nebuleair_export (1)'!D401*'Calcul des facteurs'!$B$5+'Calcul des facteurs'!$C$5</f>
        <v>26.116750503924038</v>
      </c>
    </row>
    <row r="402" spans="1:4">
      <c r="A402" t="s">
        <v>2189</v>
      </c>
      <c r="B402" t="e">
        <f>'nebuleair_export (1)'!B402*'Calcul des facteurs'!#REF!+'Calcul des facteurs'!#REF!</f>
        <v>#REF!</v>
      </c>
      <c r="C402">
        <f>'nebuleair_export (1)'!C402*'Calcul des facteurs'!$B$4+'Calcul des facteurs'!$C$4</f>
        <v>20.849566772554383</v>
      </c>
      <c r="D402">
        <f>'nebuleair_export (1)'!D402*'Calcul des facteurs'!$B$5+'Calcul des facteurs'!$C$5</f>
        <v>27.514996572451516</v>
      </c>
    </row>
    <row r="403" spans="1:4">
      <c r="A403" t="s">
        <v>2193</v>
      </c>
      <c r="B403" t="e">
        <f>'nebuleair_export (1)'!B403*'Calcul des facteurs'!#REF!+'Calcul des facteurs'!#REF!</f>
        <v>#REF!</v>
      </c>
      <c r="C403">
        <f>'nebuleair_export (1)'!C403*'Calcul des facteurs'!$B$4+'Calcul des facteurs'!$C$4</f>
        <v>28.147393543331951</v>
      </c>
      <c r="D403">
        <f>'nebuleair_export (1)'!D403*'Calcul des facteurs'!$B$5+'Calcul des facteurs'!$C$5</f>
        <v>32.377148128238346</v>
      </c>
    </row>
    <row r="404" spans="1:4">
      <c r="A404" t="s">
        <v>2197</v>
      </c>
      <c r="B404" t="e">
        <f>'nebuleair_export (1)'!B404*'Calcul des facteurs'!#REF!+'Calcul des facteurs'!#REF!</f>
        <v>#REF!</v>
      </c>
      <c r="C404">
        <f>'nebuleair_export (1)'!C404*'Calcul des facteurs'!$B$4+'Calcul des facteurs'!$C$4</f>
        <v>26.047007386239237</v>
      </c>
      <c r="D404">
        <f>'nebuleair_export (1)'!D404*'Calcul des facteurs'!$B$5+'Calcul des facteurs'!$C$5</f>
        <v>30.441347415654874</v>
      </c>
    </row>
    <row r="405" spans="1:4">
      <c r="A405" t="s">
        <v>2202</v>
      </c>
      <c r="B405" t="e">
        <f>'nebuleair_export (1)'!B405*'Calcul des facteurs'!#REF!+'Calcul des facteurs'!#REF!</f>
        <v>#REF!</v>
      </c>
      <c r="C405">
        <f>'nebuleair_export (1)'!C405*'Calcul des facteurs'!$B$4+'Calcul des facteurs'!$C$4</f>
        <v>24.444955378896022</v>
      </c>
      <c r="D405">
        <f>'nebuleair_export (1)'!D405*'Calcul des facteurs'!$B$5+'Calcul des facteurs'!$C$5</f>
        <v>29.109540685156752</v>
      </c>
    </row>
    <row r="406" spans="1:4">
      <c r="A406" t="s">
        <v>2205</v>
      </c>
      <c r="B406" t="e">
        <f>'nebuleair_export (1)'!B406*'Calcul des facteurs'!#REF!+'Calcul des facteurs'!#REF!</f>
        <v>#REF!</v>
      </c>
      <c r="C406">
        <f>'nebuleair_export (1)'!C406*'Calcul des facteurs'!$B$4+'Calcul des facteurs'!$C$4</f>
        <v>25.186919557412104</v>
      </c>
      <c r="D406">
        <f>'nebuleair_export (1)'!D406*'Calcul des facteurs'!$B$5+'Calcul des facteurs'!$C$5</f>
        <v>29.290738879782346</v>
      </c>
    </row>
    <row r="407" spans="1:4">
      <c r="A407" t="s">
        <v>2209</v>
      </c>
      <c r="B407" t="e">
        <f>'nebuleair_export (1)'!B407*'Calcul des facteurs'!#REF!+'Calcul des facteurs'!#REF!</f>
        <v>#REF!</v>
      </c>
      <c r="C407">
        <f>'nebuleair_export (1)'!C407*'Calcul des facteurs'!$B$4+'Calcul des facteurs'!$C$4</f>
        <v>25.72585871195605</v>
      </c>
      <c r="D407">
        <f>'nebuleair_export (1)'!D407*'Calcul des facteurs'!$B$5+'Calcul des facteurs'!$C$5</f>
        <v>28.949482279904203</v>
      </c>
    </row>
    <row r="408" spans="1:4">
      <c r="A408" t="s">
        <v>2212</v>
      </c>
      <c r="B408" t="e">
        <f>'nebuleair_export (1)'!B408*'Calcul des facteurs'!#REF!+'Calcul des facteurs'!#REF!</f>
        <v>#REF!</v>
      </c>
      <c r="C408">
        <f>'nebuleair_export (1)'!C408*'Calcul des facteurs'!$B$4+'Calcul des facteurs'!$C$4</f>
        <v>23.551645273418913</v>
      </c>
      <c r="D408">
        <f>'nebuleair_export (1)'!D408*'Calcul des facteurs'!$B$5+'Calcul des facteurs'!$C$5</f>
        <v>29.517236623064342</v>
      </c>
    </row>
    <row r="409" spans="1:4">
      <c r="A409" t="s">
        <v>2215</v>
      </c>
      <c r="B409" t="e">
        <f>'nebuleair_export (1)'!B409*'Calcul des facteurs'!#REF!+'Calcul des facteurs'!#REF!</f>
        <v>#REF!</v>
      </c>
      <c r="C409">
        <f>'nebuleair_export (1)'!C409*'Calcul des facteurs'!$B$4+'Calcul des facteurs'!$C$4</f>
        <v>19.911960298210641</v>
      </c>
      <c r="D409">
        <f>'nebuleair_export (1)'!D409*'Calcul des facteurs'!$B$5+'Calcul des facteurs'!$C$5</f>
        <v>24.697364646023516</v>
      </c>
    </row>
    <row r="410" spans="1:4">
      <c r="A410" t="s">
        <v>2217</v>
      </c>
      <c r="B410" t="e">
        <f>'nebuleair_export (1)'!B410*'Calcul des facteurs'!#REF!+'Calcul des facteurs'!#REF!</f>
        <v>#REF!</v>
      </c>
      <c r="C410">
        <f>'nebuleair_export (1)'!C410*'Calcul des facteurs'!$B$4+'Calcul des facteurs'!$C$4</f>
        <v>21.203937723487435</v>
      </c>
      <c r="D410">
        <f>'nebuleair_export (1)'!D410*'Calcul des facteurs'!$B$5+'Calcul des facteurs'!$C$5</f>
        <v>26.011051557059076</v>
      </c>
    </row>
    <row r="411" spans="1:4">
      <c r="A411" t="s">
        <v>2220</v>
      </c>
      <c r="B411" t="e">
        <f>'nebuleair_export (1)'!B411*'Calcul des facteurs'!#REF!+'Calcul des facteurs'!#REF!</f>
        <v>#REF!</v>
      </c>
      <c r="C411">
        <f>'nebuleair_export (1)'!C411*'Calcul des facteurs'!$B$4+'Calcul des facteurs'!$C$4</f>
        <v>17.999833708801113</v>
      </c>
      <c r="D411">
        <f>'nebuleair_export (1)'!D411*'Calcul des facteurs'!$B$5+'Calcul des facteurs'!$C$5</f>
        <v>21.771013802820157</v>
      </c>
    </row>
    <row r="412" spans="1:4">
      <c r="A412" t="s">
        <v>2223</v>
      </c>
      <c r="B412" t="e">
        <f>'nebuleair_export (1)'!B412*'Calcul des facteurs'!#REF!+'Calcul des facteurs'!#REF!</f>
        <v>#REF!</v>
      </c>
      <c r="C412">
        <f>'nebuleair_export (1)'!C412*'Calcul des facteurs'!$B$4+'Calcul des facteurs'!$C$4</f>
        <v>18.103191902823216</v>
      </c>
      <c r="D412">
        <f>'nebuleair_export (1)'!D412*'Calcul des facteurs'!$B$5+'Calcul des facteurs'!$C$5</f>
        <v>23.377637795167068</v>
      </c>
    </row>
    <row r="413" spans="1:4">
      <c r="A413" t="s">
        <v>2225</v>
      </c>
      <c r="B413" t="e">
        <f>'nebuleair_export (1)'!B413*'Calcul des facteurs'!#REF!+'Calcul des facteurs'!#REF!</f>
        <v>#REF!</v>
      </c>
      <c r="C413">
        <f>'nebuleair_export (1)'!C413*'Calcul des facteurs'!$B$4+'Calcul des facteurs'!$C$4</f>
        <v>21.122727713898644</v>
      </c>
      <c r="D413">
        <f>'nebuleair_export (1)'!D413*'Calcul des facteurs'!$B$5+'Calcul des facteurs'!$C$5</f>
        <v>27.077100935439695</v>
      </c>
    </row>
    <row r="414" spans="1:4">
      <c r="A414" t="s">
        <v>2227</v>
      </c>
      <c r="B414" t="e">
        <f>'nebuleair_export (1)'!B414*'Calcul des facteurs'!#REF!+'Calcul des facteurs'!#REF!</f>
        <v>#REF!</v>
      </c>
      <c r="C414">
        <f>'nebuleair_export (1)'!C414*'Calcul des facteurs'!$B$4+'Calcul des facteurs'!$C$4</f>
        <v>15.877299367274976</v>
      </c>
      <c r="D414">
        <f>'nebuleair_export (1)'!D414*'Calcul des facteurs'!$B$5+'Calcul des facteurs'!$C$5</f>
        <v>21.055280934049058</v>
      </c>
    </row>
    <row r="415" spans="1:4">
      <c r="A415" t="s">
        <v>2230</v>
      </c>
      <c r="B415" t="e">
        <f>'nebuleair_export (1)'!B415*'Calcul des facteurs'!#REF!+'Calcul des facteurs'!#REF!</f>
        <v>#REF!</v>
      </c>
      <c r="C415">
        <f>'nebuleair_export (1)'!C415*'Calcul des facteurs'!$B$4+'Calcul des facteurs'!$C$4</f>
        <v>16.951486312290793</v>
      </c>
      <c r="D415">
        <f>'nebuleair_export (1)'!D415*'Calcul des facteurs'!$B$5+'Calcul des facteurs'!$C$5</f>
        <v>19.968091766295487</v>
      </c>
    </row>
    <row r="416" spans="1:4">
      <c r="A416" t="s">
        <v>2232</v>
      </c>
      <c r="B416" t="e">
        <f>'nebuleair_export (1)'!B416*'Calcul des facteurs'!#REF!+'Calcul des facteurs'!#REF!</f>
        <v>#REF!</v>
      </c>
      <c r="C416">
        <f>'nebuleair_export (1)'!C416*'Calcul des facteurs'!$B$4+'Calcul des facteurs'!$C$4</f>
        <v>11.381217927311861</v>
      </c>
      <c r="D416">
        <f>'nebuleair_export (1)'!D416*'Calcul des facteurs'!$B$5+'Calcul des facteurs'!$C$5</f>
        <v>17.914512227205471</v>
      </c>
    </row>
    <row r="417" spans="1:4">
      <c r="A417" t="s">
        <v>2234</v>
      </c>
      <c r="B417" t="e">
        <f>'nebuleair_export (1)'!B417*'Calcul des facteurs'!#REF!+'Calcul des facteurs'!#REF!</f>
        <v>#REF!</v>
      </c>
      <c r="C417">
        <f>'nebuleair_export (1)'!C417*'Calcul des facteurs'!$B$4+'Calcul des facteurs'!$C$4</f>
        <v>11.665452960872784</v>
      </c>
      <c r="D417">
        <f>'nebuleair_export (1)'!D417*'Calcul des facteurs'!$B$5+'Calcul des facteurs'!$C$5</f>
        <v>17.331658034493081</v>
      </c>
    </row>
    <row r="418" spans="1:4">
      <c r="A418" t="s">
        <v>2236</v>
      </c>
      <c r="B418" t="e">
        <f>'nebuleair_export (1)'!B418*'Calcul des facteurs'!#REF!+'Calcul des facteurs'!#REF!</f>
        <v>#REF!</v>
      </c>
      <c r="C418">
        <f>'nebuleair_export (1)'!C418*'Calcul des facteurs'!$B$4+'Calcul des facteurs'!$C$4</f>
        <v>14.910161980353553</v>
      </c>
      <c r="D418">
        <f>'nebuleair_export (1)'!D418*'Calcul des facteurs'!$B$5+'Calcul des facteurs'!$C$5</f>
        <v>20.871062769513067</v>
      </c>
    </row>
    <row r="419" spans="1:4">
      <c r="A419" t="s">
        <v>2238</v>
      </c>
      <c r="B419" t="e">
        <f>'nebuleair_export (1)'!B419*'Calcul des facteurs'!#REF!+'Calcul des facteurs'!#REF!</f>
        <v>#REF!</v>
      </c>
      <c r="C419">
        <f>'nebuleair_export (1)'!C419*'Calcul des facteurs'!$B$4+'Calcul des facteurs'!$C$4</f>
        <v>14.902779252209079</v>
      </c>
      <c r="D419">
        <f>'nebuleair_export (1)'!D419*'Calcul des facteurs'!$B$5+'Calcul des facteurs'!$C$5</f>
        <v>18.965461756033925</v>
      </c>
    </row>
    <row r="420" spans="1:4">
      <c r="A420" t="s">
        <v>2241</v>
      </c>
      <c r="B420" t="e">
        <f>'nebuleair_export (1)'!B420*'Calcul des facteurs'!#REF!+'Calcul des facteurs'!#REF!</f>
        <v>#REF!</v>
      </c>
      <c r="C420">
        <f>'nebuleair_export (1)'!C420*'Calcul des facteurs'!$B$4+'Calcul des facteurs'!$C$4</f>
        <v>11.573168859067339</v>
      </c>
      <c r="D420">
        <f>'nebuleair_export (1)'!D420*'Calcul des facteurs'!$B$5+'Calcul des facteurs'!$C$5</f>
        <v>19.068140732988397</v>
      </c>
    </row>
    <row r="421" spans="1:4">
      <c r="A421" t="s">
        <v>2243</v>
      </c>
      <c r="B421" t="e">
        <f>'nebuleair_export (1)'!B421*'Calcul des facteurs'!#REF!+'Calcul des facteurs'!#REF!</f>
        <v>#REF!</v>
      </c>
      <c r="C421">
        <f>'nebuleair_export (1)'!C421*'Calcul des facteurs'!$B$4+'Calcul des facteurs'!$C$4</f>
        <v>11.757737062678229</v>
      </c>
      <c r="D421">
        <f>'nebuleair_export (1)'!D421*'Calcul des facteurs'!$B$5+'Calcul des facteurs'!$C$5</f>
        <v>16.733703992228619</v>
      </c>
    </row>
    <row r="422" spans="1:4">
      <c r="A422" t="s">
        <v>2245</v>
      </c>
      <c r="B422" t="e">
        <f>'nebuleair_export (1)'!B422*'Calcul des facteurs'!#REF!+'Calcul des facteurs'!#REF!</f>
        <v>#REF!</v>
      </c>
      <c r="C422">
        <f>'nebuleair_export (1)'!C422*'Calcul des facteurs'!$B$4+'Calcul des facteurs'!$C$4</f>
        <v>11.95337935850589</v>
      </c>
      <c r="D422">
        <f>'nebuleair_export (1)'!D422*'Calcul des facteurs'!$B$5+'Calcul des facteurs'!$C$5</f>
        <v>17.416217191985087</v>
      </c>
    </row>
    <row r="423" spans="1:4">
      <c r="A423" t="s">
        <v>2247</v>
      </c>
      <c r="B423" t="e">
        <f>'nebuleair_export (1)'!B423*'Calcul des facteurs'!#REF!+'Calcul des facteurs'!#REF!</f>
        <v>#REF!</v>
      </c>
      <c r="C423">
        <f>'nebuleair_export (1)'!C423*'Calcul des facteurs'!$B$4+'Calcul des facteurs'!$C$4</f>
        <v>10.87550104941789</v>
      </c>
      <c r="D423">
        <f>'nebuleair_export (1)'!D423*'Calcul des facteurs'!$B$5+'Calcul des facteurs'!$C$5</f>
        <v>14.710324152242841</v>
      </c>
    </row>
    <row r="424" spans="1:4">
      <c r="A424" t="s">
        <v>2249</v>
      </c>
      <c r="B424" t="e">
        <f>'nebuleair_export (1)'!B424*'Calcul des facteurs'!#REF!+'Calcul des facteurs'!#REF!</f>
        <v>#REF!</v>
      </c>
      <c r="C424">
        <f>'nebuleair_export (1)'!C424*'Calcul des facteurs'!$B$4+'Calcul des facteurs'!$C$4</f>
        <v>9.2106958528469747</v>
      </c>
      <c r="D424">
        <f>'nebuleair_export (1)'!D424*'Calcul des facteurs'!$B$5+'Calcul des facteurs'!$C$5</f>
        <v>14.281488424962296</v>
      </c>
    </row>
    <row r="425" spans="1:4">
      <c r="A425" t="s">
        <v>2251</v>
      </c>
      <c r="B425" t="e">
        <f>'nebuleair_export (1)'!B425*'Calcul des facteurs'!#REF!+'Calcul des facteurs'!#REF!</f>
        <v>#REF!</v>
      </c>
      <c r="C425">
        <f>'nebuleair_export (1)'!C425*'Calcul des facteurs'!$B$4+'Calcul des facteurs'!$C$4</f>
        <v>8.609003509075233</v>
      </c>
      <c r="D425">
        <f>'nebuleair_export (1)'!D425*'Calcul des facteurs'!$B$5+'Calcul des facteurs'!$C$5</f>
        <v>11.110520019014384</v>
      </c>
    </row>
    <row r="426" spans="1:4">
      <c r="A426" t="s">
        <v>2253</v>
      </c>
      <c r="B426" t="e">
        <f>'nebuleair_export (1)'!B426*'Calcul des facteurs'!#REF!+'Calcul des facteurs'!#REF!</f>
        <v>#REF!</v>
      </c>
      <c r="C426">
        <f>'nebuleair_export (1)'!C426*'Calcul des facteurs'!$B$4+'Calcul des facteurs'!$C$4</f>
        <v>6.8371487544099647</v>
      </c>
      <c r="D426">
        <f>'nebuleair_export (1)'!D426*'Calcul des facteurs'!$B$5+'Calcul des facteurs'!$C$5</f>
        <v>10.914221974836655</v>
      </c>
    </row>
    <row r="427" spans="1:4">
      <c r="A427" t="s">
        <v>2255</v>
      </c>
      <c r="B427" t="e">
        <f>'nebuleair_export (1)'!B427*'Calcul des facteurs'!#REF!+'Calcul des facteurs'!#REF!</f>
        <v>#REF!</v>
      </c>
      <c r="C427">
        <f>'nebuleair_export (1)'!C427*'Calcul des facteurs'!$B$4+'Calcul des facteurs'!$C$4</f>
        <v>7.5791129329260452</v>
      </c>
      <c r="D427">
        <f>'nebuleair_export (1)'!D427*'Calcul des facteurs'!$B$5+'Calcul des facteurs'!$C$5</f>
        <v>10.428006819257972</v>
      </c>
    </row>
    <row r="428" spans="1:4">
      <c r="A428" t="s">
        <v>2256</v>
      </c>
      <c r="B428" t="e">
        <f>'nebuleair_export (1)'!B428*'Calcul des facteurs'!#REF!+'Calcul des facteurs'!#REF!</f>
        <v>#REF!</v>
      </c>
      <c r="C428">
        <f>'nebuleair_export (1)'!C428*'Calcul des facteurs'!$B$4+'Calcul des facteurs'!$C$4</f>
        <v>8.2361757377810783</v>
      </c>
      <c r="D428">
        <f>'nebuleair_export (1)'!D428*'Calcul des facteurs'!$B$5+'Calcul des facteurs'!$C$5</f>
        <v>13.541595796907753</v>
      </c>
    </row>
    <row r="429" spans="1:4">
      <c r="A429" t="s">
        <v>2258</v>
      </c>
      <c r="B429" t="e">
        <f>'nebuleair_export (1)'!B429*'Calcul des facteurs'!#REF!+'Calcul des facteurs'!#REF!</f>
        <v>#REF!</v>
      </c>
      <c r="C429">
        <f>'nebuleair_export (1)'!C429*'Calcul des facteurs'!$B$4+'Calcul des facteurs'!$C$4</f>
        <v>8.9153867270694391</v>
      </c>
      <c r="D429">
        <f>'nebuleair_export (1)'!D429*'Calcul des facteurs'!$B$5+'Calcul des facteurs'!$C$5</f>
        <v>11.506136077280262</v>
      </c>
    </row>
    <row r="430" spans="1:4">
      <c r="A430" t="s">
        <v>2260</v>
      </c>
      <c r="B430" t="e">
        <f>'nebuleair_export (1)'!B430*'Calcul des facteurs'!#REF!+'Calcul des facteurs'!#REF!</f>
        <v>#REF!</v>
      </c>
      <c r="C430">
        <f>'nebuleair_export (1)'!C430*'Calcul des facteurs'!$B$4+'Calcul des facteurs'!$C$4</f>
        <v>7.2284333460652075</v>
      </c>
      <c r="D430">
        <f>'nebuleair_export (1)'!D430*'Calcul des facteurs'!$B$5+'Calcul des facteurs'!$C$5</f>
        <v>11.42157691978832</v>
      </c>
    </row>
    <row r="431" spans="1:4">
      <c r="A431" t="s">
        <v>2261</v>
      </c>
      <c r="B431" t="e">
        <f>'nebuleair_export (1)'!B431*'Calcul des facteurs'!#REF!+'Calcul des facteurs'!#REF!</f>
        <v>#REF!</v>
      </c>
      <c r="C431">
        <f>'nebuleair_export (1)'!C431*'Calcul des facteurs'!$B$4+'Calcul des facteurs'!$C$4</f>
        <v>7.2838038071484981</v>
      </c>
      <c r="D431">
        <f>'nebuleair_export (1)'!D431*'Calcul des facteurs'!$B$5+'Calcul des facteurs'!$C$5</f>
        <v>11.934971804560842</v>
      </c>
    </row>
    <row r="432" spans="1:4">
      <c r="A432" t="s">
        <v>2263</v>
      </c>
      <c r="B432" t="e">
        <f>'nebuleair_export (1)'!B432*'Calcul des facteurs'!#REF!+'Calcul des facteurs'!#REF!</f>
        <v>#REF!</v>
      </c>
      <c r="C432">
        <f>'nebuleair_export (1)'!C432*'Calcul des facteurs'!$B$4+'Calcul des facteurs'!$C$4</f>
        <v>5.2350967470667822</v>
      </c>
      <c r="D432">
        <f>'nebuleair_export (1)'!D432*'Calcul des facteurs'!$B$5+'Calcul des facteurs'!$C$5</f>
        <v>10.766243449225755</v>
      </c>
    </row>
    <row r="433" spans="1:4">
      <c r="A433" t="s">
        <v>2265</v>
      </c>
      <c r="B433" t="e">
        <f>'nebuleair_export (1)'!B433*'Calcul des facteurs'!#REF!+'Calcul des facteurs'!#REF!</f>
        <v>#REF!</v>
      </c>
      <c r="C433">
        <f>'nebuleair_export (1)'!C433*'Calcul des facteurs'!$B$4+'Calcul des facteurs'!$C$4</f>
        <v>5.7445049890330466</v>
      </c>
      <c r="D433">
        <f>'nebuleair_export (1)'!D433*'Calcul des facteurs'!$B$5+'Calcul des facteurs'!$C$5</f>
        <v>11.170919417222912</v>
      </c>
    </row>
    <row r="434" spans="1:4">
      <c r="A434" t="s">
        <v>2266</v>
      </c>
      <c r="B434" t="e">
        <f>'nebuleair_export (1)'!B434*'Calcul des facteurs'!#REF!+'Calcul des facteurs'!#REF!</f>
        <v>#REF!</v>
      </c>
      <c r="C434">
        <f>'nebuleair_export (1)'!C434*'Calcul des facteurs'!$B$4+'Calcul des facteurs'!$C$4</f>
        <v>5.4122822225333094</v>
      </c>
      <c r="D434">
        <f>'nebuleair_export (1)'!D434*'Calcul des facteurs'!$B$5+'Calcul des facteurs'!$C$5</f>
        <v>8.5193858358683769</v>
      </c>
    </row>
    <row r="435" spans="1:4">
      <c r="A435" t="s">
        <v>2268</v>
      </c>
      <c r="B435" t="e">
        <f>'nebuleair_export (1)'!B435*'Calcul des facteurs'!#REF!+'Calcul des facteurs'!#REF!</f>
        <v>#REF!</v>
      </c>
      <c r="C435">
        <f>'nebuleair_export (1)'!C435*'Calcul des facteurs'!$B$4+'Calcul des facteurs'!$C$4</f>
        <v>5.2055658344890352</v>
      </c>
      <c r="D435">
        <f>'nebuleair_export (1)'!D435*'Calcul des facteurs'!$B$5+'Calcul des facteurs'!$C$5</f>
        <v>8.9391616534176705</v>
      </c>
    </row>
    <row r="436" spans="1:4">
      <c r="A436" t="s">
        <v>2270</v>
      </c>
      <c r="B436" t="e">
        <f>'nebuleair_export (1)'!B436*'Calcul des facteurs'!#REF!+'Calcul des facteurs'!#REF!</f>
        <v>#REF!</v>
      </c>
      <c r="C436">
        <f>'nebuleair_export (1)'!C436*'Calcul des facteurs'!$B$4+'Calcul des facteurs'!$C$4</f>
        <v>4.8733430679892979</v>
      </c>
      <c r="D436">
        <f>'nebuleair_export (1)'!D436*'Calcul des facteurs'!$B$5+'Calcul des facteurs'!$C$5</f>
        <v>8.3653673704366227</v>
      </c>
    </row>
    <row r="437" spans="1:4">
      <c r="A437" t="s">
        <v>2272</v>
      </c>
      <c r="B437" t="e">
        <f>'nebuleair_export (1)'!B437*'Calcul des facteurs'!#REF!+'Calcul des facteurs'!#REF!</f>
        <v>#REF!</v>
      </c>
      <c r="C437">
        <f>'nebuleair_export (1)'!C437*'Calcul des facteurs'!$B$4+'Calcul des facteurs'!$C$4</f>
        <v>4.0612429721010432</v>
      </c>
      <c r="D437">
        <f>'nebuleair_export (1)'!D437*'Calcul des facteurs'!$B$5+'Calcul des facteurs'!$C$5</f>
        <v>6.8735022346858878</v>
      </c>
    </row>
    <row r="438" spans="1:4">
      <c r="A438" t="s">
        <v>2274</v>
      </c>
      <c r="B438" t="e">
        <f>'nebuleair_export (1)'!B438*'Calcul des facteurs'!#REF!+'Calcul des facteurs'!#REF!</f>
        <v>#REF!</v>
      </c>
      <c r="C438">
        <f>'nebuleair_export (1)'!C438*'Calcul des facteurs'!$B$4+'Calcul des facteurs'!$C$4</f>
        <v>3.7843906666845952</v>
      </c>
      <c r="D438">
        <f>'nebuleair_export (1)'!D438*'Calcul des facteurs'!$B$5+'Calcul des facteurs'!$C$5</f>
        <v>6.5654653038223767</v>
      </c>
    </row>
    <row r="439" spans="1:4">
      <c r="A439" t="s">
        <v>2276</v>
      </c>
      <c r="B439" t="e">
        <f>'nebuleair_export (1)'!B439*'Calcul des facteurs'!#REF!+'Calcul des facteurs'!#REF!</f>
        <v>#REF!</v>
      </c>
      <c r="C439">
        <f>'nebuleair_export (1)'!C439*'Calcul des facteurs'!$B$4+'Calcul des facteurs'!$C$4</f>
        <v>3.0535005803851729</v>
      </c>
      <c r="D439">
        <f>'nebuleair_export (1)'!D439*'Calcul des facteurs'!$B$5+'Calcul des facteurs'!$C$5</f>
        <v>5.7742331872906156</v>
      </c>
    </row>
    <row r="440" spans="1:4">
      <c r="A440" t="s">
        <v>2278</v>
      </c>
      <c r="B440" t="e">
        <f>'nebuleair_export (1)'!B440*'Calcul des facteurs'!#REF!+'Calcul des facteurs'!#REF!</f>
        <v>#REF!</v>
      </c>
      <c r="C440">
        <f>'nebuleair_export (1)'!C440*'Calcul des facteurs'!$B$4+'Calcul des facteurs'!$C$4</f>
        <v>2.9316855660019354</v>
      </c>
      <c r="D440">
        <f>'nebuleair_export (1)'!D440*'Calcul des facteurs'!$B$5+'Calcul des facteurs'!$C$5</f>
        <v>5.6202147218588507</v>
      </c>
    </row>
    <row r="441" spans="1:4">
      <c r="A441" t="s">
        <v>2280</v>
      </c>
      <c r="B441" t="e">
        <f>'nebuleair_export (1)'!B441*'Calcul des facteurs'!#REF!+'Calcul des facteurs'!#REF!</f>
        <v>#REF!</v>
      </c>
      <c r="C441">
        <f>'nebuleair_export (1)'!C441*'Calcul des facteurs'!$B$4+'Calcul des facteurs'!$C$4</f>
        <v>2.6142282557910828</v>
      </c>
      <c r="D441">
        <f>'nebuleair_export (1)'!D441*'Calcul des facteurs'!$B$5+'Calcul des facteurs'!$C$5</f>
        <v>5.2819780918910766</v>
      </c>
    </row>
    <row r="442" spans="1:4">
      <c r="A442" t="s">
        <v>2282</v>
      </c>
      <c r="B442" t="e">
        <f>'nebuleair_export (1)'!B442*'Calcul des facteurs'!#REF!+'Calcul des facteurs'!#REF!</f>
        <v>#REF!</v>
      </c>
      <c r="C442">
        <f>'nebuleair_export (1)'!C442*'Calcul des facteurs'!$B$4+'Calcul des facteurs'!$C$4</f>
        <v>2.6474505324410567</v>
      </c>
      <c r="D442">
        <f>'nebuleair_export (1)'!D442*'Calcul des facteurs'!$B$5+'Calcul des facteurs'!$C$5</f>
        <v>5.3151977609057717</v>
      </c>
    </row>
    <row r="443" spans="1:4">
      <c r="A443" t="s">
        <v>2284</v>
      </c>
      <c r="B443" t="e">
        <f>'nebuleair_export (1)'!B443*'Calcul des facteurs'!#REF!+'Calcul des facteurs'!#REF!</f>
        <v>#REF!</v>
      </c>
      <c r="C443">
        <f>'nebuleair_export (1)'!C443*'Calcul des facteurs'!$B$4+'Calcul des facteurs'!$C$4</f>
        <v>1.8685727132027756</v>
      </c>
      <c r="D443">
        <f>'nebuleair_export (1)'!D443*'Calcul des facteurs'!$B$5+'Calcul des facteurs'!$C$5</f>
        <v>4.4696061859863319</v>
      </c>
    </row>
    <row r="444" spans="1:4">
      <c r="A444" t="s">
        <v>2286</v>
      </c>
      <c r="B444" t="e">
        <f>'nebuleair_export (1)'!B444*'Calcul des facteurs'!#REF!+'Calcul des facteurs'!#REF!</f>
        <v>#REF!</v>
      </c>
      <c r="C444">
        <f>'nebuleair_export (1)'!C444*'Calcul des facteurs'!$B$4+'Calcul des facteurs'!$C$4</f>
        <v>1.8833381694916491</v>
      </c>
      <c r="D444">
        <f>'nebuleair_export (1)'!D444*'Calcul des facteurs'!$B$5+'Calcul des facteurs'!$C$5</f>
        <v>4.5481254036574175</v>
      </c>
    </row>
    <row r="445" spans="1:4">
      <c r="A445" t="s">
        <v>2288</v>
      </c>
      <c r="B445" t="e">
        <f>'nebuleair_export (1)'!B445*'Calcul des facteurs'!#REF!+'Calcul des facteurs'!#REF!</f>
        <v>#REF!</v>
      </c>
      <c r="C445">
        <f>'nebuleair_export (1)'!C445*'Calcul des facteurs'!$B$4+'Calcul des facteurs'!$C$4</f>
        <v>2.4075118677467979</v>
      </c>
      <c r="D445">
        <f>'nebuleair_export (1)'!D445*'Calcul des facteurs'!$B$5+'Calcul des facteurs'!$C$5</f>
        <v>5.0554803486090831</v>
      </c>
    </row>
    <row r="446" spans="1:4">
      <c r="A446" t="s">
        <v>2290</v>
      </c>
      <c r="B446" t="e">
        <f>'nebuleair_export (1)'!B446*'Calcul des facteurs'!#REF!+'Calcul des facteurs'!#REF!</f>
        <v>#REF!</v>
      </c>
      <c r="C446">
        <f>'nebuleair_export (1)'!C446*'Calcul des facteurs'!$B$4+'Calcul des facteurs'!$C$4</f>
        <v>2.5551664306355666</v>
      </c>
      <c r="D446">
        <f>'nebuleair_export (1)'!D446*'Calcul des facteurs'!$B$5+'Calcul des facteurs'!$C$5</f>
        <v>5.2185587237721185</v>
      </c>
    </row>
    <row r="447" spans="1:4">
      <c r="A447" t="s">
        <v>2291</v>
      </c>
      <c r="B447" t="e">
        <f>'nebuleair_export (1)'!B447*'Calcul des facteurs'!#REF!+'Calcul des facteurs'!#REF!</f>
        <v>#REF!</v>
      </c>
      <c r="C447">
        <f>'nebuleair_export (1)'!C447*'Calcul des facteurs'!$B$4+'Calcul des facteurs'!$C$4</f>
        <v>3.0867228570351464</v>
      </c>
      <c r="D447">
        <f>'nebuleair_export (1)'!D447*'Calcul des facteurs'!$B$5+'Calcul des facteurs'!$C$5</f>
        <v>5.7983929465740225</v>
      </c>
    </row>
    <row r="448" spans="1:4">
      <c r="A448" t="s">
        <v>2292</v>
      </c>
      <c r="B448" t="e">
        <f>'nebuleair_export (1)'!B448*'Calcul des facteurs'!#REF!+'Calcul des facteurs'!#REF!</f>
        <v>#REF!</v>
      </c>
      <c r="C448">
        <f>'nebuleair_export (1)'!C448*'Calcul des facteurs'!$B$4+'Calcul des facteurs'!$C$4</f>
        <v>3.4410938079681999</v>
      </c>
      <c r="D448">
        <f>'nebuleair_export (1)'!D448*'Calcul des facteurs'!$B$5+'Calcul des facteurs'!$C$5</f>
        <v>6.1940090048399075</v>
      </c>
    </row>
    <row r="449" spans="1:4">
      <c r="A449" t="s">
        <v>2294</v>
      </c>
      <c r="B449" t="e">
        <f>'nebuleair_export (1)'!B449*'Calcul des facteurs'!#REF!+'Calcul des facteurs'!#REF!</f>
        <v>#REF!</v>
      </c>
      <c r="C449">
        <f>'nebuleair_export (1)'!C449*'Calcul des facteurs'!$B$4+'Calcul des facteurs'!$C$4</f>
        <v>3.3709578905960367</v>
      </c>
      <c r="D449">
        <f>'nebuleair_export (1)'!D449*'Calcul des facteurs'!$B$5+'Calcul des facteurs'!$C$5</f>
        <v>6.1336096066313726</v>
      </c>
    </row>
    <row r="450" spans="1:4">
      <c r="A450" t="s">
        <v>2296</v>
      </c>
      <c r="B450" t="e">
        <f>'nebuleair_export (1)'!B450*'Calcul des facteurs'!#REF!+'Calcul des facteurs'!#REF!</f>
        <v>#REF!</v>
      </c>
      <c r="C450">
        <f>'nebuleair_export (1)'!C450*'Calcul des facteurs'!$B$4+'Calcul des facteurs'!$C$4</f>
        <v>4.7699848739671502</v>
      </c>
      <c r="D450">
        <f>'nebuleair_export (1)'!D450*'Calcul des facteurs'!$B$5+'Calcul des facteurs'!$C$5</f>
        <v>7.6617143813072257</v>
      </c>
    </row>
    <row r="451" spans="1:4">
      <c r="A451" t="s">
        <v>2298</v>
      </c>
      <c r="B451" t="e">
        <f>'nebuleair_export (1)'!B451*'Calcul des facteurs'!#REF!+'Calcul des facteurs'!#REF!</f>
        <v>#REF!</v>
      </c>
      <c r="C451">
        <f>'nebuleair_export (1)'!C451*'Calcul des facteurs'!$B$4+'Calcul des facteurs'!$C$4</f>
        <v>3.5075383612681472</v>
      </c>
      <c r="D451">
        <f>'nebuleair_export (1)'!D451*'Calcul des facteurs'!$B$5+'Calcul des facteurs'!$C$5</f>
        <v>6.2664882826901458</v>
      </c>
    </row>
    <row r="452" spans="1:4">
      <c r="A452" t="s">
        <v>2300</v>
      </c>
      <c r="B452" t="e">
        <f>'nebuleair_export (1)'!B452*'Calcul des facteurs'!#REF!+'Calcul des facteurs'!#REF!</f>
        <v>#REF!</v>
      </c>
      <c r="C452">
        <f>'nebuleair_export (1)'!C452*'Calcul des facteurs'!$B$4+'Calcul des facteurs'!$C$4</f>
        <v>3.8249956714790114</v>
      </c>
      <c r="D452">
        <f>'nebuleair_export (1)'!D452*'Calcul des facteurs'!$B$5+'Calcul des facteurs'!$C$5</f>
        <v>6.6198247622100546</v>
      </c>
    </row>
    <row r="453" spans="1:4">
      <c r="A453" t="s">
        <v>2302</v>
      </c>
      <c r="B453" t="e">
        <f>'nebuleair_export (1)'!B453*'Calcul des facteurs'!#REF!+'Calcul des facteurs'!#REF!</f>
        <v>#REF!</v>
      </c>
      <c r="C453">
        <f>'nebuleair_export (1)'!C453*'Calcul des facteurs'!$B$4+'Calcul des facteurs'!$C$4</f>
        <v>3.3635751624515944</v>
      </c>
      <c r="D453">
        <f>'nebuleair_export (1)'!D453*'Calcul des facteurs'!$B$5+'Calcul des facteurs'!$C$5</f>
        <v>6.1185097570792362</v>
      </c>
    </row>
    <row r="454" spans="1:4">
      <c r="A454" t="s">
        <v>2304</v>
      </c>
      <c r="B454" t="e">
        <f>'nebuleair_export (1)'!B454*'Calcul des facteurs'!#REF!+'Calcul des facteurs'!#REF!</f>
        <v>#REF!</v>
      </c>
      <c r="C454">
        <f>'nebuleair_export (1)'!C454*'Calcul des facteurs'!$B$4+'Calcul des facteurs'!$C$4</f>
        <v>2.8209446438353569</v>
      </c>
      <c r="D454">
        <f>'nebuleair_export (1)'!D454*'Calcul des facteurs'!$B$5+'Calcul des facteurs'!$C$5</f>
        <v>5.50847583517307</v>
      </c>
    </row>
    <row r="455" spans="1:4">
      <c r="A455" t="s">
        <v>2306</v>
      </c>
      <c r="B455" t="e">
        <f>'nebuleair_export (1)'!B455*'Calcul des facteurs'!#REF!+'Calcul des facteurs'!#REF!</f>
        <v>#REF!</v>
      </c>
      <c r="C455">
        <f>'nebuleair_export (1)'!C455*'Calcul des facteurs'!$B$4+'Calcul des facteurs'!$C$4</f>
        <v>3.3414269780182786</v>
      </c>
      <c r="D455">
        <f>'nebuleair_export (1)'!D455*'Calcul des facteurs'!$B$5+'Calcul des facteurs'!$C$5</f>
        <v>6.0641502986915672</v>
      </c>
    </row>
    <row r="456" spans="1:4">
      <c r="A456" t="s">
        <v>2308</v>
      </c>
      <c r="B456" t="e">
        <f>'nebuleair_export (1)'!B456*'Calcul des facteurs'!#REF!+'Calcul des facteurs'!#REF!</f>
        <v>#REF!</v>
      </c>
      <c r="C456">
        <f>'nebuleair_export (1)'!C456*'Calcul des facteurs'!$B$4+'Calcul des facteurs'!$C$4</f>
        <v>3.3303528858016209</v>
      </c>
      <c r="D456">
        <f>'nebuleair_export (1)'!D456*'Calcul des facteurs'!$B$5+'Calcul des facteurs'!$C$5</f>
        <v>6.0671702686019913</v>
      </c>
    </row>
    <row r="457" spans="1:4">
      <c r="A457" t="s">
        <v>2310</v>
      </c>
      <c r="B457" t="e">
        <f>'nebuleair_export (1)'!B457*'Calcul des facteurs'!#REF!+'Calcul des facteurs'!#REF!</f>
        <v>#REF!</v>
      </c>
      <c r="C457">
        <f>'nebuleair_export (1)'!C457*'Calcul des facteurs'!$B$4+'Calcul des facteurs'!$C$4</f>
        <v>2.0236100042359864</v>
      </c>
      <c r="D457">
        <f>'nebuleair_export (1)'!D457*'Calcul des facteurs'!$B$5+'Calcul des facteurs'!$C$5</f>
        <v>4.6357045310597913</v>
      </c>
    </row>
    <row r="458" spans="1:4">
      <c r="A458" t="s">
        <v>2311</v>
      </c>
      <c r="B458" t="e">
        <f>'nebuleair_export (1)'!B458*'Calcul des facteurs'!#REF!+'Calcul des facteurs'!#REF!</f>
        <v>#REF!</v>
      </c>
      <c r="C458">
        <f>'nebuleair_export (1)'!C458*'Calcul des facteurs'!$B$4+'Calcul des facteurs'!$C$4</f>
        <v>2.0162272760915441</v>
      </c>
      <c r="D458">
        <f>'nebuleair_export (1)'!D458*'Calcul des facteurs'!$B$5+'Calcul des facteurs'!$C$5</f>
        <v>4.6145647416868076</v>
      </c>
    </row>
    <row r="459" spans="1:4">
      <c r="A459" t="s">
        <v>2313</v>
      </c>
      <c r="B459" t="e">
        <f>'nebuleair_export (1)'!B459*'Calcul des facteurs'!#REF!+'Calcul des facteurs'!#REF!</f>
        <v>#REF!</v>
      </c>
      <c r="C459">
        <f>'nebuleair_export (1)'!C459*'Calcul des facteurs'!$B$4+'Calcul des facteurs'!$C$4</f>
        <v>2.1528077467636657</v>
      </c>
      <c r="D459">
        <f>'nebuleair_export (1)'!D459*'Calcul des facteurs'!$B$5+'Calcul des facteurs'!$C$5</f>
        <v>4.7867030265811144</v>
      </c>
    </row>
    <row r="460" spans="1:4">
      <c r="A460" t="s">
        <v>2315</v>
      </c>
      <c r="B460" t="e">
        <f>'nebuleair_export (1)'!B460*'Calcul des facteurs'!#REF!+'Calcul des facteurs'!#REF!</f>
        <v>#REF!</v>
      </c>
      <c r="C460">
        <f>'nebuleair_export (1)'!C460*'Calcul des facteurs'!$B$4+'Calcul des facteurs'!$C$4</f>
        <v>2.4554996006856453</v>
      </c>
      <c r="D460">
        <f>'nebuleair_export (1)'!D460*'Calcul des facteurs'!$B$5+'Calcul des facteurs'!$C$5</f>
        <v>5.1007798972654816</v>
      </c>
    </row>
    <row r="461" spans="1:4">
      <c r="A461" t="s">
        <v>2317</v>
      </c>
      <c r="B461" t="e">
        <f>'nebuleair_export (1)'!B461*'Calcul des facteurs'!#REF!+'Calcul des facteurs'!#REF!</f>
        <v>#REF!</v>
      </c>
      <c r="C461">
        <f>'nebuleair_export (1)'!C461*'Calcul des facteurs'!$B$4+'Calcul des facteurs'!$C$4</f>
        <v>3.437402443895984</v>
      </c>
      <c r="D461">
        <f>'nebuleair_export (1)'!D461*'Calcul des facteurs'!$B$5+'Calcul des facteurs'!$C$5</f>
        <v>6.1849490951086281</v>
      </c>
    </row>
    <row r="462" spans="1:4">
      <c r="A462" t="s">
        <v>2319</v>
      </c>
      <c r="B462" t="e">
        <f>'nebuleair_export (1)'!B462*'Calcul des facteurs'!#REF!+'Calcul des facteurs'!#REF!</f>
        <v>#REF!</v>
      </c>
      <c r="C462">
        <f>'nebuleair_export (1)'!C462*'Calcul des facteurs'!$B$4+'Calcul des facteurs'!$C$4</f>
        <v>3.6145879193625112</v>
      </c>
      <c r="D462">
        <f>'nebuleair_export (1)'!D462*'Calcul des facteurs'!$B$5+'Calcul des facteurs'!$C$5</f>
        <v>6.3872870791072049</v>
      </c>
    </row>
    <row r="463" spans="1:4">
      <c r="A463" t="s">
        <v>2321</v>
      </c>
      <c r="B463" t="e">
        <f>'nebuleair_export (1)'!B463*'Calcul des facteurs'!#REF!+'Calcul des facteurs'!#REF!</f>
        <v>#REF!</v>
      </c>
      <c r="C463">
        <f>'nebuleair_export (1)'!C463*'Calcul des facteurs'!$B$4+'Calcul des facteurs'!$C$4</f>
        <v>3.3525010702349367</v>
      </c>
      <c r="D463">
        <f>'nebuleair_export (1)'!D463*'Calcul des facteurs'!$B$5+'Calcul des facteurs'!$C$5</f>
        <v>6.4899660560617063</v>
      </c>
    </row>
    <row r="464" spans="1:4">
      <c r="A464" t="s">
        <v>2323</v>
      </c>
      <c r="B464" t="e">
        <f>'nebuleair_export (1)'!B464*'Calcul des facteurs'!#REF!+'Calcul des facteurs'!#REF!</f>
        <v>#REF!</v>
      </c>
      <c r="C464">
        <f>'nebuleair_export (1)'!C464*'Calcul des facteurs'!$B$4+'Calcul des facteurs'!$C$4</f>
        <v>4.4451448356118552</v>
      </c>
      <c r="D464">
        <f>'nebuleair_export (1)'!D464*'Calcul des facteurs'!$B$5+'Calcul des facteurs'!$C$5</f>
        <v>8.0724302891252364</v>
      </c>
    </row>
    <row r="465" spans="1:4">
      <c r="A465" t="s">
        <v>2325</v>
      </c>
      <c r="B465" t="e">
        <f>'nebuleair_export (1)'!B465*'Calcul des facteurs'!#REF!+'Calcul des facteurs'!#REF!</f>
        <v>#REF!</v>
      </c>
      <c r="C465">
        <f>'nebuleair_export (1)'!C465*'Calcul des facteurs'!$B$4+'Calcul des facteurs'!$C$4</f>
        <v>4.592799398500623</v>
      </c>
      <c r="D465">
        <f>'nebuleair_export (1)'!D465*'Calcul des facteurs'!$B$5+'Calcul des facteurs'!$C$5</f>
        <v>7.6466145317550902</v>
      </c>
    </row>
    <row r="466" spans="1:4">
      <c r="A466" t="s">
        <v>2327</v>
      </c>
      <c r="B466" t="e">
        <f>'nebuleair_export (1)'!B466*'Calcul des facteurs'!#REF!+'Calcul des facteurs'!#REF!</f>
        <v>#REF!</v>
      </c>
      <c r="C466">
        <f>'nebuleair_export (1)'!C466*'Calcul des facteurs'!$B$4+'Calcul des facteurs'!$C$4</f>
        <v>5.0062321745891927</v>
      </c>
      <c r="D466">
        <f>'nebuleair_export (1)'!D466*'Calcul des facteurs'!$B$5+'Calcul des facteurs'!$C$5</f>
        <v>8.0694103192148141</v>
      </c>
    </row>
    <row r="467" spans="1:4">
      <c r="A467" t="s">
        <v>2329</v>
      </c>
      <c r="B467" t="e">
        <f>'nebuleair_export (1)'!B467*'Calcul des facteurs'!#REF!+'Calcul des facteurs'!#REF!</f>
        <v>#REF!</v>
      </c>
      <c r="C467">
        <f>'nebuleair_export (1)'!C467*'Calcul des facteurs'!$B$4+'Calcul des facteurs'!$C$4</f>
        <v>6.2096168621326795</v>
      </c>
      <c r="D467">
        <f>'nebuleair_export (1)'!D467*'Calcul des facteurs'!$B$5+'Calcul des facteurs'!$C$5</f>
        <v>8.9572814728802292</v>
      </c>
    </row>
    <row r="468" spans="1:4">
      <c r="A468" t="s">
        <v>2331</v>
      </c>
      <c r="B468" t="e">
        <f>'nebuleair_export (1)'!B468*'Calcul des facteurs'!#REF!+'Calcul des facteurs'!#REF!</f>
        <v>#REF!</v>
      </c>
      <c r="C468">
        <f>'nebuleair_export (1)'!C468*'Calcul des facteurs'!$B$4+'Calcul des facteurs'!$C$4</f>
        <v>6.150555036977174</v>
      </c>
      <c r="D468">
        <f>'nebuleair_export (1)'!D468*'Calcul des facteurs'!$B$5+'Calcul des facteurs'!$C$5</f>
        <v>9.1263997878641199</v>
      </c>
    </row>
    <row r="469" spans="1:4">
      <c r="A469" t="s">
        <v>2332</v>
      </c>
      <c r="B469" t="e">
        <f>'nebuleair_export (1)'!B469*'Calcul des facteurs'!#REF!+'Calcul des facteurs'!#REF!</f>
        <v>#REF!</v>
      </c>
      <c r="C469">
        <f>'nebuleair_export (1)'!C469*'Calcul des facteurs'!$B$4+'Calcul des facteurs'!$C$4</f>
        <v>4.3934657386007814</v>
      </c>
      <c r="D469">
        <f>'nebuleair_export (1)'!D469*'Calcul des facteurs'!$B$5+'Calcul des facteurs'!$C$5</f>
        <v>8.9633214127010845</v>
      </c>
    </row>
    <row r="470" spans="1:4">
      <c r="A470" t="s">
        <v>2334</v>
      </c>
      <c r="B470" t="e">
        <f>'nebuleair_export (1)'!B470*'Calcul des facteurs'!#REF!+'Calcul des facteurs'!#REF!</f>
        <v>#REF!</v>
      </c>
      <c r="C470">
        <f>'nebuleair_export (1)'!C470*'Calcul des facteurs'!$B$4+'Calcul des facteurs'!$C$4</f>
        <v>4.0464775158121702</v>
      </c>
      <c r="D470">
        <f>'nebuleair_export (1)'!D470*'Calcul des facteurs'!$B$5+'Calcul des facteurs'!$C$5</f>
        <v>6.7104238595228525</v>
      </c>
    </row>
    <row r="471" spans="1:4">
      <c r="A471" t="s">
        <v>2336</v>
      </c>
      <c r="B471" t="e">
        <f>'nebuleair_export (1)'!B471*'Calcul des facteurs'!#REF!+'Calcul des facteurs'!#REF!</f>
        <v>#REF!</v>
      </c>
      <c r="C471">
        <f>'nebuleair_export (1)'!C471*'Calcul des facteurs'!$B$4+'Calcul des facteurs'!$C$4</f>
        <v>3.6145879193625112</v>
      </c>
      <c r="D471">
        <f>'nebuleair_export (1)'!D471*'Calcul des facteurs'!$B$5+'Calcul des facteurs'!$C$5</f>
        <v>5.6866540598882409</v>
      </c>
    </row>
    <row r="472" spans="1:4">
      <c r="A472" t="s">
        <v>2337</v>
      </c>
      <c r="B472" t="e">
        <f>'nebuleair_export (1)'!B472*'Calcul des facteurs'!#REF!+'Calcul des facteurs'!#REF!</f>
        <v>#REF!</v>
      </c>
      <c r="C472">
        <f>'nebuleair_export (1)'!C472*'Calcul des facteurs'!$B$4+'Calcul des facteurs'!$C$4</f>
        <v>4.9397876212892342</v>
      </c>
      <c r="D472">
        <f>'nebuleair_export (1)'!D472*'Calcul des facteurs'!$B$5+'Calcul des facteurs'!$C$5</f>
        <v>8.2173888448257131</v>
      </c>
    </row>
    <row r="473" spans="1:4">
      <c r="A473" t="s">
        <v>2338</v>
      </c>
      <c r="B473" t="e">
        <f>'nebuleair_export (1)'!B473*'Calcul des facteurs'!#REF!+'Calcul des facteurs'!#REF!</f>
        <v>#REF!</v>
      </c>
      <c r="C473">
        <f>'nebuleair_export (1)'!C473*'Calcul des facteurs'!$B$4+'Calcul des facteurs'!$C$4</f>
        <v>6.2354564106382222</v>
      </c>
      <c r="D473">
        <f>'nebuleair_export (1)'!D473*'Calcul des facteurs'!$B$5+'Calcul des facteurs'!$C$5</f>
        <v>10.135069737946596</v>
      </c>
    </row>
    <row r="474" spans="1:4">
      <c r="A474" t="s">
        <v>2340</v>
      </c>
      <c r="B474" t="e">
        <f>'nebuleair_export (1)'!B474*'Calcul des facteurs'!#REF!+'Calcul des facteurs'!#REF!</f>
        <v>#REF!</v>
      </c>
      <c r="C474">
        <f>'nebuleair_export (1)'!C474*'Calcul des facteurs'!$B$4+'Calcul des facteurs'!$C$4</f>
        <v>7.2136678897763336</v>
      </c>
      <c r="D474">
        <f>'nebuleair_export (1)'!D474*'Calcul des facteurs'!$B$5+'Calcul des facteurs'!$C$5</f>
        <v>10.530685796212481</v>
      </c>
    </row>
    <row r="475" spans="1:4">
      <c r="A475" t="s">
        <v>2341</v>
      </c>
      <c r="B475" t="e">
        <f>'nebuleair_export (1)'!B475*'Calcul des facteurs'!#REF!+'Calcul des facteurs'!#REF!</f>
        <v>#REF!</v>
      </c>
      <c r="C475">
        <f>'nebuleair_export (1)'!C475*'Calcul des facteurs'!$B$4+'Calcul des facteurs'!$C$4</f>
        <v>7.7378415880314719</v>
      </c>
      <c r="D475">
        <f>'nebuleair_export (1)'!D475*'Calcul des facteurs'!$B$5+'Calcul des facteurs'!$C$5</f>
        <v>13.200339197029519</v>
      </c>
    </row>
    <row r="476" spans="1:4">
      <c r="A476" t="s">
        <v>2343</v>
      </c>
      <c r="B476" t="e">
        <f>'nebuleair_export (1)'!B476*'Calcul des facteurs'!#REF!+'Calcul des facteurs'!#REF!</f>
        <v>#REF!</v>
      </c>
      <c r="C476">
        <f>'nebuleair_export (1)'!C476*'Calcul des facteurs'!$B$4+'Calcul des facteurs'!$C$4</f>
        <v>7.5643474766371721</v>
      </c>
      <c r="D476">
        <f>'nebuleair_export (1)'!D476*'Calcul des facteurs'!$B$5+'Calcul des facteurs'!$C$5</f>
        <v>11.167899447312488</v>
      </c>
    </row>
    <row r="477" spans="1:4">
      <c r="A477" t="s">
        <v>2345</v>
      </c>
      <c r="B477" t="e">
        <f>'nebuleair_export (1)'!B477*'Calcul des facteurs'!#REF!+'Calcul des facteurs'!#REF!</f>
        <v>#REF!</v>
      </c>
      <c r="C477">
        <f>'nebuleair_export (1)'!C477*'Calcul des facteurs'!$B$4+'Calcul des facteurs'!$C$4</f>
        <v>8.1586570922644732</v>
      </c>
      <c r="D477">
        <f>'nebuleair_export (1)'!D477*'Calcul des facteurs'!$B$5+'Calcul des facteurs'!$C$5</f>
        <v>11.844372707248045</v>
      </c>
    </row>
    <row r="478" spans="1:4">
      <c r="A478" t="s">
        <v>2346</v>
      </c>
      <c r="B478" t="e">
        <f>'nebuleair_export (1)'!B478*'Calcul des facteurs'!#REF!+'Calcul des facteurs'!#REF!</f>
        <v>#REF!</v>
      </c>
      <c r="C478">
        <f>'nebuleair_export (1)'!C478*'Calcul des facteurs'!$B$4+'Calcul des facteurs'!$C$4</f>
        <v>6.4901605316213535</v>
      </c>
      <c r="D478">
        <f>'nebuleair_export (1)'!D478*'Calcul des facteurs'!$B$5+'Calcul des facteurs'!$C$5</f>
        <v>11.104480079193529</v>
      </c>
    </row>
    <row r="479" spans="1:4">
      <c r="A479" t="s">
        <v>2348</v>
      </c>
      <c r="B479" t="e">
        <f>'nebuleair_export (1)'!B479*'Calcul des facteurs'!#REF!+'Calcul des facteurs'!#REF!</f>
        <v>#REF!</v>
      </c>
      <c r="C479">
        <f>'nebuleair_export (1)'!C479*'Calcul des facteurs'!$B$4+'Calcul des facteurs'!$C$4</f>
        <v>7.3207174478706873</v>
      </c>
      <c r="D479">
        <f>'nebuleair_export (1)'!D479*'Calcul des facteurs'!$B$5+'Calcul des facteurs'!$C$5</f>
        <v>11.285678273819123</v>
      </c>
    </row>
    <row r="480" spans="1:4">
      <c r="A480" t="s">
        <v>2350</v>
      </c>
      <c r="B480" t="e">
        <f>'nebuleair_export (1)'!B480*'Calcul des facteurs'!#REF!+'Calcul des facteurs'!#REF!</f>
        <v>#REF!</v>
      </c>
      <c r="C480">
        <f>'nebuleair_export (1)'!C480*'Calcul des facteurs'!$B$4+'Calcul des facteurs'!$C$4</f>
        <v>7.1915197053430182</v>
      </c>
      <c r="D480">
        <f>'nebuleair_export (1)'!D480*'Calcul des facteurs'!$B$5+'Calcul des facteurs'!$C$5</f>
        <v>10.708864020927644</v>
      </c>
    </row>
    <row r="481" spans="1:4">
      <c r="A481" t="s">
        <v>2352</v>
      </c>
      <c r="B481" t="e">
        <f>'nebuleair_export (1)'!B481*'Calcul des facteurs'!#REF!+'Calcul des facteurs'!#REF!</f>
        <v>#REF!</v>
      </c>
      <c r="C481">
        <f>'nebuleair_export (1)'!C481*'Calcul des facteurs'!$B$4+'Calcul des facteurs'!$C$4</f>
        <v>4.4008484667452228</v>
      </c>
      <c r="D481">
        <f>'nebuleair_export (1)'!D481*'Calcul des facteurs'!$B$5+'Calcul des facteurs'!$C$5</f>
        <v>7.5076959158754706</v>
      </c>
    </row>
    <row r="482" spans="1:4">
      <c r="A482" t="s">
        <v>2354</v>
      </c>
      <c r="B482" t="e">
        <f>'nebuleair_export (1)'!B482*'Calcul des facteurs'!#REF!+'Calcul des facteurs'!#REF!</f>
        <v>#REF!</v>
      </c>
      <c r="C482">
        <f>'nebuleair_export (1)'!C482*'Calcul des facteurs'!$B$4+'Calcul des facteurs'!$C$4</f>
        <v>6.0287400225939374</v>
      </c>
      <c r="D482">
        <f>'nebuleair_export (1)'!D482*'Calcul des facteurs'!$B$5+'Calcul des facteurs'!$C$5</f>
        <v>9.6126149434427948</v>
      </c>
    </row>
    <row r="483" spans="1:4">
      <c r="A483" t="s">
        <v>2356</v>
      </c>
      <c r="B483" t="e">
        <f>'nebuleair_export (1)'!B483*'Calcul des facteurs'!#REF!+'Calcul des facteurs'!#REF!</f>
        <v>#REF!</v>
      </c>
      <c r="C483">
        <f>'nebuleair_export (1)'!C483*'Calcul des facteurs'!$B$4+'Calcul des facteurs'!$C$4</f>
        <v>5.2978499362945151</v>
      </c>
      <c r="D483">
        <f>'nebuleair_export (1)'!D483*'Calcul des facteurs'!$B$5+'Calcul des facteurs'!$C$5</f>
        <v>8.1237697776024937</v>
      </c>
    </row>
    <row r="484" spans="1:4">
      <c r="A484" t="s">
        <v>2358</v>
      </c>
      <c r="B484" t="e">
        <f>'nebuleair_export (1)'!B484*'Calcul des facteurs'!#REF!+'Calcul des facteurs'!#REF!</f>
        <v>#REF!</v>
      </c>
      <c r="C484">
        <f>'nebuleair_export (1)'!C484*'Calcul des facteurs'!$B$4+'Calcul des facteurs'!$C$4</f>
        <v>5.4196649506777517</v>
      </c>
      <c r="D484">
        <f>'nebuleair_export (1)'!D484*'Calcul des facteurs'!$B$5+'Calcul des facteurs'!$C$5</f>
        <v>8.6160248730020221</v>
      </c>
    </row>
    <row r="485" spans="1:4">
      <c r="A485" t="s">
        <v>2360</v>
      </c>
      <c r="B485" t="e">
        <f>'nebuleair_export (1)'!B485*'Calcul des facteurs'!#REF!+'Calcul des facteurs'!#REF!</f>
        <v>#REF!</v>
      </c>
      <c r="C485">
        <f>'nebuleair_export (1)'!C485*'Calcul des facteurs'!$B$4+'Calcul des facteurs'!$C$4</f>
        <v>5.1612694656224036</v>
      </c>
      <c r="D485">
        <f>'nebuleair_export (1)'!D485*'Calcul des facteurs'!$B$5+'Calcul des facteurs'!$C$5</f>
        <v>8.5737452942560477</v>
      </c>
    </row>
    <row r="486" spans="1:4">
      <c r="A486" t="s">
        <v>2362</v>
      </c>
      <c r="B486" t="e">
        <f>'nebuleair_export (1)'!B486*'Calcul des facteurs'!#REF!+'Calcul des facteurs'!#REF!</f>
        <v>#REF!</v>
      </c>
      <c r="C486">
        <f>'nebuleair_export (1)'!C486*'Calcul des facteurs'!$B$4+'Calcul des facteurs'!$C$4</f>
        <v>5.6928258920219843</v>
      </c>
      <c r="D486">
        <f>'nebuleair_export (1)'!D486*'Calcul des facteurs'!$B$5+'Calcul des facteurs'!$C$5</f>
        <v>8.6250847827333033</v>
      </c>
    </row>
    <row r="487" spans="1:4">
      <c r="A487" t="s">
        <v>2363</v>
      </c>
      <c r="B487" t="e">
        <f>'nebuleair_export (1)'!B487*'Calcul des facteurs'!#REF!+'Calcul des facteurs'!#REF!</f>
        <v>#REF!</v>
      </c>
      <c r="C487">
        <f>'nebuleair_export (1)'!C487*'Calcul des facteurs'!$B$4+'Calcul des facteurs'!$C$4</f>
        <v>5.4971835961943567</v>
      </c>
      <c r="D487">
        <f>'nebuleair_export (1)'!D487*'Calcul des facteurs'!$B$5+'Calcul des facteurs'!$C$5</f>
        <v>7.915391853783059</v>
      </c>
    </row>
    <row r="488" spans="1:4">
      <c r="A488" t="s">
        <v>2365</v>
      </c>
      <c r="B488" t="e">
        <f>'nebuleair_export (1)'!B488*'Calcul des facteurs'!#REF!+'Calcul des facteurs'!#REF!</f>
        <v>#REF!</v>
      </c>
      <c r="C488">
        <f>'nebuleair_export (1)'!C488*'Calcul des facteurs'!$B$4+'Calcul des facteurs'!$C$4</f>
        <v>4.9877753542280923</v>
      </c>
      <c r="D488">
        <f>'nebuleair_export (1)'!D488*'Calcul des facteurs'!$B$5+'Calcul des facteurs'!$C$5</f>
        <v>8.1298097174233401</v>
      </c>
    </row>
    <row r="489" spans="1:4">
      <c r="A489" t="s">
        <v>2367</v>
      </c>
      <c r="B489" t="e">
        <f>'nebuleair_export (1)'!B489*'Calcul des facteurs'!#REF!+'Calcul des facteurs'!#REF!</f>
        <v>#REF!</v>
      </c>
      <c r="C489">
        <f>'nebuleair_export (1)'!C489*'Calcul des facteurs'!$B$4+'Calcul des facteurs'!$C$4</f>
        <v>6.2908268717215119</v>
      </c>
      <c r="D489">
        <f>'nebuleair_export (1)'!D489*'Calcul des facteurs'!$B$5+'Calcul des facteurs'!$C$5</f>
        <v>9.2230388249977651</v>
      </c>
    </row>
    <row r="490" spans="1:4">
      <c r="A490" t="s">
        <v>2369</v>
      </c>
      <c r="B490" t="e">
        <f>'nebuleair_export (1)'!B490*'Calcul des facteurs'!#REF!+'Calcul des facteurs'!#REF!</f>
        <v>#REF!</v>
      </c>
      <c r="C490">
        <f>'nebuleair_export (1)'!C490*'Calcul des facteurs'!$B$4+'Calcul des facteurs'!$C$4</f>
        <v>6.34619733280479</v>
      </c>
      <c r="D490">
        <f>'nebuleair_export (1)'!D490*'Calcul des facteurs'!$B$5+'Calcul des facteurs'!$C$5</f>
        <v>8.4891861367641059</v>
      </c>
    </row>
    <row r="491" spans="1:4">
      <c r="A491" t="s">
        <v>2370</v>
      </c>
      <c r="B491" t="e">
        <f>'nebuleair_export (1)'!B491*'Calcul des facteurs'!#REF!+'Calcul des facteurs'!#REF!</f>
        <v>#REF!</v>
      </c>
      <c r="C491">
        <f>'nebuleair_export (1)'!C491*'Calcul des facteurs'!$B$4+'Calcul des facteurs'!$C$4</f>
        <v>6.2982095998659426</v>
      </c>
      <c r="D491">
        <f>'nebuleair_export (1)'!D491*'Calcul des facteurs'!$B$5+'Calcul des facteurs'!$C$5</f>
        <v>9.2653184037437413</v>
      </c>
    </row>
    <row r="492" spans="1:4">
      <c r="A492" t="s">
        <v>2372</v>
      </c>
      <c r="B492" t="e">
        <f>'nebuleair_export (1)'!B492*'Calcul des facteurs'!#REF!+'Calcul des facteurs'!#REF!</f>
        <v>#REF!</v>
      </c>
      <c r="C492">
        <f>'nebuleair_export (1)'!C492*'Calcul des facteurs'!$B$4+'Calcul des facteurs'!$C$4</f>
        <v>9.2513008576413913</v>
      </c>
      <c r="D492">
        <f>'nebuleair_export (1)'!D492*'Calcul des facteurs'!$B$5+'Calcul des facteurs'!$C$5</f>
        <v>12.614465034406733</v>
      </c>
    </row>
    <row r="493" spans="1:4">
      <c r="A493" t="s">
        <v>2374</v>
      </c>
      <c r="B493" t="e">
        <f>'nebuleair_export (1)'!B493*'Calcul des facteurs'!#REF!+'Calcul des facteurs'!#REF!</f>
        <v>#REF!</v>
      </c>
      <c r="C493">
        <f>'nebuleair_export (1)'!C493*'Calcul des facteurs'!$B$4+'Calcul des facteurs'!$C$4</f>
        <v>10.447302817040446</v>
      </c>
      <c r="D493">
        <f>'nebuleair_export (1)'!D493*'Calcul des facteurs'!$B$5+'Calcul des facteurs'!$C$5</f>
        <v>13.922112005621504</v>
      </c>
    </row>
    <row r="494" spans="1:4">
      <c r="A494" t="s">
        <v>2377</v>
      </c>
      <c r="B494" t="e">
        <f>'nebuleair_export (1)'!B494*'Calcul des facteurs'!#REF!+'Calcul des facteurs'!#REF!</f>
        <v>#REF!</v>
      </c>
      <c r="C494">
        <f>'nebuleair_export (1)'!C494*'Calcul des facteurs'!$B$4+'Calcul des facteurs'!$C$4</f>
        <v>17.826339597406768</v>
      </c>
      <c r="D494">
        <f>'nebuleair_export (1)'!D494*'Calcul des facteurs'!$B$5+'Calcul des facteurs'!$C$5</f>
        <v>22.091130613325433</v>
      </c>
    </row>
    <row r="495" spans="1:4">
      <c r="A495" t="s">
        <v>2379</v>
      </c>
      <c r="B495" t="e">
        <f>'nebuleair_export (1)'!B495*'Calcul des facteurs'!#REF!+'Calcul des facteurs'!#REF!</f>
        <v>#REF!</v>
      </c>
      <c r="C495">
        <f>'nebuleair_export (1)'!C495*'Calcul des facteurs'!$B$4+'Calcul des facteurs'!$C$4</f>
        <v>23.112372948824778</v>
      </c>
      <c r="D495">
        <f>'nebuleair_export (1)'!D495*'Calcul des facteurs'!$B$5+'Calcul des facteurs'!$C$5</f>
        <v>27.937792359911271</v>
      </c>
    </row>
    <row r="496" spans="1:4">
      <c r="A496" t="s">
        <v>2382</v>
      </c>
      <c r="B496" t="e">
        <f>'nebuleair_export (1)'!B496*'Calcul des facteurs'!#REF!+'Calcul des facteurs'!#REF!</f>
        <v>#REF!</v>
      </c>
      <c r="C496">
        <f>'nebuleair_export (1)'!C496*'Calcul des facteurs'!$B$4+'Calcul des facteurs'!$C$4</f>
        <v>25.744315532317181</v>
      </c>
      <c r="D496">
        <f>'nebuleair_export (1)'!D496*'Calcul des facteurs'!$B$5+'Calcul des facteurs'!$C$5</f>
        <v>30.839983443831187</v>
      </c>
    </row>
    <row r="497" spans="1:4">
      <c r="A497" t="s">
        <v>2387</v>
      </c>
      <c r="B497" t="e">
        <f>'nebuleair_export (1)'!B497*'Calcul des facteurs'!#REF!+'Calcul des facteurs'!#REF!</f>
        <v>#REF!</v>
      </c>
      <c r="C497">
        <f>'nebuleair_export (1)'!C497*'Calcul des facteurs'!$B$4+'Calcul des facteurs'!$C$4</f>
        <v>15.578298877425212</v>
      </c>
      <c r="D497">
        <f>'nebuleair_export (1)'!D497*'Calcul des facteurs'!$B$5+'Calcul des facteurs'!$C$5</f>
        <v>19.605695377044299</v>
      </c>
    </row>
    <row r="498" spans="1:4">
      <c r="A498" t="s">
        <v>2390</v>
      </c>
      <c r="B498" t="e">
        <f>'nebuleair_export (1)'!B498*'Calcul des facteurs'!#REF!+'Calcul des facteurs'!#REF!</f>
        <v>#REF!</v>
      </c>
      <c r="C498">
        <f>'nebuleair_export (1)'!C498*'Calcul des facteurs'!$B$4+'Calcul des facteurs'!$C$4</f>
        <v>9.7570177355354382</v>
      </c>
      <c r="D498">
        <f>'nebuleair_export (1)'!D498*'Calcul des facteurs'!$B$5+'Calcul des facteurs'!$C$5</f>
        <v>13.176179437746075</v>
      </c>
    </row>
    <row r="499" spans="1:4">
      <c r="A499" t="s">
        <v>2394</v>
      </c>
      <c r="B499" t="e">
        <f>'nebuleair_export (1)'!B499*'Calcul des facteurs'!#REF!+'Calcul des facteurs'!#REF!</f>
        <v>#REF!</v>
      </c>
      <c r="C499">
        <f>'nebuleair_export (1)'!C499*'Calcul des facteurs'!$B$4+'Calcul des facteurs'!$C$4</f>
        <v>10.100314594251826</v>
      </c>
      <c r="D499">
        <f>'nebuleair_export (1)'!D499*'Calcul des facteurs'!$B$5+'Calcul des facteurs'!$C$5</f>
        <v>13.547635736728546</v>
      </c>
    </row>
    <row r="500" spans="1:4">
      <c r="A500" t="s">
        <v>2397</v>
      </c>
      <c r="B500" t="e">
        <f>'nebuleair_export (1)'!B500*'Calcul des facteurs'!#REF!+'Calcul des facteurs'!#REF!</f>
        <v>#REF!</v>
      </c>
      <c r="C500">
        <f>'nebuleair_export (1)'!C500*'Calcul des facteurs'!$B$4+'Calcul des facteurs'!$C$4</f>
        <v>11.229872000350932</v>
      </c>
      <c r="D500">
        <f>'nebuleair_export (1)'!D500*'Calcul des facteurs'!$B$5+'Calcul des facteurs'!$C$5</f>
        <v>14.803943219466033</v>
      </c>
    </row>
    <row r="501" spans="1:4">
      <c r="A501" t="s">
        <v>2401</v>
      </c>
      <c r="B501" t="e">
        <f>'nebuleair_export (1)'!B501*'Calcul des facteurs'!#REF!+'Calcul des facteurs'!#REF!</f>
        <v>#REF!</v>
      </c>
      <c r="C501">
        <f>'nebuleair_export (1)'!C501*'Calcul des facteurs'!$B$4+'Calcul des facteurs'!$C$4</f>
        <v>10.591266015856998</v>
      </c>
      <c r="D501">
        <f>'nebuleair_export (1)'!D501*'Calcul des facteurs'!$B$5+'Calcul des facteurs'!$C$5</f>
        <v>14.088210350694935</v>
      </c>
    </row>
    <row r="502" spans="1:4">
      <c r="A502" t="s">
        <v>2403</v>
      </c>
      <c r="B502" t="e">
        <f>'nebuleair_export (1)'!B502*'Calcul des facteurs'!#REF!+'Calcul des facteurs'!#REF!</f>
        <v>#REF!</v>
      </c>
      <c r="C502">
        <f>'nebuleair_export (1)'!C502*'Calcul des facteurs'!$B$4+'Calcul des facteurs'!$C$4</f>
        <v>9.9748082157963704</v>
      </c>
      <c r="D502">
        <f>'nebuleair_export (1)'!D502*'Calcul des facteurs'!$B$5+'Calcul des facteurs'!$C$5</f>
        <v>13.417777030580234</v>
      </c>
    </row>
    <row r="503" spans="1:4">
      <c r="A503" t="s">
        <v>2405</v>
      </c>
      <c r="B503" t="e">
        <f>'nebuleair_export (1)'!B503*'Calcul des facteurs'!#REF!+'Calcul des facteurs'!#REF!</f>
        <v>#REF!</v>
      </c>
      <c r="C503">
        <f>'nebuleair_export (1)'!C503*'Calcul des facteurs'!$B$4+'Calcul des facteurs'!$C$4</f>
        <v>7.9408666120035418</v>
      </c>
      <c r="D503">
        <f>'nebuleair_export (1)'!D503*'Calcul des facteurs'!$B$5+'Calcul des facteurs'!$C$5</f>
        <v>11.167899447312488</v>
      </c>
    </row>
    <row r="504" spans="1:4">
      <c r="A504" t="s">
        <v>2408</v>
      </c>
      <c r="B504" t="e">
        <f>'nebuleair_export (1)'!B504*'Calcul des facteurs'!#REF!+'Calcul des facteurs'!#REF!</f>
        <v>#REF!</v>
      </c>
      <c r="C504">
        <f>'nebuleair_export (1)'!C504*'Calcul des facteurs'!$B$4+'Calcul des facteurs'!$C$4</f>
        <v>6.3240491483714738</v>
      </c>
      <c r="D504">
        <f>'nebuleair_export (1)'!D504*'Calcul des facteurs'!$B$5+'Calcul des facteurs'!$C$5</f>
        <v>9.3861172001608004</v>
      </c>
    </row>
    <row r="505" spans="1:4">
      <c r="A505" t="s">
        <v>2410</v>
      </c>
      <c r="B505" t="e">
        <f>'nebuleair_export (1)'!B505*'Calcul des facteurs'!#REF!+'Calcul des facteurs'!#REF!</f>
        <v>#REF!</v>
      </c>
      <c r="C505">
        <f>'nebuleair_export (1)'!C505*'Calcul des facteurs'!$B$4+'Calcul des facteurs'!$C$4</f>
        <v>5.3679858536666778</v>
      </c>
      <c r="D505">
        <f>'nebuleair_export (1)'!D505*'Calcul des facteurs'!$B$5+'Calcul des facteurs'!$C$5</f>
        <v>8.3321477014219276</v>
      </c>
    </row>
    <row r="506" spans="1:4">
      <c r="A506" t="s">
        <v>2412</v>
      </c>
      <c r="B506" t="e">
        <f>'nebuleair_export (1)'!B506*'Calcul des facteurs'!#REF!+'Calcul des facteurs'!#REF!</f>
        <v>#REF!</v>
      </c>
      <c r="C506">
        <f>'nebuleair_export (1)'!C506*'Calcul des facteurs'!$B$4+'Calcul des facteurs'!$C$4</f>
        <v>5.4750354117610414</v>
      </c>
      <c r="D506">
        <f>'nebuleair_export (1)'!D506*'Calcul des facteurs'!$B$5+'Calcul des facteurs'!$C$5</f>
        <v>8.58582517389776</v>
      </c>
    </row>
    <row r="507" spans="1:4">
      <c r="A507" t="s">
        <v>2414</v>
      </c>
      <c r="B507" t="e">
        <f>'nebuleair_export (1)'!B507*'Calcul des facteurs'!#REF!+'Calcul des facteurs'!#REF!</f>
        <v>#REF!</v>
      </c>
      <c r="C507">
        <f>'nebuleair_export (1)'!C507*'Calcul des facteurs'!$B$4+'Calcul des facteurs'!$C$4</f>
        <v>4.7330712332449609</v>
      </c>
      <c r="D507">
        <f>'nebuleair_export (1)'!D507*'Calcul des facteurs'!$B$5+'Calcul des facteurs'!$C$5</f>
        <v>6.8282026860294893</v>
      </c>
    </row>
    <row r="508" spans="1:4">
      <c r="A508" t="s">
        <v>2416</v>
      </c>
      <c r="B508" t="e">
        <f>'nebuleair_export (1)'!B508*'Calcul des facteurs'!#REF!+'Calcul des facteurs'!#REF!</f>
        <v>#REF!</v>
      </c>
      <c r="C508">
        <f>'nebuleair_export (1)'!C508*'Calcul des facteurs'!$B$4+'Calcul des facteurs'!$C$4</f>
        <v>3.5370692738459053</v>
      </c>
      <c r="D508">
        <f>'nebuleair_export (1)'!D508*'Calcul des facteurs'!$B$5+'Calcul des facteurs'!$C$5</f>
        <v>6.2272286738546025</v>
      </c>
    </row>
    <row r="509" spans="1:4">
      <c r="A509" t="s">
        <v>2418</v>
      </c>
      <c r="B509" t="e">
        <f>'nebuleair_export (1)'!B509*'Calcul des facteurs'!#REF!+'Calcul des facteurs'!#REF!</f>
        <v>#REF!</v>
      </c>
      <c r="C509">
        <f>'nebuleair_export (1)'!C509*'Calcul des facteurs'!$B$4+'Calcul des facteurs'!$C$4</f>
        <v>5.2867758440778569</v>
      </c>
      <c r="D509">
        <f>'nebuleair_export (1)'!D509*'Calcul des facteurs'!$B$5+'Calcul des facteurs'!$C$5</f>
        <v>7.3899170893688337</v>
      </c>
    </row>
    <row r="510" spans="1:4">
      <c r="A510" t="s">
        <v>2420</v>
      </c>
      <c r="B510" t="e">
        <f>'nebuleair_export (1)'!B510*'Calcul des facteurs'!#REF!+'Calcul des facteurs'!#REF!</f>
        <v>#REF!</v>
      </c>
      <c r="C510">
        <f>'nebuleair_export (1)'!C510*'Calcul des facteurs'!$B$4+'Calcul des facteurs'!$C$4</f>
        <v>4.4968239326229176</v>
      </c>
      <c r="D510">
        <f>'nebuleair_export (1)'!D510*'Calcul des facteurs'!$B$5+'Calcul des facteurs'!$C$5</f>
        <v>7.7190938096053276</v>
      </c>
    </row>
    <row r="511" spans="1:4">
      <c r="A511" t="s">
        <v>2422</v>
      </c>
      <c r="B511" t="e">
        <f>'nebuleair_export (1)'!B511*'Calcul des facteurs'!#REF!+'Calcul des facteurs'!#REF!</f>
        <v>#REF!</v>
      </c>
      <c r="C511">
        <f>'nebuleair_export (1)'!C511*'Calcul des facteurs'!$B$4+'Calcul des facteurs'!$C$4</f>
        <v>3.1199451336851207</v>
      </c>
      <c r="D511">
        <f>'nebuleair_export (1)'!D511*'Calcul des facteurs'!$B$5+'Calcul des facteurs'!$C$5</f>
        <v>6.4265466879427571</v>
      </c>
    </row>
    <row r="512" spans="1:4">
      <c r="A512" t="s">
        <v>2423</v>
      </c>
      <c r="B512" t="e">
        <f>'nebuleair_export (1)'!B512*'Calcul des facteurs'!#REF!+'Calcul des facteurs'!#REF!</f>
        <v>#REF!</v>
      </c>
      <c r="C512">
        <f>'nebuleair_export (1)'!C512*'Calcul des facteurs'!$B$4+'Calcul des facteurs'!$C$4</f>
        <v>3.359883798379379</v>
      </c>
      <c r="D512">
        <f>'nebuleair_export (1)'!D512*'Calcul des facteurs'!$B$5+'Calcul des facteurs'!$C$5</f>
        <v>6.3661472897342222</v>
      </c>
    </row>
    <row r="513" spans="1:4">
      <c r="A513" t="s">
        <v>2425</v>
      </c>
      <c r="B513" t="e">
        <f>'nebuleair_export (1)'!B513*'Calcul des facteurs'!#REF!+'Calcul des facteurs'!#REF!</f>
        <v>#REF!</v>
      </c>
      <c r="C513">
        <f>'nebuleair_export (1)'!C513*'Calcul des facteurs'!$B$4+'Calcul des facteurs'!$C$4</f>
        <v>2.5699318869244507</v>
      </c>
      <c r="D513">
        <f>'nebuleair_export (1)'!D513*'Calcul des facteurs'!$B$5+'Calcul des facteurs'!$C$5</f>
        <v>5.0705801981612186</v>
      </c>
    </row>
    <row r="514" spans="1:4">
      <c r="A514" t="s">
        <v>2427</v>
      </c>
      <c r="B514" t="e">
        <f>'nebuleair_export (1)'!B514*'Calcul des facteurs'!#REF!+'Calcul des facteurs'!#REF!</f>
        <v>#REF!</v>
      </c>
      <c r="C514">
        <f>'nebuleair_export (1)'!C514*'Calcul des facteurs'!$B$4+'Calcul des facteurs'!$C$4</f>
        <v>3.3045133372960893</v>
      </c>
      <c r="D514">
        <f>'nebuleair_export (1)'!D514*'Calcul des facteurs'!$B$5+'Calcul des facteurs'!$C$5</f>
        <v>5.7077938492612246</v>
      </c>
    </row>
    <row r="515" spans="1:4">
      <c r="A515" t="s">
        <v>2429</v>
      </c>
      <c r="B515" t="e">
        <f>'nebuleair_export (1)'!B515*'Calcul des facteurs'!#REF!+'Calcul des facteurs'!#REF!</f>
        <v>#REF!</v>
      </c>
      <c r="C515">
        <f>'nebuleair_export (1)'!C515*'Calcul des facteurs'!$B$4+'Calcul des facteurs'!$C$4</f>
        <v>3.2122292354906103</v>
      </c>
      <c r="D515">
        <f>'nebuleair_export (1)'!D515*'Calcul des facteurs'!$B$5+'Calcul des facteurs'!$C$5</f>
        <v>5.4963959555313666</v>
      </c>
    </row>
    <row r="516" spans="1:4">
      <c r="A516" t="s">
        <v>2430</v>
      </c>
      <c r="B516" t="e">
        <f>'nebuleair_export (1)'!B516*'Calcul des facteurs'!#REF!+'Calcul des facteurs'!#REF!</f>
        <v>#REF!</v>
      </c>
      <c r="C516">
        <f>'nebuleair_export (1)'!C516*'Calcul des facteurs'!$B$4+'Calcul des facteurs'!$C$4</f>
        <v>2.9095373815686196</v>
      </c>
      <c r="D516">
        <f>'nebuleair_export (1)'!D516*'Calcul des facteurs'!$B$5+'Calcul des facteurs'!$C$5</f>
        <v>6.4627863268678762</v>
      </c>
    </row>
    <row r="517" spans="1:4">
      <c r="A517" t="s">
        <v>2432</v>
      </c>
      <c r="B517" t="e">
        <f>'nebuleair_export (1)'!B517*'Calcul des facteurs'!#REF!+'Calcul des facteurs'!#REF!</f>
        <v>#REF!</v>
      </c>
      <c r="C517">
        <f>'nebuleair_export (1)'!C517*'Calcul des facteurs'!$B$4+'Calcul des facteurs'!$C$4</f>
        <v>2.5588577947077931</v>
      </c>
      <c r="D517">
        <f>'nebuleair_export (1)'!D517*'Calcul des facteurs'!$B$5+'Calcul des facteurs'!$C$5</f>
        <v>5.4148567679498498</v>
      </c>
    </row>
    <row r="518" spans="1:4">
      <c r="A518" t="s">
        <v>2434</v>
      </c>
      <c r="B518" t="e">
        <f>'nebuleair_export (1)'!B518*'Calcul des facteurs'!#REF!+'Calcul des facteurs'!#REF!</f>
        <v>#REF!</v>
      </c>
      <c r="C518">
        <f>'nebuleair_export (1)'!C518*'Calcul des facteurs'!$B$4+'Calcul des facteurs'!$C$4</f>
        <v>2.8578582845575458</v>
      </c>
      <c r="D518">
        <f>'nebuleair_export (1)'!D518*'Calcul des facteurs'!$B$5+'Calcul des facteurs'!$C$5</f>
        <v>5.9101318332598112</v>
      </c>
    </row>
    <row r="519" spans="1:4">
      <c r="A519" t="s">
        <v>2436</v>
      </c>
      <c r="B519" t="e">
        <f>'nebuleair_export (1)'!B519*'Calcul des facteurs'!#REF!+'Calcul des facteurs'!#REF!</f>
        <v>#REF!</v>
      </c>
      <c r="C519">
        <f>'nebuleair_export (1)'!C519*'Calcul des facteurs'!$B$4+'Calcul des facteurs'!$C$4</f>
        <v>2.8947719252797466</v>
      </c>
      <c r="D519">
        <f>'nebuleair_export (1)'!D519*'Calcul des facteurs'!$B$5+'Calcul des facteurs'!$C$5</f>
        <v>5.5809551130233084</v>
      </c>
    </row>
    <row r="520" spans="1:4">
      <c r="A520" t="s">
        <v>2438</v>
      </c>
      <c r="B520" t="e">
        <f>'nebuleair_export (1)'!B520*'Calcul des facteurs'!#REF!+'Calcul des facteurs'!#REF!</f>
        <v>#REF!</v>
      </c>
      <c r="C520">
        <f>'nebuleair_export (1)'!C520*'Calcul des facteurs'!$B$4+'Calcul des facteurs'!$C$4</f>
        <v>2.6917469013076882</v>
      </c>
      <c r="D520">
        <f>'nebuleair_export (1)'!D520*'Calcul des facteurs'!$B$5+'Calcul des facteurs'!$C$5</f>
        <v>5.3725771892038736</v>
      </c>
    </row>
    <row r="521" spans="1:4">
      <c r="A521" t="s">
        <v>2440</v>
      </c>
      <c r="B521" t="e">
        <f>'nebuleair_export (1)'!B521*'Calcul des facteurs'!#REF!+'Calcul des facteurs'!#REF!</f>
        <v>#REF!</v>
      </c>
      <c r="C521">
        <f>'nebuleair_export (1)'!C521*'Calcul des facteurs'!$B$4+'Calcul des facteurs'!$C$4</f>
        <v>2.9722905707963516</v>
      </c>
      <c r="D521">
        <f>'nebuleair_export (1)'!D521*'Calcul des facteurs'!$B$5+'Calcul des facteurs'!$C$5</f>
        <v>5.6715542103361063</v>
      </c>
    </row>
    <row r="522" spans="1:4">
      <c r="A522" t="s">
        <v>2442</v>
      </c>
      <c r="B522" t="e">
        <f>'nebuleair_export (1)'!B522*'Calcul des facteurs'!#REF!+'Calcul des facteurs'!#REF!</f>
        <v>#REF!</v>
      </c>
      <c r="C522">
        <f>'nebuleair_export (1)'!C522*'Calcul des facteurs'!$B$4+'Calcul des facteurs'!$C$4</f>
        <v>2.7471173623909779</v>
      </c>
      <c r="D522">
        <f>'nebuleair_export (1)'!D522*'Calcul des facteurs'!$B$5+'Calcul des facteurs'!$C$5</f>
        <v>5.4359965573228326</v>
      </c>
    </row>
    <row r="523" spans="1:4">
      <c r="A523" t="s">
        <v>2444</v>
      </c>
      <c r="B523" t="e">
        <f>'nebuleair_export (1)'!B523*'Calcul des facteurs'!#REF!+'Calcul des facteurs'!#REF!</f>
        <v>#REF!</v>
      </c>
      <c r="C523">
        <f>'nebuleair_export (1)'!C523*'Calcul des facteurs'!$B$4+'Calcul des facteurs'!$C$4</f>
        <v>3.5075383612681472</v>
      </c>
      <c r="D523">
        <f>'nebuleair_export (1)'!D523*'Calcul des facteurs'!$B$5+'Calcul des facteurs'!$C$5</f>
        <v>5.7712132173801827</v>
      </c>
    </row>
    <row r="524" spans="1:4">
      <c r="A524" t="s">
        <v>2446</v>
      </c>
      <c r="B524" t="e">
        <f>'nebuleair_export (1)'!B524*'Calcul des facteurs'!#REF!+'Calcul des facteurs'!#REF!</f>
        <v>#REF!</v>
      </c>
      <c r="C524">
        <f>'nebuleair_export (1)'!C524*'Calcul des facteurs'!$B$4+'Calcul des facteurs'!$C$4</f>
        <v>2.5920800713577665</v>
      </c>
      <c r="D524">
        <f>'nebuleair_export (1)'!D524*'Calcul des facteurs'!$B$5+'Calcul des facteurs'!$C$5</f>
        <v>4.9860210406692778</v>
      </c>
    </row>
    <row r="525" spans="1:4">
      <c r="A525" t="s">
        <v>2448</v>
      </c>
      <c r="B525" t="e">
        <f>'nebuleair_export (1)'!B525*'Calcul des facteurs'!#REF!+'Calcul des facteurs'!#REF!</f>
        <v>#REF!</v>
      </c>
      <c r="C525">
        <f>'nebuleair_export (1)'!C525*'Calcul des facteurs'!$B$4+'Calcul des facteurs'!$C$4</f>
        <v>3.9874156906566647</v>
      </c>
      <c r="D525">
        <f>'nebuleair_export (1)'!D525*'Calcul des facteurs'!$B$5+'Calcul des facteurs'!$C$5</f>
        <v>6.7708232577313874</v>
      </c>
    </row>
    <row r="526" spans="1:4">
      <c r="A526" t="s">
        <v>2450</v>
      </c>
      <c r="B526" t="e">
        <f>'nebuleair_export (1)'!B526*'Calcul des facteurs'!#REF!+'Calcul des facteurs'!#REF!</f>
        <v>#REF!</v>
      </c>
      <c r="C526">
        <f>'nebuleair_export (1)'!C526*'Calcul des facteurs'!$B$4+'Calcul des facteurs'!$C$4</f>
        <v>4.7219971410283028</v>
      </c>
      <c r="D526">
        <f>'nebuleair_export (1)'!D526*'Calcul des facteurs'!$B$5+'Calcul des facteurs'!$C$5</f>
        <v>7.5167558256067499</v>
      </c>
    </row>
    <row r="527" spans="1:4">
      <c r="A527" t="s">
        <v>2451</v>
      </c>
      <c r="B527" t="e">
        <f>'nebuleair_export (1)'!B527*'Calcul des facteurs'!#REF!+'Calcul des facteurs'!#REF!</f>
        <v>#REF!</v>
      </c>
      <c r="C527">
        <f>'nebuleair_export (1)'!C527*'Calcul des facteurs'!$B$4+'Calcul des facteurs'!$C$4</f>
        <v>5.6706777075886681</v>
      </c>
      <c r="D527">
        <f>'nebuleair_export (1)'!D527*'Calcul des facteurs'!$B$5+'Calcul des facteurs'!$C$5</f>
        <v>8.4559664677494197</v>
      </c>
    </row>
    <row r="528" spans="1:4">
      <c r="A528" t="s">
        <v>2453</v>
      </c>
      <c r="B528" t="e">
        <f>'nebuleair_export (1)'!B528*'Calcul des facteurs'!#REF!+'Calcul des facteurs'!#REF!</f>
        <v>#REF!</v>
      </c>
      <c r="C528">
        <f>'nebuleair_export (1)'!C528*'Calcul des facteurs'!$B$4+'Calcul des facteurs'!$C$4</f>
        <v>6.6193582741490227</v>
      </c>
      <c r="D528">
        <f>'nebuleair_export (1)'!D528*'Calcul des facteurs'!$B$5+'Calcul des facteurs'!$C$5</f>
        <v>9.9508515734105778</v>
      </c>
    </row>
    <row r="529" spans="1:4">
      <c r="A529" t="s">
        <v>2454</v>
      </c>
      <c r="B529" t="e">
        <f>'nebuleair_export (1)'!B529*'Calcul des facteurs'!#REF!+'Calcul des facteurs'!#REF!</f>
        <v>#REF!</v>
      </c>
      <c r="C529">
        <f>'nebuleair_export (1)'!C529*'Calcul des facteurs'!$B$4+'Calcul des facteurs'!$C$4</f>
        <v>8.5204107713419681</v>
      </c>
      <c r="D529">
        <f>'nebuleair_export (1)'!D529*'Calcul des facteurs'!$B$5+'Calcul des facteurs'!$C$5</f>
        <v>11.877592376262676</v>
      </c>
    </row>
    <row r="530" spans="1:4">
      <c r="A530" t="s">
        <v>2455</v>
      </c>
      <c r="B530" t="e">
        <f>'nebuleair_export (1)'!B530*'Calcul des facteurs'!#REF!+'Calcul des facteurs'!#REF!</f>
        <v>#REF!</v>
      </c>
      <c r="C530">
        <f>'nebuleair_export (1)'!C530*'Calcul des facteurs'!$B$4+'Calcul des facteurs'!$C$4</f>
        <v>7.2616556227151818</v>
      </c>
      <c r="D530">
        <f>'nebuleair_export (1)'!D530*'Calcul des facteurs'!$B$5+'Calcul des facteurs'!$C$5</f>
        <v>10.630344803256559</v>
      </c>
    </row>
    <row r="531" spans="1:4">
      <c r="A531" t="s">
        <v>2456</v>
      </c>
      <c r="B531" t="e">
        <f>'nebuleair_export (1)'!B531*'Calcul des facteurs'!#REF!+'Calcul des facteurs'!#REF!</f>
        <v>#REF!</v>
      </c>
      <c r="C531">
        <f>'nebuleair_export (1)'!C531*'Calcul des facteurs'!$B$4+'Calcul des facteurs'!$C$4</f>
        <v>6.8186919340488643</v>
      </c>
      <c r="D531">
        <f>'nebuleair_export (1)'!D531*'Calcul des facteurs'!$B$5+'Calcul des facteurs'!$C$5</f>
        <v>9.7001940708451677</v>
      </c>
    </row>
    <row r="532" spans="1:4">
      <c r="A532" t="s">
        <v>2458</v>
      </c>
      <c r="B532" t="e">
        <f>'nebuleair_export (1)'!B532*'Calcul des facteurs'!#REF!+'Calcul des facteurs'!#REF!</f>
        <v>#REF!</v>
      </c>
      <c r="C532">
        <f>'nebuleair_export (1)'!C532*'Calcul des facteurs'!$B$4+'Calcul des facteurs'!$C$4</f>
        <v>6.8777537592043814</v>
      </c>
      <c r="D532">
        <f>'nebuleair_export (1)'!D532*'Calcul des facteurs'!$B$5+'Calcul des facteurs'!$C$5</f>
        <v>8.4227467987347246</v>
      </c>
    </row>
    <row r="533" spans="1:4">
      <c r="A533" t="s">
        <v>2460</v>
      </c>
      <c r="B533" t="e">
        <f>'nebuleair_export (1)'!B533*'Calcul des facteurs'!#REF!+'Calcul des facteurs'!#REF!</f>
        <v>#REF!</v>
      </c>
      <c r="C533">
        <f>'nebuleair_export (1)'!C533*'Calcul des facteurs'!$B$4+'Calcul des facteurs'!$C$4</f>
        <v>6.5418396286324167</v>
      </c>
      <c r="D533">
        <f>'nebuleair_export (1)'!D533*'Calcul des facteurs'!$B$5+'Calcul des facteurs'!$C$5</f>
        <v>8.8153428870901767</v>
      </c>
    </row>
    <row r="534" spans="1:4">
      <c r="A534" t="s">
        <v>2461</v>
      </c>
      <c r="B534" t="e">
        <f>'nebuleair_export (1)'!B534*'Calcul des facteurs'!#REF!+'Calcul des facteurs'!#REF!</f>
        <v>#REF!</v>
      </c>
      <c r="C534">
        <f>'nebuleair_export (1)'!C534*'Calcul des facteurs'!$B$4+'Calcul des facteurs'!$C$4</f>
        <v>6.2243823184215525</v>
      </c>
      <c r="D534">
        <f>'nebuleair_export (1)'!D534*'Calcul des facteurs'!$B$5+'Calcul des facteurs'!$C$5</f>
        <v>8.8817822251195686</v>
      </c>
    </row>
    <row r="535" spans="1:4">
      <c r="A535" t="s">
        <v>2462</v>
      </c>
      <c r="B535" t="e">
        <f>'nebuleair_export (1)'!B535*'Calcul des facteurs'!#REF!+'Calcul des facteurs'!#REF!</f>
        <v>#REF!</v>
      </c>
      <c r="C535">
        <f>'nebuleair_export (1)'!C535*'Calcul des facteurs'!$B$4+'Calcul des facteurs'!$C$4</f>
        <v>5.7002086201664151</v>
      </c>
      <c r="D535">
        <f>'nebuleair_export (1)'!D535*'Calcul des facteurs'!$B$5+'Calcul des facteurs'!$C$5</f>
        <v>8.3774472500783261</v>
      </c>
    </row>
    <row r="536" spans="1:4">
      <c r="A536" t="s">
        <v>2464</v>
      </c>
      <c r="B536" t="e">
        <f>'nebuleair_export (1)'!B536*'Calcul des facteurs'!#REF!+'Calcul des facteurs'!#REF!</f>
        <v>#REF!</v>
      </c>
      <c r="C536">
        <f>'nebuleair_export (1)'!C536*'Calcul des facteurs'!$B$4+'Calcul des facteurs'!$C$4</f>
        <v>5.393825402172209</v>
      </c>
      <c r="D536">
        <f>'nebuleair_export (1)'!D536*'Calcul des facteurs'!$B$5+'Calcul des facteurs'!$C$5</f>
        <v>9.0962000887598506</v>
      </c>
    </row>
    <row r="537" spans="1:4">
      <c r="A537" t="s">
        <v>2466</v>
      </c>
      <c r="B537" t="e">
        <f>'nebuleair_export (1)'!B537*'Calcul des facteurs'!#REF!+'Calcul des facteurs'!#REF!</f>
        <v>#REF!</v>
      </c>
      <c r="C537">
        <f>'nebuleair_export (1)'!C537*'Calcul des facteurs'!$B$4+'Calcul des facteurs'!$C$4</f>
        <v>6.4643209831158117</v>
      </c>
      <c r="D537">
        <f>'nebuleair_export (1)'!D537*'Calcul des facteurs'!$B$5+'Calcul des facteurs'!$C$5</f>
        <v>9.2804182532958777</v>
      </c>
    </row>
    <row r="538" spans="1:4">
      <c r="A538" t="s">
        <v>2467</v>
      </c>
      <c r="B538" t="e">
        <f>'nebuleair_export (1)'!B538*'Calcul des facteurs'!#REF!+'Calcul des facteurs'!#REF!</f>
        <v>#REF!</v>
      </c>
      <c r="C538">
        <f>'nebuleair_export (1)'!C538*'Calcul des facteurs'!$B$4+'Calcul des facteurs'!$C$4</f>
        <v>6.8445314825543964</v>
      </c>
      <c r="D538">
        <f>'nebuleair_export (1)'!D538*'Calcul des facteurs'!$B$5+'Calcul des facteurs'!$C$5</f>
        <v>10.606185043973142</v>
      </c>
    </row>
    <row r="539" spans="1:4">
      <c r="A539" t="s">
        <v>2468</v>
      </c>
      <c r="B539" t="e">
        <f>'nebuleair_export (1)'!B539*'Calcul des facteurs'!#REF!+'Calcul des facteurs'!#REF!</f>
        <v>#REF!</v>
      </c>
      <c r="C539">
        <f>'nebuleair_export (1)'!C539*'Calcul des facteurs'!$B$4+'Calcul des facteurs'!$C$4</f>
        <v>7.4646806466872402</v>
      </c>
      <c r="D539">
        <f>'nebuleair_export (1)'!D539*'Calcul des facteurs'!$B$5+'Calcul des facteurs'!$C$5</f>
        <v>9.9508515734105689</v>
      </c>
    </row>
    <row r="540" spans="1:4">
      <c r="A540" t="s">
        <v>2470</v>
      </c>
      <c r="B540" t="e">
        <f>'nebuleair_export (1)'!B540*'Calcul des facteurs'!#REF!+'Calcul des facteurs'!#REF!</f>
        <v>#REF!</v>
      </c>
      <c r="C540">
        <f>'nebuleair_export (1)'!C540*'Calcul des facteurs'!$B$4+'Calcul des facteurs'!$C$4</f>
        <v>8.2804721066477107</v>
      </c>
      <c r="D540">
        <f>'nebuleair_export (1)'!D540*'Calcul des facteurs'!$B$5+'Calcul des facteurs'!$C$5</f>
        <v>10.67866432182338</v>
      </c>
    </row>
    <row r="541" spans="1:4">
      <c r="A541" t="s">
        <v>2472</v>
      </c>
      <c r="B541" t="e">
        <f>'nebuleair_export (1)'!B541*'Calcul des facteurs'!#REF!+'Calcul des facteurs'!#REF!</f>
        <v>#REF!</v>
      </c>
      <c r="C541">
        <f>'nebuleair_export (1)'!C541*'Calcul des facteurs'!$B$4+'Calcul des facteurs'!$C$4</f>
        <v>6.611975546004591</v>
      </c>
      <c r="D541">
        <f>'nebuleair_export (1)'!D541*'Calcul des facteurs'!$B$5+'Calcul des facteurs'!$C$5</f>
        <v>10.065610430006782</v>
      </c>
    </row>
    <row r="542" spans="1:4">
      <c r="A542" t="s">
        <v>2474</v>
      </c>
      <c r="B542" t="e">
        <f>'nebuleair_export (1)'!B542*'Calcul des facteurs'!#REF!+'Calcul des facteurs'!#REF!</f>
        <v>#REF!</v>
      </c>
      <c r="C542">
        <f>'nebuleair_export (1)'!C542*'Calcul des facteurs'!$B$4+'Calcul des facteurs'!$C$4</f>
        <v>6.010283202232837</v>
      </c>
      <c r="D542">
        <f>'nebuleair_export (1)'!D542*'Calcul des facteurs'!$B$5+'Calcul des facteurs'!$C$5</f>
        <v>7.9939110714541526</v>
      </c>
    </row>
    <row r="543" spans="1:4">
      <c r="A543" t="s">
        <v>2476</v>
      </c>
      <c r="B543" t="e">
        <f>'nebuleair_export (1)'!B543*'Calcul des facteurs'!#REF!+'Calcul des facteurs'!#REF!</f>
        <v>#REF!</v>
      </c>
      <c r="C543">
        <f>'nebuleair_export (1)'!C543*'Calcul des facteurs'!$B$4+'Calcul des facteurs'!$C$4</f>
        <v>6.6009014537879338</v>
      </c>
      <c r="D543">
        <f>'nebuleair_export (1)'!D543*'Calcul des facteurs'!$B$5+'Calcul des facteurs'!$C$5</f>
        <v>10.168289406961282</v>
      </c>
    </row>
    <row r="544" spans="1:4">
      <c r="A544" t="s">
        <v>2478</v>
      </c>
      <c r="B544" t="e">
        <f>'nebuleair_export (1)'!B544*'Calcul des facteurs'!#REF!+'Calcul des facteurs'!#REF!</f>
        <v>#REF!</v>
      </c>
      <c r="C544">
        <f>'nebuleair_export (1)'!C544*'Calcul des facteurs'!$B$4+'Calcul des facteurs'!$C$4</f>
        <v>6.6415064585823389</v>
      </c>
      <c r="D544">
        <f>'nebuleair_export (1)'!D544*'Calcul des facteurs'!$B$5+'Calcul des facteurs'!$C$5</f>
        <v>9.990111182246121</v>
      </c>
    </row>
    <row r="545" spans="1:4">
      <c r="A545" t="s">
        <v>2480</v>
      </c>
      <c r="B545" t="e">
        <f>'nebuleair_export (1)'!B545*'Calcul des facteurs'!#REF!+'Calcul des facteurs'!#REF!</f>
        <v>#REF!</v>
      </c>
      <c r="C545">
        <f>'nebuleair_export (1)'!C545*'Calcul des facteurs'!$B$4+'Calcul des facteurs'!$C$4</f>
        <v>7.5311251999871986</v>
      </c>
      <c r="D545">
        <f>'nebuleair_export (1)'!D545*'Calcul des facteurs'!$B$5+'Calcul des facteurs'!$C$5</f>
        <v>9.6609344620096174</v>
      </c>
    </row>
    <row r="546" spans="1:4">
      <c r="A546" t="s">
        <v>2482</v>
      </c>
      <c r="B546" t="e">
        <f>'nebuleair_export (1)'!B546*'Calcul des facteurs'!#REF!+'Calcul des facteurs'!#REF!</f>
        <v>#REF!</v>
      </c>
      <c r="C546">
        <f>'nebuleair_export (1)'!C546*'Calcul des facteurs'!$B$4+'Calcul des facteurs'!$C$4</f>
        <v>5.5710108776387468</v>
      </c>
      <c r="D546">
        <f>'nebuleair_export (1)'!D546*'Calcul des facteurs'!$B$5+'Calcul des facteurs'!$C$5</f>
        <v>8.8304427366423131</v>
      </c>
    </row>
    <row r="547" spans="1:4">
      <c r="A547" t="s">
        <v>2484</v>
      </c>
      <c r="B547" t="e">
        <f>'nebuleair_export (1)'!B547*'Calcul des facteurs'!#REF!+'Calcul des facteurs'!#REF!</f>
        <v>#REF!</v>
      </c>
      <c r="C547">
        <f>'nebuleair_export (1)'!C547*'Calcul des facteurs'!$B$4+'Calcul des facteurs'!$C$4</f>
        <v>8.6459171497974214</v>
      </c>
      <c r="D547">
        <f>'nebuleair_export (1)'!D547*'Calcul des facteurs'!$B$5+'Calcul des facteurs'!$C$5</f>
        <v>11.898732165635634</v>
      </c>
    </row>
    <row r="548" spans="1:4">
      <c r="A548" t="s">
        <v>2485</v>
      </c>
      <c r="B548" t="e">
        <f>'nebuleair_export (1)'!B548*'Calcul des facteurs'!#REF!+'Calcul des facteurs'!#REF!</f>
        <v>#REF!</v>
      </c>
      <c r="C548">
        <f>'nebuleair_export (1)'!C548*'Calcul des facteurs'!$B$4+'Calcul des facteurs'!$C$4</f>
        <v>6.7817782933266759</v>
      </c>
      <c r="D548">
        <f>'nebuleair_export (1)'!D548*'Calcul des facteurs'!$B$5+'Calcul des facteurs'!$C$5</f>
        <v>9.8844122353811876</v>
      </c>
    </row>
    <row r="549" spans="1:4">
      <c r="A549" t="s">
        <v>2487</v>
      </c>
      <c r="B549" t="e">
        <f>'nebuleair_export (1)'!B549*'Calcul des facteurs'!#REF!+'Calcul des facteurs'!#REF!</f>
        <v>#REF!</v>
      </c>
      <c r="C549">
        <f>'nebuleair_export (1)'!C549*'Calcul des facteurs'!$B$4+'Calcul des facteurs'!$C$4</f>
        <v>5.4676526836165991</v>
      </c>
      <c r="D549">
        <f>'nebuleair_export (1)'!D549*'Calcul des facteurs'!$B$5+'Calcul des facteurs'!$C$5</f>
        <v>8.6401846322854396</v>
      </c>
    </row>
    <row r="550" spans="1:4">
      <c r="A550" t="s">
        <v>2489</v>
      </c>
      <c r="B550" t="e">
        <f>'nebuleair_export (1)'!B550*'Calcul des facteurs'!#REF!+'Calcul des facteurs'!#REF!</f>
        <v>#REF!</v>
      </c>
      <c r="C550">
        <f>'nebuleair_export (1)'!C550*'Calcul des facteurs'!$B$4+'Calcul des facteurs'!$C$4</f>
        <v>5.0209976308780666</v>
      </c>
      <c r="D550">
        <f>'nebuleair_export (1)'!D550*'Calcul des facteurs'!$B$5+'Calcul des facteurs'!$C$5</f>
        <v>7.7251337494261847</v>
      </c>
    </row>
    <row r="551" spans="1:4">
      <c r="A551" t="s">
        <v>2490</v>
      </c>
      <c r="B551" t="e">
        <f>'nebuleair_export (1)'!B551*'Calcul des facteurs'!#REF!+'Calcul des facteurs'!#REF!</f>
        <v>#REF!</v>
      </c>
      <c r="C551">
        <f>'nebuleair_export (1)'!C551*'Calcul des facteurs'!$B$4+'Calcul des facteurs'!$C$4</f>
        <v>4.3344039134452759</v>
      </c>
      <c r="D551">
        <f>'nebuleair_export (1)'!D551*'Calcul des facteurs'!$B$5+'Calcul des facteurs'!$C$5</f>
        <v>8.1720892961693146</v>
      </c>
    </row>
    <row r="552" spans="1:4">
      <c r="A552" t="s">
        <v>2492</v>
      </c>
      <c r="B552" t="e">
        <f>'nebuleair_export (1)'!B552*'Calcul des facteurs'!#REF!+'Calcul des facteurs'!#REF!</f>
        <v>#REF!</v>
      </c>
      <c r="C552">
        <f>'nebuleair_export (1)'!C552*'Calcul des facteurs'!$B$4+'Calcul des facteurs'!$C$4</f>
        <v>4.360243461950807</v>
      </c>
      <c r="D552">
        <f>'nebuleair_export (1)'!D552*'Calcul des facteurs'!$B$5+'Calcul des facteurs'!$C$5</f>
        <v>7.1966390151015265</v>
      </c>
    </row>
    <row r="553" spans="1:4">
      <c r="A553" t="s">
        <v>2494</v>
      </c>
      <c r="B553" t="e">
        <f>'nebuleair_export (1)'!B553*'Calcul des facteurs'!#REF!+'Calcul des facteurs'!#REF!</f>
        <v>#REF!</v>
      </c>
      <c r="C553">
        <f>'nebuleair_export (1)'!C553*'Calcul des facteurs'!$B$4+'Calcul des facteurs'!$C$4</f>
        <v>3.3155874295127474</v>
      </c>
      <c r="D553">
        <f>'nebuleair_export (1)'!D553*'Calcul des facteurs'!$B$5+'Calcul des facteurs'!$C$5</f>
        <v>6.2423285234067301</v>
      </c>
    </row>
    <row r="554" spans="1:4">
      <c r="A554" t="s">
        <v>2496</v>
      </c>
      <c r="B554" t="e">
        <f>'nebuleair_export (1)'!B554*'Calcul des facteurs'!#REF!+'Calcul des facteurs'!#REF!</f>
        <v>#REF!</v>
      </c>
      <c r="C554">
        <f>'nebuleair_export (1)'!C554*'Calcul des facteurs'!$B$4+'Calcul des facteurs'!$C$4</f>
        <v>4.2347370834953546</v>
      </c>
      <c r="D554">
        <f>'nebuleair_export (1)'!D554*'Calcul des facteurs'!$B$5+'Calcul des facteurs'!$C$5</f>
        <v>7.2479785035787812</v>
      </c>
    </row>
    <row r="555" spans="1:4">
      <c r="A555" t="s">
        <v>2498</v>
      </c>
      <c r="B555" t="e">
        <f>'nebuleair_export (1)'!B555*'Calcul des facteurs'!#REF!+'Calcul des facteurs'!#REF!</f>
        <v>#REF!</v>
      </c>
      <c r="C555">
        <f>'nebuleair_export (1)'!C555*'Calcul des facteurs'!$B$4+'Calcul des facteurs'!$C$4</f>
        <v>4.3122557290119596</v>
      </c>
      <c r="D555">
        <f>'nebuleair_export (1)'!D555*'Calcul des facteurs'!$B$5+'Calcul des facteurs'!$C$5</f>
        <v>6.8886020842380242</v>
      </c>
    </row>
    <row r="556" spans="1:4">
      <c r="A556" t="s">
        <v>2499</v>
      </c>
      <c r="B556" t="e">
        <f>'nebuleair_export (1)'!B556*'Calcul des facteurs'!#REF!+'Calcul des facteurs'!#REF!</f>
        <v>#REF!</v>
      </c>
      <c r="C556">
        <f>'nebuleair_export (1)'!C556*'Calcul des facteurs'!$B$4+'Calcul des facteurs'!$C$4</f>
        <v>3.4447851720404157</v>
      </c>
      <c r="D556">
        <f>'nebuleair_export (1)'!D556*'Calcul des facteurs'!$B$5+'Calcul des facteurs'!$C$5</f>
        <v>5.8165127660365812</v>
      </c>
    </row>
    <row r="557" spans="1:4">
      <c r="A557" t="s">
        <v>2501</v>
      </c>
      <c r="B557" t="e">
        <f>'nebuleair_export (1)'!B557*'Calcul des facteurs'!#REF!+'Calcul des facteurs'!#REF!</f>
        <v>#REF!</v>
      </c>
      <c r="C557">
        <f>'nebuleair_export (1)'!C557*'Calcul des facteurs'!$B$4+'Calcul des facteurs'!$C$4</f>
        <v>4.3565520978785912</v>
      </c>
      <c r="D557">
        <f>'nebuleair_export (1)'!D557*'Calcul des facteurs'!$B$5+'Calcul des facteurs'!$C$5</f>
        <v>6.7013639497915731</v>
      </c>
    </row>
    <row r="558" spans="1:4">
      <c r="A558" t="s">
        <v>2503</v>
      </c>
      <c r="B558" t="e">
        <f>'nebuleair_export (1)'!B558*'Calcul des facteurs'!#REF!+'Calcul des facteurs'!#REF!</f>
        <v>#REF!</v>
      </c>
      <c r="C558">
        <f>'nebuleair_export (1)'!C558*'Calcul des facteurs'!$B$4+'Calcul des facteurs'!$C$4</f>
        <v>3.8582179481289849</v>
      </c>
      <c r="D558">
        <f>'nebuleair_export (1)'!D558*'Calcul des facteurs'!$B$5+'Calcul des facteurs'!$C$5</f>
        <v>7.0426205496697794</v>
      </c>
    </row>
    <row r="559" spans="1:4">
      <c r="A559" t="s">
        <v>2504</v>
      </c>
      <c r="B559" t="e">
        <f>'nebuleair_export (1)'!B559*'Calcul des facteurs'!#REF!+'Calcul des facteurs'!#REF!</f>
        <v>#REF!</v>
      </c>
      <c r="C559">
        <f>'nebuleair_export (1)'!C559*'Calcul des facteurs'!$B$4+'Calcul des facteurs'!$C$4</f>
        <v>2.8467841923408987</v>
      </c>
      <c r="D559">
        <f>'nebuleair_export (1)'!D559*'Calcul des facteurs'!$B$5+'Calcul des facteurs'!$C$5</f>
        <v>5.541695504187766</v>
      </c>
    </row>
    <row r="560" spans="1:4">
      <c r="A560" t="s">
        <v>2505</v>
      </c>
      <c r="B560" t="e">
        <f>'nebuleair_export (1)'!B560*'Calcul des facteurs'!#REF!+'Calcul des facteurs'!#REF!</f>
        <v>#REF!</v>
      </c>
      <c r="C560">
        <f>'nebuleair_export (1)'!C560*'Calcul des facteurs'!$B$4+'Calcul des facteurs'!$C$4</f>
        <v>3.51492108941259</v>
      </c>
      <c r="D560">
        <f>'nebuleair_export (1)'!D560*'Calcul des facteurs'!$B$5+'Calcul des facteurs'!$C$5</f>
        <v>6.5775451834640801</v>
      </c>
    </row>
    <row r="561" spans="1:4">
      <c r="A561" t="s">
        <v>2507</v>
      </c>
      <c r="B561" t="e">
        <f>'nebuleair_export (1)'!B561*'Calcul des facteurs'!#REF!+'Calcul des facteurs'!#REF!</f>
        <v>#REF!</v>
      </c>
      <c r="C561">
        <f>'nebuleair_export (1)'!C561*'Calcul des facteurs'!$B$4+'Calcul des facteurs'!$C$4</f>
        <v>2.990747391157452</v>
      </c>
      <c r="D561">
        <f>'nebuleair_export (1)'!D561*'Calcul des facteurs'!$B$5+'Calcul des facteurs'!$C$5</f>
        <v>5.4148567679498498</v>
      </c>
    </row>
    <row r="562" spans="1:4">
      <c r="A562" t="s">
        <v>2509</v>
      </c>
      <c r="B562" t="e">
        <f>'nebuleair_export (1)'!B562*'Calcul des facteurs'!#REF!+'Calcul des facteurs'!#REF!</f>
        <v>#REF!</v>
      </c>
      <c r="C562">
        <f>'nebuleair_export (1)'!C562*'Calcul des facteurs'!$B$4+'Calcul des facteurs'!$C$4</f>
        <v>2.6769814450188032</v>
      </c>
      <c r="D562">
        <f>'nebuleair_export (1)'!D562*'Calcul des facteurs'!$B$5+'Calcul des facteurs'!$C$5</f>
        <v>5.5296156245460537</v>
      </c>
    </row>
    <row r="563" spans="1:4">
      <c r="A563" t="s">
        <v>2510</v>
      </c>
      <c r="B563" t="e">
        <f>'nebuleair_export (1)'!B563*'Calcul des facteurs'!#REF!+'Calcul des facteurs'!#REF!</f>
        <v>#REF!</v>
      </c>
      <c r="C563">
        <f>'nebuleair_export (1)'!C563*'Calcul des facteurs'!$B$4+'Calcul des facteurs'!$C$4</f>
        <v>2.4333514162523295</v>
      </c>
      <c r="D563">
        <f>'nebuleair_export (1)'!D563*'Calcul des facteurs'!$B$5+'Calcul des facteurs'!$C$5</f>
        <v>5.0343405592360995</v>
      </c>
    </row>
    <row r="564" spans="1:4">
      <c r="A564" t="s">
        <v>2511</v>
      </c>
      <c r="B564" t="e">
        <f>'nebuleair_export (1)'!B564*'Calcul des facteurs'!#REF!+'Calcul des facteurs'!#REF!</f>
        <v>#REF!</v>
      </c>
      <c r="C564">
        <f>'nebuleair_export (1)'!C564*'Calcul des facteurs'!$B$4+'Calcul des facteurs'!$C$4</f>
        <v>2.189721387485855</v>
      </c>
      <c r="D564">
        <f>'nebuleair_export (1)'!D564*'Calcul des facteurs'!$B$5+'Calcul des facteurs'!$C$5</f>
        <v>4.9497814017441586</v>
      </c>
    </row>
    <row r="565" spans="1:4">
      <c r="A565" t="s">
        <v>2513</v>
      </c>
      <c r="B565" t="e">
        <f>'nebuleair_export (1)'!B565*'Calcul des facteurs'!#REF!+'Calcul des facteurs'!#REF!</f>
        <v>#REF!</v>
      </c>
      <c r="C565">
        <f>'nebuleair_export (1)'!C565*'Calcul des facteurs'!$B$4+'Calcul des facteurs'!$C$4</f>
        <v>1.6027945000029855</v>
      </c>
      <c r="D565">
        <f>'nebuleair_export (1)'!D565*'Calcul des facteurs'!$B$5+'Calcul des facteurs'!$C$5</f>
        <v>4.8803220938043443</v>
      </c>
    </row>
    <row r="566" spans="1:4">
      <c r="A566" t="s">
        <v>2514</v>
      </c>
      <c r="B566" t="e">
        <f>'nebuleair_export (1)'!B566*'Calcul des facteurs'!#REF!+'Calcul des facteurs'!#REF!</f>
        <v>#REF!</v>
      </c>
      <c r="C566">
        <f>'nebuleair_export (1)'!C566*'Calcul des facteurs'!$B$4+'Calcul des facteurs'!$C$4</f>
        <v>1.5843376796418962</v>
      </c>
      <c r="D566">
        <f>'nebuleair_export (1)'!D566*'Calcul des facteurs'!$B$5+'Calcul des facteurs'!$C$5</f>
        <v>3.7659531968569357</v>
      </c>
    </row>
    <row r="567" spans="1:4">
      <c r="A567" t="s">
        <v>2515</v>
      </c>
      <c r="B567" t="e">
        <f>'nebuleair_export (1)'!B567*'Calcul des facteurs'!#REF!+'Calcul des facteurs'!#REF!</f>
        <v>#REF!</v>
      </c>
      <c r="C567">
        <f>'nebuleair_export (1)'!C567*'Calcul des facteurs'!$B$4+'Calcul des facteurs'!$C$4</f>
        <v>1.3333249227309831</v>
      </c>
      <c r="D567">
        <f>'nebuleair_export (1)'!D567*'Calcul des facteurs'!$B$5+'Calcul des facteurs'!$C$5</f>
        <v>3.6813940393649944</v>
      </c>
    </row>
    <row r="568" spans="1:4">
      <c r="A568" t="s">
        <v>2517</v>
      </c>
      <c r="B568" t="e">
        <f>'nebuleair_export (1)'!B568*'Calcul des facteurs'!#REF!+'Calcul des facteurs'!#REF!</f>
        <v>#REF!</v>
      </c>
      <c r="C568">
        <f>'nebuleair_export (1)'!C568*'Calcul des facteurs'!$B$4+'Calcul des facteurs'!$C$4</f>
        <v>1.2853371897921315</v>
      </c>
      <c r="D568">
        <f>'nebuleair_export (1)'!D568*'Calcul des facteurs'!$B$5+'Calcul des facteurs'!$C$5</f>
        <v>3.8746721136322924</v>
      </c>
    </row>
    <row r="569" spans="1:4">
      <c r="A569" t="s">
        <v>2519</v>
      </c>
      <c r="B569" t="e">
        <f>'nebuleair_export (1)'!B569*'Calcul des facteurs'!#REF!+'Calcul des facteurs'!#REF!</f>
        <v>#REF!</v>
      </c>
      <c r="C569">
        <f>'nebuleair_export (1)'!C569*'Calcul des facteurs'!$B$4+'Calcul des facteurs'!$C$4</f>
        <v>1.5068190341252909</v>
      </c>
      <c r="D569">
        <f>'nebuleair_export (1)'!D569*'Calcul des facteurs'!$B$5+'Calcul des facteurs'!$C$5</f>
        <v>3.8414524446175973</v>
      </c>
    </row>
    <row r="570" spans="1:4">
      <c r="A570" t="s">
        <v>2521</v>
      </c>
      <c r="B570" t="e">
        <f>'nebuleair_export (1)'!B570*'Calcul des facteurs'!#REF!+'Calcul des facteurs'!#REF!</f>
        <v>#REF!</v>
      </c>
      <c r="C570">
        <f>'nebuleair_export (1)'!C570*'Calcul des facteurs'!$B$4+'Calcul des facteurs'!$C$4</f>
        <v>1.9608568150082655</v>
      </c>
      <c r="D570">
        <f>'nebuleair_export (1)'!D570*'Calcul des facteurs'!$B$5+'Calcul des facteurs'!$C$5</f>
        <v>4.2249886232417788</v>
      </c>
    </row>
    <row r="571" spans="1:4">
      <c r="A571" t="s">
        <v>2523</v>
      </c>
      <c r="B571" t="e">
        <f>'nebuleair_export (1)'!B571*'Calcul des facteurs'!#REF!+'Calcul des facteurs'!#REF!</f>
        <v>#REF!</v>
      </c>
      <c r="C571">
        <f>'nebuleair_export (1)'!C571*'Calcul des facteurs'!$B$4+'Calcul des facteurs'!$C$4</f>
        <v>1.5584981311363539</v>
      </c>
      <c r="D571">
        <f>'nebuleair_export (1)'!D571*'Calcul des facteurs'!$B$5+'Calcul des facteurs'!$C$5</f>
        <v>4.0226506392431922</v>
      </c>
    </row>
    <row r="572" spans="1:4">
      <c r="A572" t="s">
        <v>2525</v>
      </c>
      <c r="B572" t="e">
        <f>'nebuleair_export (1)'!B572*'Calcul des facteurs'!#REF!+'Calcul des facteurs'!#REF!</f>
        <v>#REF!</v>
      </c>
      <c r="C572">
        <f>'nebuleair_export (1)'!C572*'Calcul des facteurs'!$B$4+'Calcul des facteurs'!$C$4</f>
        <v>1.34809037901986</v>
      </c>
      <c r="D572">
        <f>'nebuleair_export (1)'!D572*'Calcul des facteurs'!$B$5+'Calcul des facteurs'!$C$5</f>
        <v>3.8535323242593096</v>
      </c>
    </row>
    <row r="573" spans="1:4">
      <c r="A573" t="s">
        <v>2527</v>
      </c>
      <c r="B573" t="e">
        <f>'nebuleair_export (1)'!B573*'Calcul des facteurs'!#REF!+'Calcul des facteurs'!#REF!</f>
        <v>#REF!</v>
      </c>
      <c r="C573">
        <f>'nebuleair_export (1)'!C573*'Calcul des facteurs'!$B$4+'Calcul des facteurs'!$C$4</f>
        <v>1.5548067670641381</v>
      </c>
      <c r="D573">
        <f>'nebuleair_export (1)'!D573*'Calcul des facteurs'!$B$5+'Calcul des facteurs'!$C$5</f>
        <v>4.2310285630626261</v>
      </c>
    </row>
    <row r="574" spans="1:4">
      <c r="A574" t="s">
        <v>2528</v>
      </c>
      <c r="B574" t="e">
        <f>'nebuleair_export (1)'!B574*'Calcul des facteurs'!#REF!+'Calcul des facteurs'!#REF!</f>
        <v>#REF!</v>
      </c>
      <c r="C574">
        <f>'nebuleair_export (1)'!C574*'Calcul des facteurs'!$B$4+'Calcul des facteurs'!$C$4</f>
        <v>1.2779544616476937</v>
      </c>
      <c r="D574">
        <f>'nebuleair_export (1)'!D574*'Calcul des facteurs'!$B$5+'Calcul des facteurs'!$C$5</f>
        <v>4.1555293153019646</v>
      </c>
    </row>
    <row r="575" spans="1:4">
      <c r="A575" t="s">
        <v>2530</v>
      </c>
      <c r="B575" t="e">
        <f>'nebuleair_export (1)'!B575*'Calcul des facteurs'!#REF!+'Calcul des facteurs'!#REF!</f>
        <v>#REF!</v>
      </c>
      <c r="C575">
        <f>'nebuleair_export (1)'!C575*'Calcul des facteurs'!$B$4+'Calcul des facteurs'!$C$4</f>
        <v>2.1454250186192239</v>
      </c>
      <c r="D575">
        <f>'nebuleair_export (1)'!D575*'Calcul des facteurs'!$B$5+'Calcul des facteurs'!$C$5</f>
        <v>4.4454464267029161</v>
      </c>
    </row>
    <row r="576" spans="1:4">
      <c r="A576" t="s">
        <v>2532</v>
      </c>
      <c r="B576" t="e">
        <f>'nebuleair_export (1)'!B576*'Calcul des facteurs'!#REF!+'Calcul des facteurs'!#REF!</f>
        <v>#REF!</v>
      </c>
      <c r="C576">
        <f>'nebuleair_export (1)'!C576*'Calcul des facteurs'!$B$4+'Calcul des facteurs'!$C$4</f>
        <v>1.997770455730455</v>
      </c>
      <c r="D576">
        <f>'nebuleair_export (1)'!D576*'Calcul des facteurs'!$B$5+'Calcul des facteurs'!$C$5</f>
        <v>4.3276676001962802</v>
      </c>
    </row>
    <row r="577" spans="1:4">
      <c r="A577" t="s">
        <v>2534</v>
      </c>
      <c r="B577" t="e">
        <f>'nebuleair_export (1)'!B577*'Calcul des facteurs'!#REF!+'Calcul des facteurs'!#REF!</f>
        <v>#REF!</v>
      </c>
      <c r="C577">
        <f>'nebuleair_export (1)'!C577*'Calcul des facteurs'!$B$4+'Calcul des facteurs'!$C$4</f>
        <v>2.0014618198026706</v>
      </c>
      <c r="D577">
        <f>'nebuleair_export (1)'!D577*'Calcul des facteurs'!$B$5+'Calcul des facteurs'!$C$5</f>
        <v>5.0403804990569565</v>
      </c>
    </row>
    <row r="578" spans="1:4">
      <c r="A578" t="s">
        <v>2535</v>
      </c>
      <c r="B578" t="e">
        <f>'nebuleair_export (1)'!B578*'Calcul des facteurs'!#REF!+'Calcul des facteurs'!#REF!</f>
        <v>#REF!</v>
      </c>
      <c r="C578">
        <f>'nebuleair_export (1)'!C578*'Calcul des facteurs'!$B$4+'Calcul des facteurs'!$C$4</f>
        <v>2.0863631934637183</v>
      </c>
      <c r="D578">
        <f>'nebuleair_export (1)'!D578*'Calcul des facteurs'!$B$5+'Calcul des facteurs'!$C$5</f>
        <v>4.8803220938043443</v>
      </c>
    </row>
    <row r="579" spans="1:4">
      <c r="A579" t="s">
        <v>2537</v>
      </c>
      <c r="B579" t="e">
        <f>'nebuleair_export (1)'!B579*'Calcul des facteurs'!#REF!+'Calcul des facteurs'!#REF!</f>
        <v>#REF!</v>
      </c>
      <c r="C579">
        <f>'nebuleair_export (1)'!C579*'Calcul des facteurs'!$B$4+'Calcul des facteurs'!$C$4</f>
        <v>1.8279677084083705</v>
      </c>
      <c r="D579">
        <f>'nebuleair_export (1)'!D579*'Calcul des facteurs'!$B$5+'Calcul des facteurs'!$C$5</f>
        <v>4.7897229964915464</v>
      </c>
    </row>
    <row r="580" spans="1:4">
      <c r="A580" t="s">
        <v>2538</v>
      </c>
      <c r="B580" t="e">
        <f>'nebuleair_export (1)'!B580*'Calcul des facteurs'!#REF!+'Calcul des facteurs'!#REF!</f>
        <v>#REF!</v>
      </c>
      <c r="C580">
        <f>'nebuleair_export (1)'!C580*'Calcul des facteurs'!$B$4+'Calcul des facteurs'!$C$4</f>
        <v>1.8944122617083181</v>
      </c>
      <c r="D580">
        <f>'nebuleair_export (1)'!D580*'Calcul des facteurs'!$B$5+'Calcul des facteurs'!$C$5</f>
        <v>4.1645892250332448</v>
      </c>
    </row>
    <row r="581" spans="1:4">
      <c r="A581" t="s">
        <v>2540</v>
      </c>
      <c r="B581" t="e">
        <f>'nebuleair_export (1)'!B581*'Calcul des facteurs'!#REF!+'Calcul des facteurs'!#REF!</f>
        <v>#REF!</v>
      </c>
      <c r="C581">
        <f>'nebuleair_export (1)'!C581*'Calcul des facteurs'!$B$4+'Calcul des facteurs'!$C$4</f>
        <v>3.2343774199239261</v>
      </c>
      <c r="D581">
        <f>'nebuleair_export (1)'!D581*'Calcul des facteurs'!$B$5+'Calcul des facteurs'!$C$5</f>
        <v>5.9705312314683372</v>
      </c>
    </row>
    <row r="582" spans="1:4">
      <c r="A582" t="s">
        <v>2542</v>
      </c>
      <c r="B582" t="e">
        <f>'nebuleair_export (1)'!B582*'Calcul des facteurs'!#REF!+'Calcul des facteurs'!#REF!</f>
        <v>#REF!</v>
      </c>
      <c r="C582">
        <f>'nebuleair_export (1)'!C582*'Calcul des facteurs'!$B$4+'Calcul des facteurs'!$C$4</f>
        <v>2.1343509264025657</v>
      </c>
      <c r="D582">
        <f>'nebuleair_export (1)'!D582*'Calcul des facteurs'!$B$5+'Calcul des facteurs'!$C$5</f>
        <v>4.6749641398953337</v>
      </c>
    </row>
    <row r="583" spans="1:4">
      <c r="A583" t="s">
        <v>2543</v>
      </c>
      <c r="B583" t="e">
        <f>'nebuleair_export (1)'!B583*'Calcul des facteurs'!#REF!+'Calcul des facteurs'!#REF!</f>
        <v>#REF!</v>
      </c>
      <c r="C583">
        <f>'nebuleair_export (1)'!C583*'Calcul des facteurs'!$B$4+'Calcul des facteurs'!$C$4</f>
        <v>2.160190474908108</v>
      </c>
      <c r="D583">
        <f>'nebuleair_export (1)'!D583*'Calcul des facteurs'!$B$5+'Calcul des facteurs'!$C$5</f>
        <v>5.6413545112318424</v>
      </c>
    </row>
    <row r="584" spans="1:4">
      <c r="A584" t="s">
        <v>2544</v>
      </c>
      <c r="B584" t="e">
        <f>'nebuleair_export (1)'!B584*'Calcul des facteurs'!#REF!+'Calcul des facteurs'!#REF!</f>
        <v>#REF!</v>
      </c>
      <c r="C584">
        <f>'nebuleair_export (1)'!C584*'Calcul des facteurs'!$B$4+'Calcul des facteurs'!$C$4</f>
        <v>1.9830049994415815</v>
      </c>
      <c r="D584">
        <f>'nebuleair_export (1)'!D584*'Calcul des facteurs'!$B$5+'Calcul des facteurs'!$C$5</f>
        <v>4.5511453735678495</v>
      </c>
    </row>
    <row r="585" spans="1:4">
      <c r="A585" t="s">
        <v>2545</v>
      </c>
      <c r="B585" t="e">
        <f>'nebuleair_export (1)'!B585*'Calcul des facteurs'!#REF!+'Calcul des facteurs'!#REF!</f>
        <v>#REF!</v>
      </c>
      <c r="C585">
        <f>'nebuleair_export (1)'!C585*'Calcul des facteurs'!$B$4+'Calcul des facteurs'!$C$4</f>
        <v>3.2565256043572419</v>
      </c>
      <c r="D585">
        <f>'nebuleair_export (1)'!D585*'Calcul des facteurs'!$B$5+'Calcul des facteurs'!$C$5</f>
        <v>5.9886510509308959</v>
      </c>
    </row>
    <row r="586" spans="1:4">
      <c r="A586" t="s">
        <v>2547</v>
      </c>
      <c r="B586" t="e">
        <f>'nebuleair_export (1)'!B586*'Calcul des facteurs'!#REF!+'Calcul des facteurs'!#REF!</f>
        <v>#REF!</v>
      </c>
      <c r="C586">
        <f>'nebuleair_export (1)'!C586*'Calcul des facteurs'!$B$4+'Calcul des facteurs'!$C$4</f>
        <v>3.3635751624515944</v>
      </c>
      <c r="D586">
        <f>'nebuleair_export (1)'!D586*'Calcul des facteurs'!$B$5+'Calcul des facteurs'!$C$5</f>
        <v>6.3963469888384852</v>
      </c>
    </row>
    <row r="587" spans="1:4">
      <c r="A587" t="s">
        <v>2549</v>
      </c>
      <c r="B587" t="e">
        <f>'nebuleair_export (1)'!B587*'Calcul des facteurs'!#REF!+'Calcul des facteurs'!#REF!</f>
        <v>#REF!</v>
      </c>
      <c r="C587">
        <f>'nebuleair_export (1)'!C587*'Calcul des facteurs'!$B$4+'Calcul des facteurs'!$C$4</f>
        <v>4.9545530775781188</v>
      </c>
      <c r="D587">
        <f>'nebuleair_export (1)'!D587*'Calcul des facteurs'!$B$5+'Calcul des facteurs'!$C$5</f>
        <v>8.8334627065527371</v>
      </c>
    </row>
    <row r="588" spans="1:4">
      <c r="A588" t="s">
        <v>2551</v>
      </c>
      <c r="B588" t="e">
        <f>'nebuleair_export (1)'!B588*'Calcul des facteurs'!#REF!+'Calcul des facteurs'!#REF!</f>
        <v>#REF!</v>
      </c>
      <c r="C588">
        <f>'nebuleair_export (1)'!C588*'Calcul des facteurs'!$B$4+'Calcul des facteurs'!$C$4</f>
        <v>5.8737027315607255</v>
      </c>
      <c r="D588">
        <f>'nebuleair_export (1)'!D588*'Calcul des facteurs'!$B$5+'Calcul des facteurs'!$C$5</f>
        <v>10.289088203378352</v>
      </c>
    </row>
    <row r="589" spans="1:4">
      <c r="A589" t="s">
        <v>2553</v>
      </c>
      <c r="B589" t="e">
        <f>'nebuleair_export (1)'!B589*'Calcul des facteurs'!#REF!+'Calcul des facteurs'!#REF!</f>
        <v>#REF!</v>
      </c>
      <c r="C589">
        <f>'nebuleair_export (1)'!C589*'Calcul des facteurs'!$B$4+'Calcul des facteurs'!$C$4</f>
        <v>4.0058725110177535</v>
      </c>
      <c r="D589">
        <f>'nebuleair_export (1)'!D589*'Calcul des facteurs'!$B$5+'Calcul des facteurs'!$C$5</f>
        <v>7.7583534184408798</v>
      </c>
    </row>
    <row r="590" spans="1:4">
      <c r="A590" t="s">
        <v>2554</v>
      </c>
      <c r="B590" t="e">
        <f>'nebuleair_export (1)'!B590*'Calcul des facteurs'!#REF!+'Calcul des facteurs'!#REF!</f>
        <v>#REF!</v>
      </c>
      <c r="C590">
        <f>'nebuleair_export (1)'!C590*'Calcul des facteurs'!$B$4+'Calcul des facteurs'!$C$4</f>
        <v>5.596850426144278</v>
      </c>
      <c r="D590">
        <f>'nebuleair_export (1)'!D590*'Calcul des facteurs'!$B$5+'Calcul des facteurs'!$C$5</f>
        <v>8.8032630074484732</v>
      </c>
    </row>
    <row r="591" spans="1:4">
      <c r="A591" t="s">
        <v>2555</v>
      </c>
      <c r="B591" t="e">
        <f>'nebuleair_export (1)'!B591*'Calcul des facteurs'!#REF!+'Calcul des facteurs'!#REF!</f>
        <v>#REF!</v>
      </c>
      <c r="C591">
        <f>'nebuleair_export (1)'!C591*'Calcul des facteurs'!$B$4+'Calcul des facteurs'!$C$4</f>
        <v>6.5086173519824433</v>
      </c>
      <c r="D591">
        <f>'nebuleair_export (1)'!D591*'Calcul des facteurs'!$B$5+'Calcul des facteurs'!$C$5</f>
        <v>11.968191473575475</v>
      </c>
    </row>
    <row r="592" spans="1:4">
      <c r="A592" t="s">
        <v>2557</v>
      </c>
      <c r="B592" t="e">
        <f>'nebuleair_export (1)'!B592*'Calcul des facteurs'!#REF!+'Calcul des facteurs'!#REF!</f>
        <v>#REF!</v>
      </c>
      <c r="C592">
        <f>'nebuleair_export (1)'!C592*'Calcul des facteurs'!$B$4+'Calcul des facteurs'!$C$4</f>
        <v>20.986147243226569</v>
      </c>
      <c r="D592">
        <f>'nebuleair_export (1)'!D592*'Calcul des facteurs'!$B$5+'Calcul des facteurs'!$C$5</f>
        <v>22.100190523056717</v>
      </c>
    </row>
    <row r="593" spans="1:4">
      <c r="A593" t="s">
        <v>2560</v>
      </c>
      <c r="B593" t="e">
        <f>'nebuleair_export (1)'!B593*'Calcul des facteurs'!#REF!+'Calcul des facteurs'!#REF!</f>
        <v>#REF!</v>
      </c>
      <c r="C593">
        <f>'nebuleair_export (1)'!C593*'Calcul des facteurs'!$B$4+'Calcul des facteurs'!$C$4</f>
        <v>24.898993159778996</v>
      </c>
      <c r="D593">
        <f>'nebuleair_export (1)'!D593*'Calcul des facteurs'!$B$5+'Calcul des facteurs'!$C$5</f>
        <v>27.421377505228321</v>
      </c>
    </row>
    <row r="594" spans="1:4">
      <c r="A594" t="s">
        <v>2565</v>
      </c>
      <c r="B594" t="e">
        <f>'nebuleair_export (1)'!B594*'Calcul des facteurs'!#REF!+'Calcul des facteurs'!#REF!</f>
        <v>#REF!</v>
      </c>
      <c r="C594">
        <f>'nebuleair_export (1)'!C594*'Calcul des facteurs'!$B$4+'Calcul des facteurs'!$C$4</f>
        <v>18.335747839373035</v>
      </c>
      <c r="D594">
        <f>'nebuleair_export (1)'!D594*'Calcul des facteurs'!$B$5+'Calcul des facteurs'!$C$5</f>
        <v>21.496196540971368</v>
      </c>
    </row>
    <row r="595" spans="1:4">
      <c r="A595" t="s">
        <v>2569</v>
      </c>
      <c r="B595" t="e">
        <f>'nebuleair_export (1)'!B595*'Calcul des facteurs'!#REF!+'Calcul des facteurs'!#REF!</f>
        <v>#REF!</v>
      </c>
      <c r="C595">
        <f>'nebuleair_export (1)'!C595*'Calcul des facteurs'!$B$4+'Calcul des facteurs'!$C$4</f>
        <v>18.380044208239667</v>
      </c>
      <c r="D595">
        <f>'nebuleair_export (1)'!D595*'Calcul des facteurs'!$B$5+'Calcul des facteurs'!$C$5</f>
        <v>19.487916550537662</v>
      </c>
    </row>
    <row r="596" spans="1:4">
      <c r="A596" t="s">
        <v>2572</v>
      </c>
      <c r="B596" t="e">
        <f>'nebuleair_export (1)'!B596*'Calcul des facteurs'!#REF!+'Calcul des facteurs'!#REF!</f>
        <v>#REF!</v>
      </c>
      <c r="C596">
        <f>'nebuleair_export (1)'!C596*'Calcul des facteurs'!$B$4+'Calcul des facteurs'!$C$4</f>
        <v>18.225006917206453</v>
      </c>
      <c r="D596">
        <f>'nebuleair_export (1)'!D596*'Calcul des facteurs'!$B$5+'Calcul des facteurs'!$C$5</f>
        <v>20.209689359129641</v>
      </c>
    </row>
    <row r="597" spans="1:4">
      <c r="A597" t="s">
        <v>2574</v>
      </c>
      <c r="B597" t="e">
        <f>'nebuleair_export (1)'!B597*'Calcul des facteurs'!#REF!+'Calcul des facteurs'!#REF!</f>
        <v>#REF!</v>
      </c>
      <c r="C597">
        <f>'nebuleair_export (1)'!C597*'Calcul des facteurs'!$B$4+'Calcul des facteurs'!$C$4</f>
        <v>23.36338570573573</v>
      </c>
      <c r="D597">
        <f>'nebuleair_export (1)'!D597*'Calcul des facteurs'!$B$5+'Calcul des facteurs'!$C$5</f>
        <v>25.355718086496537</v>
      </c>
    </row>
    <row r="598" spans="1:4">
      <c r="A598" t="s">
        <v>2576</v>
      </c>
      <c r="B598" t="e">
        <f>'nebuleair_export (1)'!B598*'Calcul des facteurs'!#REF!+'Calcul des facteurs'!#REF!</f>
        <v>#REF!</v>
      </c>
      <c r="C598">
        <f>'nebuleair_export (1)'!C598*'Calcul des facteurs'!$B$4+'Calcul des facteurs'!$C$4</f>
        <v>22.473766964330913</v>
      </c>
      <c r="D598">
        <f>'nebuleair_export (1)'!D598*'Calcul des facteurs'!$B$5+'Calcul des facteurs'!$C$5</f>
        <v>23.803453552537306</v>
      </c>
    </row>
    <row r="599" spans="1:4">
      <c r="A599" t="s">
        <v>2580</v>
      </c>
      <c r="B599" t="e">
        <f>'nebuleair_export (1)'!B599*'Calcul des facteurs'!#REF!+'Calcul des facteurs'!#REF!</f>
        <v>#REF!</v>
      </c>
      <c r="C599">
        <f>'nebuleair_export (1)'!C599*'Calcul des facteurs'!$B$4+'Calcul des facteurs'!$C$4</f>
        <v>23.396607982385703</v>
      </c>
      <c r="D599">
        <f>'nebuleair_export (1)'!D599*'Calcul des facteurs'!$B$5+'Calcul des facteurs'!$C$5</f>
        <v>26.717724516098897</v>
      </c>
    </row>
    <row r="600" spans="1:4">
      <c r="A600" t="s">
        <v>2584</v>
      </c>
      <c r="B600" t="e">
        <f>'nebuleair_export (1)'!B600*'Calcul des facteurs'!#REF!+'Calcul des facteurs'!#REF!</f>
        <v>#REF!</v>
      </c>
      <c r="C600">
        <f>'nebuleair_export (1)'!C600*'Calcul des facteurs'!$B$4+'Calcul des facteurs'!$C$4</f>
        <v>23.60332437043002</v>
      </c>
      <c r="D600">
        <f>'nebuleair_export (1)'!D600*'Calcul des facteurs'!$B$5+'Calcul des facteurs'!$C$5</f>
        <v>26.008031587148686</v>
      </c>
    </row>
    <row r="601" spans="1:4">
      <c r="A601" t="s">
        <v>2589</v>
      </c>
      <c r="B601" t="e">
        <f>'nebuleair_export (1)'!B601*'Calcul des facteurs'!#REF!+'Calcul des facteurs'!#REF!</f>
        <v>#REF!</v>
      </c>
      <c r="C601">
        <f>'nebuleair_export (1)'!C601*'Calcul des facteurs'!$B$4+'Calcul des facteurs'!$C$4</f>
        <v>22.278124668503253</v>
      </c>
      <c r="D601">
        <f>'nebuleair_export (1)'!D601*'Calcul des facteurs'!$B$5+'Calcul des facteurs'!$C$5</f>
        <v>24.929902329126392</v>
      </c>
    </row>
    <row r="602" spans="1:4">
      <c r="A602" t="s">
        <v>2593</v>
      </c>
      <c r="B602" t="e">
        <f>'nebuleair_export (1)'!B602*'Calcul des facteurs'!#REF!+'Calcul des facteurs'!#REF!</f>
        <v>#REF!</v>
      </c>
      <c r="C602">
        <f>'nebuleair_export (1)'!C602*'Calcul des facteurs'!$B$4+'Calcul des facteurs'!$C$4</f>
        <v>22.436853323608755</v>
      </c>
      <c r="D602">
        <f>'nebuleair_export (1)'!D602*'Calcul des facteurs'!$B$5+'Calcul des facteurs'!$C$5</f>
        <v>24.177929821430176</v>
      </c>
    </row>
    <row r="603" spans="1:4">
      <c r="A603" t="s">
        <v>2597</v>
      </c>
      <c r="B603" t="e">
        <f>'nebuleair_export (1)'!B603*'Calcul des facteurs'!#REF!+'Calcul des facteurs'!#REF!</f>
        <v>#REF!</v>
      </c>
      <c r="C603">
        <f>'nebuleair_export (1)'!C603*'Calcul des facteurs'!$B$4+'Calcul des facteurs'!$C$4</f>
        <v>22.536520153558676</v>
      </c>
      <c r="D603">
        <f>'nebuleair_export (1)'!D603*'Calcul des facteurs'!$B$5+'Calcul des facteurs'!$C$5</f>
        <v>25.274178898915018</v>
      </c>
    </row>
    <row r="604" spans="1:4">
      <c r="A604" t="s">
        <v>2601</v>
      </c>
      <c r="B604" t="e">
        <f>'nebuleair_export (1)'!B604*'Calcul des facteurs'!#REF!+'Calcul des facteurs'!#REF!</f>
        <v>#REF!</v>
      </c>
      <c r="C604">
        <f>'nebuleair_export (1)'!C604*'Calcul des facteurs'!$B$4+'Calcul des facteurs'!$C$4</f>
        <v>23.215731142846991</v>
      </c>
      <c r="D604">
        <f>'nebuleair_export (1)'!D604*'Calcul des facteurs'!$B$5+'Calcul des facteurs'!$C$5</f>
        <v>25.872132941179487</v>
      </c>
    </row>
    <row r="605" spans="1:4">
      <c r="A605" t="s">
        <v>2605</v>
      </c>
      <c r="B605" t="e">
        <f>'nebuleair_export (1)'!B605*'Calcul des facteurs'!#REF!+'Calcul des facteurs'!#REF!</f>
        <v>#REF!</v>
      </c>
      <c r="C605">
        <f>'nebuleair_export (1)'!C605*'Calcul des facteurs'!$B$4+'Calcul des facteurs'!$C$4</f>
        <v>26.349699240161186</v>
      </c>
      <c r="D605">
        <f>'nebuleair_export (1)'!D605*'Calcul des facteurs'!$B$5+'Calcul des facteurs'!$C$5</f>
        <v>28.701844747249162</v>
      </c>
    </row>
    <row r="606" spans="1:4">
      <c r="A606" t="s">
        <v>2609</v>
      </c>
      <c r="B606" t="e">
        <f>'nebuleair_export (1)'!B606*'Calcul des facteurs'!#REF!+'Calcul des facteurs'!#REF!</f>
        <v>#REF!</v>
      </c>
      <c r="C606">
        <f>'nebuleair_export (1)'!C606*'Calcul des facteurs'!$B$4+'Calcul des facteurs'!$C$4</f>
        <v>22.348260585875494</v>
      </c>
      <c r="D606">
        <f>'nebuleair_export (1)'!D606*'Calcul des facteurs'!$B$5+'Calcul des facteurs'!$C$5</f>
        <v>22.737404174156694</v>
      </c>
    </row>
    <row r="607" spans="1:4">
      <c r="A607" t="s">
        <v>2612</v>
      </c>
      <c r="B607" t="e">
        <f>'nebuleair_export (1)'!B607*'Calcul des facteurs'!#REF!+'Calcul des facteurs'!#REF!</f>
        <v>#REF!</v>
      </c>
      <c r="C607">
        <f>'nebuleair_export (1)'!C607*'Calcul des facteurs'!$B$4+'Calcul des facteurs'!$C$4</f>
        <v>38.187903819768501</v>
      </c>
      <c r="D607">
        <f>'nebuleair_export (1)'!D607*'Calcul des facteurs'!$B$5+'Calcul des facteurs'!$C$5</f>
        <v>38.891223225028483</v>
      </c>
    </row>
    <row r="608" spans="1:4">
      <c r="A608" t="s">
        <v>2615</v>
      </c>
      <c r="B608" t="e">
        <f>'nebuleair_export (1)'!B608*'Calcul des facteurs'!#REF!+'Calcul des facteurs'!#REF!</f>
        <v>#REF!</v>
      </c>
      <c r="C608">
        <f>'nebuleair_export (1)'!C608*'Calcul des facteurs'!$B$4+'Calcul des facteurs'!$C$4</f>
        <v>36.907000486708363</v>
      </c>
      <c r="D608">
        <f>'nebuleair_export (1)'!D608*'Calcul des facteurs'!$B$5+'Calcul des facteurs'!$C$5</f>
        <v>39.85459362645453</v>
      </c>
    </row>
    <row r="609" spans="1:4">
      <c r="A609" t="s">
        <v>2620</v>
      </c>
      <c r="B609" t="e">
        <f>'nebuleair_export (1)'!B609*'Calcul des facteurs'!#REF!+'Calcul des facteurs'!#REF!</f>
        <v>#REF!</v>
      </c>
      <c r="C609">
        <f>'nebuleair_export (1)'!C609*'Calcul des facteurs'!$B$4+'Calcul des facteurs'!$C$4</f>
        <v>30.000458307586115</v>
      </c>
      <c r="D609">
        <f>'nebuleair_export (1)'!D609*'Calcul des facteurs'!$B$5+'Calcul des facteurs'!$C$5</f>
        <v>32.413387767163464</v>
      </c>
    </row>
    <row r="610" spans="1:4">
      <c r="A610" t="s">
        <v>2625</v>
      </c>
      <c r="B610" t="e">
        <f>'nebuleair_export (1)'!B610*'Calcul des facteurs'!#REF!+'Calcul des facteurs'!#REF!</f>
        <v>#REF!</v>
      </c>
      <c r="C610">
        <f>'nebuleair_export (1)'!C610*'Calcul des facteurs'!$B$4+'Calcul des facteurs'!$C$4</f>
        <v>28.918888634425823</v>
      </c>
      <c r="D610">
        <f>'nebuleair_export (1)'!D610*'Calcul des facteurs'!$B$5+'Calcul des facteurs'!$C$5</f>
        <v>33.941492541839338</v>
      </c>
    </row>
    <row r="611" spans="1:4">
      <c r="A611" t="s">
        <v>2628</v>
      </c>
      <c r="B611" t="e">
        <f>'nebuleair_export (1)'!B611*'Calcul des facteurs'!#REF!+'Calcul des facteurs'!#REF!</f>
        <v>#REF!</v>
      </c>
      <c r="C611">
        <f>'nebuleair_export (1)'!C611*'Calcul des facteurs'!$B$4+'Calcul des facteurs'!$C$4</f>
        <v>33.83947694269412</v>
      </c>
      <c r="D611">
        <f>'nebuleair_export (1)'!D611*'Calcul des facteurs'!$B$5+'Calcul des facteurs'!$C$5</f>
        <v>39.806274107887731</v>
      </c>
    </row>
    <row r="612" spans="1:4">
      <c r="A612" t="s">
        <v>2633</v>
      </c>
      <c r="B612" t="e">
        <f>'nebuleair_export (1)'!B612*'Calcul des facteurs'!#REF!+'Calcul des facteurs'!#REF!</f>
        <v>#REF!</v>
      </c>
      <c r="C612">
        <f>'nebuleair_export (1)'!C612*'Calcul des facteurs'!$B$4+'Calcul des facteurs'!$C$4</f>
        <v>18.605217416645118</v>
      </c>
      <c r="D612">
        <f>'nebuleair_export (1)'!D612*'Calcul des facteurs'!$B$5+'Calcul des facteurs'!$C$5</f>
        <v>22.96390191743869</v>
      </c>
    </row>
    <row r="613" spans="1:4">
      <c r="A613" t="s">
        <v>2636</v>
      </c>
      <c r="B613" t="e">
        <f>'nebuleair_export (1)'!B613*'Calcul des facteurs'!#REF!+'Calcul des facteurs'!#REF!</f>
        <v>#REF!</v>
      </c>
      <c r="C613">
        <f>'nebuleair_export (1)'!C613*'Calcul des facteurs'!$B$4+'Calcul des facteurs'!$C$4</f>
        <v>12.403725775316572</v>
      </c>
      <c r="D613">
        <f>'nebuleair_export (1)'!D613*'Calcul des facteurs'!$B$5+'Calcul des facteurs'!$C$5</f>
        <v>16.102530280949523</v>
      </c>
    </row>
    <row r="614" spans="1:4">
      <c r="A614" t="s">
        <v>2638</v>
      </c>
      <c r="B614" t="e">
        <f>'nebuleair_export (1)'!B614*'Calcul des facteurs'!#REF!+'Calcul des facteurs'!#REF!</f>
        <v>#REF!</v>
      </c>
      <c r="C614">
        <f>'nebuleair_export (1)'!C614*'Calcul des facteurs'!$B$4+'Calcul des facteurs'!$C$4</f>
        <v>12.388960319027731</v>
      </c>
      <c r="D614">
        <f>'nebuleair_export (1)'!D614*'Calcul des facteurs'!$B$5+'Calcul des facteurs'!$C$5</f>
        <v>15.857912718204972</v>
      </c>
    </row>
    <row r="615" spans="1:4">
      <c r="A615" t="s">
        <v>2640</v>
      </c>
      <c r="B615" t="e">
        <f>'nebuleair_export (1)'!B615*'Calcul des facteurs'!#REF!+'Calcul des facteurs'!#REF!</f>
        <v>#REF!</v>
      </c>
      <c r="C615">
        <f>'nebuleair_export (1)'!C615*'Calcul des facteurs'!$B$4+'Calcul des facteurs'!$C$4</f>
        <v>11.890626169278125</v>
      </c>
      <c r="D615">
        <f>'nebuleair_export (1)'!D615*'Calcul des facteurs'!$B$5+'Calcul des facteurs'!$C$5</f>
        <v>15.909252206682163</v>
      </c>
    </row>
    <row r="616" spans="1:4">
      <c r="A616" t="s">
        <v>2642</v>
      </c>
      <c r="B616" t="e">
        <f>'nebuleair_export (1)'!B616*'Calcul des facteurs'!#REF!+'Calcul des facteurs'!#REF!</f>
        <v>#REF!</v>
      </c>
      <c r="C616">
        <f>'nebuleair_export (1)'!C616*'Calcul des facteurs'!$B$4+'Calcul des facteurs'!$C$4</f>
        <v>13.614493191004577</v>
      </c>
      <c r="D616">
        <f>'nebuleair_export (1)'!D616*'Calcul des facteurs'!$B$5+'Calcul des facteurs'!$C$5</f>
        <v>18.285968526187943</v>
      </c>
    </row>
    <row r="617" spans="1:4">
      <c r="A617" t="s">
        <v>2644</v>
      </c>
      <c r="B617" t="e">
        <f>'nebuleair_export (1)'!B617*'Calcul des facteurs'!#REF!+'Calcul des facteurs'!#REF!</f>
        <v>#REF!</v>
      </c>
      <c r="C617">
        <f>'nebuleair_export (1)'!C617*'Calcul des facteurs'!$B$4+'Calcul des facteurs'!$C$4</f>
        <v>13.54804863770463</v>
      </c>
      <c r="D617">
        <f>'nebuleair_export (1)'!D617*'Calcul des facteurs'!$B$5+'Calcul des facteurs'!$C$5</f>
        <v>18.282948556277457</v>
      </c>
    </row>
    <row r="618" spans="1:4">
      <c r="A618" t="s">
        <v>2646</v>
      </c>
      <c r="B618" t="e">
        <f>'nebuleair_export (1)'!B618*'Calcul des facteurs'!#REF!+'Calcul des facteurs'!#REF!</f>
        <v>#REF!</v>
      </c>
      <c r="C618">
        <f>'nebuleair_export (1)'!C618*'Calcul des facteurs'!$B$4+'Calcul des facteurs'!$C$4</f>
        <v>10.185215967912882</v>
      </c>
      <c r="D618">
        <f>'nebuleair_export (1)'!D618*'Calcul des facteurs'!$B$5+'Calcul des facteurs'!$C$5</f>
        <v>13.387577331475997</v>
      </c>
    </row>
    <row r="619" spans="1:4">
      <c r="A619" t="s">
        <v>2648</v>
      </c>
      <c r="B619" t="e">
        <f>'nebuleair_export (1)'!B619*'Calcul des facteurs'!#REF!+'Calcul des facteurs'!#REF!</f>
        <v>#REF!</v>
      </c>
      <c r="C619">
        <f>'nebuleair_export (1)'!C619*'Calcul des facteurs'!$B$4+'Calcul des facteurs'!$C$4</f>
        <v>8.7049789749529261</v>
      </c>
      <c r="D619">
        <f>'nebuleair_export (1)'!D619*'Calcul des facteurs'!$B$5+'Calcul des facteurs'!$C$5</f>
        <v>11.418556949877896</v>
      </c>
    </row>
    <row r="620" spans="1:4">
      <c r="A620" t="s">
        <v>2651</v>
      </c>
      <c r="B620" t="e">
        <f>'nebuleair_export (1)'!B620*'Calcul des facteurs'!#REF!+'Calcul des facteurs'!#REF!</f>
        <v>#REF!</v>
      </c>
      <c r="C620">
        <f>'nebuleair_export (1)'!C620*'Calcul des facteurs'!$B$4+'Calcul des facteurs'!$C$4</f>
        <v>7.490520195192782</v>
      </c>
      <c r="D620">
        <f>'nebuleair_export (1)'!D620*'Calcul des facteurs'!$B$5+'Calcul des facteurs'!$C$5</f>
        <v>11.080320319910115</v>
      </c>
    </row>
    <row r="621" spans="1:4">
      <c r="A621" t="s">
        <v>2653</v>
      </c>
      <c r="B621" t="e">
        <f>'nebuleair_export (1)'!B621*'Calcul des facteurs'!#REF!+'Calcul des facteurs'!#REF!</f>
        <v>#REF!</v>
      </c>
      <c r="C621">
        <f>'nebuleair_export (1)'!C621*'Calcul des facteurs'!$B$4+'Calcul des facteurs'!$C$4</f>
        <v>9.1442512995470278</v>
      </c>
      <c r="D621">
        <f>'nebuleair_export (1)'!D621*'Calcul des facteurs'!$B$5+'Calcul des facteurs'!$C$5</f>
        <v>12.786603319301138</v>
      </c>
    </row>
    <row r="622" spans="1:4">
      <c r="A622" t="s">
        <v>2655</v>
      </c>
      <c r="B622" t="e">
        <f>'nebuleair_export (1)'!B622*'Calcul des facteurs'!#REF!+'Calcul des facteurs'!#REF!</f>
        <v>#REF!</v>
      </c>
      <c r="C622">
        <f>'nebuleair_export (1)'!C622*'Calcul des facteurs'!$B$4+'Calcul des facteurs'!$C$4</f>
        <v>9.5761408959966872</v>
      </c>
      <c r="D622">
        <f>'nebuleair_export (1)'!D622*'Calcul des facteurs'!$B$5+'Calcul des facteurs'!$C$5</f>
        <v>13.333217873088319</v>
      </c>
    </row>
    <row r="623" spans="1:4">
      <c r="A623" t="s">
        <v>2656</v>
      </c>
      <c r="B623" t="e">
        <f>'nebuleair_export (1)'!B623*'Calcul des facteurs'!#REF!+'Calcul des facteurs'!#REF!</f>
        <v>#REF!</v>
      </c>
      <c r="C623">
        <f>'nebuleair_export (1)'!C623*'Calcul des facteurs'!$B$4+'Calcul des facteurs'!$C$4</f>
        <v>7.8596566024147094</v>
      </c>
      <c r="D623">
        <f>'nebuleair_export (1)'!D623*'Calcul des facteurs'!$B$5+'Calcul des facteurs'!$C$5</f>
        <v>11.765853489576923</v>
      </c>
    </row>
    <row r="624" spans="1:4">
      <c r="A624" t="s">
        <v>2658</v>
      </c>
      <c r="B624" t="e">
        <f>'nebuleair_export (1)'!B624*'Calcul des facteurs'!#REF!+'Calcul des facteurs'!#REF!</f>
        <v>#REF!</v>
      </c>
      <c r="C624">
        <f>'nebuleair_export (1)'!C624*'Calcul des facteurs'!$B$4+'Calcul des facteurs'!$C$4</f>
        <v>10.107697322396266</v>
      </c>
      <c r="D624">
        <f>'nebuleair_export (1)'!D624*'Calcul des facteurs'!$B$5+'Calcul des facteurs'!$C$5</f>
        <v>14.432486920483564</v>
      </c>
    </row>
    <row r="625" spans="1:4">
      <c r="A625" t="s">
        <v>2660</v>
      </c>
      <c r="B625" t="e">
        <f>'nebuleair_export (1)'!B625*'Calcul des facteurs'!#REF!+'Calcul des facteurs'!#REF!</f>
        <v>#REF!</v>
      </c>
      <c r="C625">
        <f>'nebuleair_export (1)'!C625*'Calcul des facteurs'!$B$4+'Calcul des facteurs'!$C$4</f>
        <v>7.9076443353535568</v>
      </c>
      <c r="D625">
        <f>'nebuleair_export (1)'!D625*'Calcul des facteurs'!$B$5+'Calcul des facteurs'!$C$5</f>
        <v>11.158839537581208</v>
      </c>
    </row>
    <row r="626" spans="1:4">
      <c r="A626" t="s">
        <v>2662</v>
      </c>
      <c r="B626" t="e">
        <f>'nebuleair_export (1)'!B626*'Calcul des facteurs'!#REF!+'Calcul des facteurs'!#REF!</f>
        <v>#REF!</v>
      </c>
      <c r="C626">
        <f>'nebuleair_export (1)'!C626*'Calcul des facteurs'!$B$4+'Calcul des facteurs'!$C$4</f>
        <v>10.775834219467969</v>
      </c>
      <c r="D626">
        <f>'nebuleair_export (1)'!D626*'Calcul des facteurs'!$B$5+'Calcul des facteurs'!$C$5</f>
        <v>14.58650538591532</v>
      </c>
    </row>
    <row r="627" spans="1:4">
      <c r="A627" t="s">
        <v>2664</v>
      </c>
      <c r="B627" t="e">
        <f>'nebuleair_export (1)'!B627*'Calcul des facteurs'!#REF!+'Calcul des facteurs'!#REF!</f>
        <v>#REF!</v>
      </c>
      <c r="C627">
        <f>'nebuleair_export (1)'!C627*'Calcul des facteurs'!$B$4+'Calcul des facteurs'!$C$4</f>
        <v>8.6532998779418637</v>
      </c>
      <c r="D627">
        <f>'nebuleair_export (1)'!D627*'Calcul des facteurs'!$B$5+'Calcul des facteurs'!$C$5</f>
        <v>12.191669246947072</v>
      </c>
    </row>
    <row r="628" spans="1:4">
      <c r="A628" t="s">
        <v>2666</v>
      </c>
      <c r="B628" t="e">
        <f>'nebuleair_export (1)'!B628*'Calcul des facteurs'!#REF!+'Calcul des facteurs'!#REF!</f>
        <v>#REF!</v>
      </c>
      <c r="C628">
        <f>'nebuleair_export (1)'!C628*'Calcul des facteurs'!$B$4+'Calcul des facteurs'!$C$4</f>
        <v>6.8629883029154959</v>
      </c>
      <c r="D628">
        <f>'nebuleair_export (1)'!D628*'Calcul des facteurs'!$B$5+'Calcul des facteurs'!$C$5</f>
        <v>11.841352737337557</v>
      </c>
    </row>
    <row r="629" spans="1:4">
      <c r="A629" t="s">
        <v>2668</v>
      </c>
      <c r="B629" t="e">
        <f>'nebuleair_export (1)'!B629*'Calcul des facteurs'!#REF!+'Calcul des facteurs'!#REF!</f>
        <v>#REF!</v>
      </c>
      <c r="C629">
        <f>'nebuleair_export (1)'!C629*'Calcul des facteurs'!$B$4+'Calcul des facteurs'!$C$4</f>
        <v>7.4277670059650509</v>
      </c>
      <c r="D629">
        <f>'nebuleair_export (1)'!D629*'Calcul des facteurs'!$B$5+'Calcul des facteurs'!$C$5</f>
        <v>14.082170410874141</v>
      </c>
    </row>
    <row r="630" spans="1:4">
      <c r="A630" t="s">
        <v>2670</v>
      </c>
      <c r="B630" t="e">
        <f>'nebuleair_export (1)'!B630*'Calcul des facteurs'!#REF!+'Calcul des facteurs'!#REF!</f>
        <v>#REF!</v>
      </c>
      <c r="C630">
        <f>'nebuleair_export (1)'!C630*'Calcul des facteurs'!$B$4+'Calcul des facteurs'!$C$4</f>
        <v>6.6193582741490227</v>
      </c>
      <c r="D630">
        <f>'nebuleair_export (1)'!D630*'Calcul des facteurs'!$B$5+'Calcul des facteurs'!$C$5</f>
        <v>15.990791394263681</v>
      </c>
    </row>
    <row r="631" spans="1:4">
      <c r="A631" t="s">
        <v>2672</v>
      </c>
      <c r="B631" t="e">
        <f>'nebuleair_export (1)'!B631*'Calcul des facteurs'!#REF!+'Calcul des facteurs'!#REF!</f>
        <v>#REF!</v>
      </c>
      <c r="C631">
        <f>'nebuleair_export (1)'!C631*'Calcul des facteurs'!$B$4+'Calcul des facteurs'!$C$4</f>
        <v>7.8338170539091783</v>
      </c>
      <c r="D631">
        <f>'nebuleair_export (1)'!D631*'Calcul des facteurs'!$B$5+'Calcul des facteurs'!$C$5</f>
        <v>15.55893569707265</v>
      </c>
    </row>
    <row r="632" spans="1:4">
      <c r="A632" t="s">
        <v>2673</v>
      </c>
      <c r="B632" t="e">
        <f>'nebuleair_export (1)'!B632*'Calcul des facteurs'!#REF!+'Calcul des facteurs'!#REF!</f>
        <v>#REF!</v>
      </c>
      <c r="C632">
        <f>'nebuleair_export (1)'!C632*'Calcul des facteurs'!$B$4+'Calcul des facteurs'!$C$4</f>
        <v>9.1848563043414444</v>
      </c>
      <c r="D632">
        <f>'nebuleair_export (1)'!D632*'Calcul des facteurs'!$B$5+'Calcul des facteurs'!$C$5</f>
        <v>14.215049086932851</v>
      </c>
    </row>
    <row r="633" spans="1:4">
      <c r="A633" t="s">
        <v>2675</v>
      </c>
      <c r="B633" t="e">
        <f>'nebuleair_export (1)'!B633*'Calcul des facteurs'!#REF!+'Calcul des facteurs'!#REF!</f>
        <v>#REF!</v>
      </c>
      <c r="C633">
        <f>'nebuleair_export (1)'!C633*'Calcul des facteurs'!$B$4+'Calcul des facteurs'!$C$4</f>
        <v>9.1036462947526235</v>
      </c>
      <c r="D633">
        <f>'nebuleair_export (1)'!D633*'Calcul des facteurs'!$B$5+'Calcul des facteurs'!$C$5</f>
        <v>13.873792487054708</v>
      </c>
    </row>
    <row r="634" spans="1:4">
      <c r="A634" t="s">
        <v>2677</v>
      </c>
      <c r="B634" t="e">
        <f>'nebuleair_export (1)'!B634*'Calcul des facteurs'!#REF!+'Calcul des facteurs'!#REF!</f>
        <v>#REF!</v>
      </c>
      <c r="C634">
        <f>'nebuleair_export (1)'!C634*'Calcul des facteurs'!$B$4+'Calcul des facteurs'!$C$4</f>
        <v>6.611975546004591</v>
      </c>
      <c r="D634">
        <f>'nebuleair_export (1)'!D634*'Calcul des facteurs'!$B$5+'Calcul des facteurs'!$C$5</f>
        <v>9.7001940708451677</v>
      </c>
    </row>
    <row r="635" spans="1:4">
      <c r="A635" t="s">
        <v>2679</v>
      </c>
      <c r="B635" t="e">
        <f>'nebuleair_export (1)'!B635*'Calcul des facteurs'!#REF!+'Calcul des facteurs'!#REF!</f>
        <v>#REF!</v>
      </c>
      <c r="C635">
        <f>'nebuleair_export (1)'!C635*'Calcul des facteurs'!$B$4+'Calcul des facteurs'!$C$4</f>
        <v>7.0032601376598338</v>
      </c>
      <c r="D635">
        <f>'nebuleair_export (1)'!D635*'Calcul des facteurs'!$B$5+'Calcul des facteurs'!$C$5</f>
        <v>10.126009828215317</v>
      </c>
    </row>
    <row r="636" spans="1:4">
      <c r="A636" t="s">
        <v>2680</v>
      </c>
      <c r="B636" t="e">
        <f>'nebuleair_export (1)'!B636*'Calcul des facteurs'!#REF!+'Calcul des facteurs'!#REF!</f>
        <v>#REF!</v>
      </c>
      <c r="C636">
        <f>'nebuleair_export (1)'!C636*'Calcul des facteurs'!$B$4+'Calcul des facteurs'!$C$4</f>
        <v>6.8039264777599922</v>
      </c>
      <c r="D636">
        <f>'nebuleair_export (1)'!D636*'Calcul des facteurs'!$B$5+'Calcul des facteurs'!$C$5</f>
        <v>9.9176319043958827</v>
      </c>
    </row>
    <row r="637" spans="1:4">
      <c r="A637" t="s">
        <v>2682</v>
      </c>
      <c r="B637" t="e">
        <f>'nebuleair_export (1)'!B637*'Calcul des facteurs'!#REF!+'Calcul des facteurs'!#REF!</f>
        <v>#REF!</v>
      </c>
      <c r="C637">
        <f>'nebuleair_export (1)'!C637*'Calcul des facteurs'!$B$4+'Calcul des facteurs'!$C$4</f>
        <v>6.9072846717821283</v>
      </c>
      <c r="D637">
        <f>'nebuleair_export (1)'!D637*'Calcul des facteurs'!$B$5+'Calcul des facteurs'!$C$5</f>
        <v>10.03541073090252</v>
      </c>
    </row>
    <row r="638" spans="1:4">
      <c r="A638" t="s">
        <v>2684</v>
      </c>
      <c r="B638" t="e">
        <f>'nebuleair_export (1)'!B638*'Calcul des facteurs'!#REF!+'Calcul des facteurs'!#REF!</f>
        <v>#REF!</v>
      </c>
      <c r="C638">
        <f>'nebuleair_export (1)'!C638*'Calcul des facteurs'!$B$4+'Calcul des facteurs'!$C$4</f>
        <v>6.6488891867267803</v>
      </c>
      <c r="D638">
        <f>'nebuleair_export (1)'!D638*'Calcul des facteurs'!$B$5+'Calcul des facteurs'!$C$5</f>
        <v>9.7424736495911333</v>
      </c>
    </row>
    <row r="639" spans="1:4">
      <c r="A639" t="s">
        <v>2686</v>
      </c>
      <c r="B639" t="e">
        <f>'nebuleair_export (1)'!B639*'Calcul des facteurs'!#REF!+'Calcul des facteurs'!#REF!</f>
        <v>#REF!</v>
      </c>
      <c r="C639">
        <f>'nebuleair_export (1)'!C639*'Calcul des facteurs'!$B$4+'Calcul des facteurs'!$C$4</f>
        <v>6.6858028274489705</v>
      </c>
      <c r="D639">
        <f>'nebuleair_export (1)'!D639*'Calcul des facteurs'!$B$5+'Calcul des facteurs'!$C$5</f>
        <v>9.7877731982475318</v>
      </c>
    </row>
    <row r="640" spans="1:4">
      <c r="A640" t="s">
        <v>2688</v>
      </c>
      <c r="B640" t="e">
        <f>'nebuleair_export (1)'!B640*'Calcul des facteurs'!#REF!+'Calcul des facteurs'!#REF!</f>
        <v>#REF!</v>
      </c>
      <c r="C640">
        <f>'nebuleair_export (1)'!C640*'Calcul des facteurs'!$B$4+'Calcul des facteurs'!$C$4</f>
        <v>8.1402002719033852</v>
      </c>
      <c r="D640">
        <f>'nebuleair_export (1)'!D640*'Calcul des facteurs'!$B$5+'Calcul des facteurs'!$C$5</f>
        <v>14.444566800125241</v>
      </c>
    </row>
    <row r="641" spans="1:4">
      <c r="A641" t="s">
        <v>2690</v>
      </c>
      <c r="B641" t="e">
        <f>'nebuleair_export (1)'!B641*'Calcul des facteurs'!#REF!+'Calcul des facteurs'!#REF!</f>
        <v>#REF!</v>
      </c>
      <c r="C641">
        <f>'nebuleair_export (1)'!C641*'Calcul des facteurs'!$B$4+'Calcul des facteurs'!$C$4</f>
        <v>8.8157198971195179</v>
      </c>
      <c r="D641">
        <f>'nebuleair_export (1)'!D641*'Calcul des facteurs'!$B$5+'Calcul des facteurs'!$C$5</f>
        <v>14.58650538591532</v>
      </c>
    </row>
    <row r="642" spans="1:4">
      <c r="A642" t="s">
        <v>2692</v>
      </c>
      <c r="B642" t="e">
        <f>'nebuleair_export (1)'!B642*'Calcul des facteurs'!#REF!+'Calcul des facteurs'!#REF!</f>
        <v>#REF!</v>
      </c>
      <c r="C642">
        <f>'nebuleair_export (1)'!C642*'Calcul des facteurs'!$B$4+'Calcul des facteurs'!$C$4</f>
        <v>8.2620152862866085</v>
      </c>
      <c r="D642">
        <f>'nebuleair_export (1)'!D642*'Calcul des facteurs'!$B$5+'Calcul des facteurs'!$C$5</f>
        <v>17.60949526625236</v>
      </c>
    </row>
    <row r="643" spans="1:4">
      <c r="A643" t="s">
        <v>2694</v>
      </c>
      <c r="B643" t="e">
        <f>'nebuleair_export (1)'!B643*'Calcul des facteurs'!#REF!+'Calcul des facteurs'!#REF!</f>
        <v>#REF!</v>
      </c>
      <c r="C643">
        <f>'nebuleair_export (1)'!C643*'Calcul des facteurs'!$B$4+'Calcul des facteurs'!$C$4</f>
        <v>9.1553253917636859</v>
      </c>
      <c r="D643">
        <f>'nebuleair_export (1)'!D643*'Calcul des facteurs'!$B$5+'Calcul des facteurs'!$C$5</f>
        <v>14.960981654808275</v>
      </c>
    </row>
    <row r="644" spans="1:4">
      <c r="A644" t="s">
        <v>2696</v>
      </c>
      <c r="B644" t="e">
        <f>'nebuleair_export (1)'!B644*'Calcul des facteurs'!#REF!+'Calcul des facteurs'!#REF!</f>
        <v>#REF!</v>
      </c>
      <c r="C644">
        <f>'nebuleair_export (1)'!C644*'Calcul des facteurs'!$B$4+'Calcul des facteurs'!$C$4</f>
        <v>8.6237689653641052</v>
      </c>
      <c r="D644">
        <f>'nebuleair_export (1)'!D644*'Calcul des facteurs'!$B$5+'Calcul des facteurs'!$C$5</f>
        <v>12.496686207900186</v>
      </c>
    </row>
    <row r="645" spans="1:4">
      <c r="A645" t="s">
        <v>2698</v>
      </c>
      <c r="B645" t="e">
        <f>'nebuleair_export (1)'!B645*'Calcul des facteurs'!#REF!+'Calcul des facteurs'!#REF!</f>
        <v>#REF!</v>
      </c>
      <c r="C645">
        <f>'nebuleair_export (1)'!C645*'Calcul des facteurs'!$B$4+'Calcul des facteurs'!$C$4</f>
        <v>9.6868818181632648</v>
      </c>
      <c r="D645">
        <f>'nebuleair_export (1)'!D645*'Calcul des facteurs'!$B$5+'Calcul des facteurs'!$C$5</f>
        <v>17.983971535145223</v>
      </c>
    </row>
    <row r="646" spans="1:4">
      <c r="A646" t="s">
        <v>2700</v>
      </c>
      <c r="B646" t="e">
        <f>'nebuleair_export (1)'!B646*'Calcul des facteurs'!#REF!+'Calcul des facteurs'!#REF!</f>
        <v>#REF!</v>
      </c>
      <c r="C646">
        <f>'nebuleair_export (1)'!C646*'Calcul des facteurs'!$B$4+'Calcul des facteurs'!$C$4</f>
        <v>8.1180520874700672</v>
      </c>
      <c r="D646">
        <f>'nebuleair_export (1)'!D646*'Calcul des facteurs'!$B$5+'Calcul des facteurs'!$C$5</f>
        <v>13.620115014578783</v>
      </c>
    </row>
    <row r="647" spans="1:4">
      <c r="A647" t="s">
        <v>2702</v>
      </c>
      <c r="B647" t="e">
        <f>'nebuleair_export (1)'!B647*'Calcul des facteurs'!#REF!+'Calcul des facteurs'!#REF!</f>
        <v>#REF!</v>
      </c>
      <c r="C647">
        <f>'nebuleair_export (1)'!C647*'Calcul des facteurs'!$B$4+'Calcul des facteurs'!$C$4</f>
        <v>7.1361492442597294</v>
      </c>
      <c r="D647">
        <f>'nebuleair_export (1)'!D647*'Calcul des facteurs'!$B$5+'Calcul des facteurs'!$C$5</f>
        <v>13.197319227119124</v>
      </c>
    </row>
    <row r="648" spans="1:4">
      <c r="A648" t="s">
        <v>2705</v>
      </c>
      <c r="B648" t="e">
        <f>'nebuleair_export (1)'!B648*'Calcul des facteurs'!#REF!+'Calcul des facteurs'!#REF!</f>
        <v>#REF!</v>
      </c>
      <c r="C648">
        <f>'nebuleair_export (1)'!C648*'Calcul des facteurs'!$B$4+'Calcul des facteurs'!$C$4</f>
        <v>5.9770609255828626</v>
      </c>
      <c r="D648">
        <f>'nebuleair_export (1)'!D648*'Calcul des facteurs'!$B$5+'Calcul des facteurs'!$C$5</f>
        <v>11.971211443485869</v>
      </c>
    </row>
    <row r="649" spans="1:4">
      <c r="A649" t="s">
        <v>2707</v>
      </c>
      <c r="B649" t="e">
        <f>'nebuleair_export (1)'!B649*'Calcul des facteurs'!#REF!+'Calcul des facteurs'!#REF!</f>
        <v>#REF!</v>
      </c>
      <c r="C649">
        <f>'nebuleair_export (1)'!C649*'Calcul des facteurs'!$B$4+'Calcul des facteurs'!$C$4</f>
        <v>6.073036391460569</v>
      </c>
      <c r="D649">
        <f>'nebuleair_export (1)'!D649*'Calcul des facteurs'!$B$5+'Calcul des facteurs'!$C$5</f>
        <v>12.584265335302497</v>
      </c>
    </row>
    <row r="650" spans="1:4">
      <c r="A650" t="s">
        <v>2708</v>
      </c>
      <c r="B650" t="e">
        <f>'nebuleair_export (1)'!B650*'Calcul des facteurs'!#REF!+'Calcul des facteurs'!#REF!</f>
        <v>#REF!</v>
      </c>
      <c r="C650">
        <f>'nebuleair_export (1)'!C650*'Calcul des facteurs'!$B$4+'Calcul des facteurs'!$C$4</f>
        <v>7.1878283412708024</v>
      </c>
      <c r="D650">
        <f>'nebuleair_export (1)'!D650*'Calcul des facteurs'!$B$5+'Calcul des facteurs'!$C$5</f>
        <v>13.37549745183432</v>
      </c>
    </row>
    <row r="651" spans="1:4">
      <c r="A651" t="s">
        <v>2710</v>
      </c>
      <c r="B651" t="e">
        <f>'nebuleair_export (1)'!B651*'Calcul des facteurs'!#REF!+'Calcul des facteurs'!#REF!</f>
        <v>#REF!</v>
      </c>
      <c r="C651">
        <f>'nebuleair_export (1)'!C651*'Calcul des facteurs'!$B$4+'Calcul des facteurs'!$C$4</f>
        <v>8.1660398204089155</v>
      </c>
      <c r="D651">
        <f>'nebuleair_export (1)'!D651*'Calcul des facteurs'!$B$5+'Calcul des facteurs'!$C$5</f>
        <v>15.398877291820101</v>
      </c>
    </row>
    <row r="652" spans="1:4">
      <c r="A652" t="s">
        <v>2711</v>
      </c>
      <c r="B652" t="e">
        <f>'nebuleair_export (1)'!B652*'Calcul des facteurs'!#REF!+'Calcul des facteurs'!#REF!</f>
        <v>#REF!</v>
      </c>
      <c r="C652">
        <f>'nebuleair_export (1)'!C652*'Calcul des facteurs'!$B$4+'Calcul des facteurs'!$C$4</f>
        <v>7.0586305987431235</v>
      </c>
      <c r="D652">
        <f>'nebuleair_export (1)'!D652*'Calcul des facteurs'!$B$5+'Calcul des facteurs'!$C$5</f>
        <v>12.895322236076495</v>
      </c>
    </row>
    <row r="653" spans="1:4">
      <c r="A653" t="s">
        <v>2712</v>
      </c>
      <c r="B653" t="e">
        <f>'nebuleair_export (1)'!B653*'Calcul des facteurs'!#REF!+'Calcul des facteurs'!#REF!</f>
        <v>#REF!</v>
      </c>
      <c r="C653">
        <f>'nebuleair_export (1)'!C653*'Calcul des facteurs'!$B$4+'Calcul des facteurs'!$C$4</f>
        <v>7.6418661221537665</v>
      </c>
      <c r="D653">
        <f>'nebuleair_export (1)'!D653*'Calcul des facteurs'!$B$5+'Calcul des facteurs'!$C$5</f>
        <v>13.450996699594956</v>
      </c>
    </row>
    <row r="654" spans="1:4">
      <c r="A654" t="s">
        <v>2714</v>
      </c>
      <c r="B654" t="e">
        <f>'nebuleair_export (1)'!B654*'Calcul des facteurs'!#REF!+'Calcul des facteurs'!#REF!</f>
        <v>#REF!</v>
      </c>
      <c r="C654">
        <f>'nebuleair_export (1)'!C654*'Calcul des facteurs'!$B$4+'Calcul des facteurs'!$C$4</f>
        <v>7.5274338359149722</v>
      </c>
      <c r="D654">
        <f>'nebuleair_export (1)'!D654*'Calcul des facteurs'!$B$5+'Calcul des facteurs'!$C$5</f>
        <v>12.451386659243788</v>
      </c>
    </row>
    <row r="655" spans="1:4">
      <c r="A655" t="s">
        <v>2716</v>
      </c>
      <c r="B655" t="e">
        <f>'nebuleair_export (1)'!B655*'Calcul des facteurs'!#REF!+'Calcul des facteurs'!#REF!</f>
        <v>#REF!</v>
      </c>
      <c r="C655">
        <f>'nebuleair_export (1)'!C655*'Calcul des facteurs'!$B$4+'Calcul des facteurs'!$C$4</f>
        <v>8.4502748539698054</v>
      </c>
      <c r="D655">
        <f>'nebuleair_export (1)'!D655*'Calcul des facteurs'!$B$5+'Calcul des facteurs'!$C$5</f>
        <v>12.472526448616742</v>
      </c>
    </row>
    <row r="656" spans="1:4">
      <c r="A656" t="s">
        <v>2718</v>
      </c>
      <c r="B656" t="e">
        <f>'nebuleair_export (1)'!B656*'Calcul des facteurs'!#REF!+'Calcul des facteurs'!#REF!</f>
        <v>#REF!</v>
      </c>
      <c r="C656">
        <f>'nebuleair_export (1)'!C656*'Calcul des facteurs'!$B$4+'Calcul des facteurs'!$C$4</f>
        <v>8.4834971306197797</v>
      </c>
      <c r="D656">
        <f>'nebuleair_export (1)'!D656*'Calcul des facteurs'!$B$5+'Calcul des facteurs'!$C$5</f>
        <v>14.420407040841889</v>
      </c>
    </row>
    <row r="657" spans="1:4">
      <c r="A657" t="s">
        <v>2720</v>
      </c>
      <c r="B657" t="e">
        <f>'nebuleair_export (1)'!B657*'Calcul des facteurs'!#REF!+'Calcul des facteurs'!#REF!</f>
        <v>#REF!</v>
      </c>
      <c r="C657">
        <f>'nebuleair_export (1)'!C657*'Calcul des facteurs'!$B$4+'Calcul des facteurs'!$C$4</f>
        <v>8.4207439413920486</v>
      </c>
      <c r="D657">
        <f>'nebuleair_export (1)'!D657*'Calcul des facteurs'!$B$5+'Calcul des facteurs'!$C$5</f>
        <v>12.32454792300587</v>
      </c>
    </row>
    <row r="658" spans="1:4">
      <c r="A658" t="s">
        <v>2722</v>
      </c>
      <c r="B658" t="e">
        <f>'nebuleair_export (1)'!B658*'Calcul des facteurs'!#REF!+'Calcul des facteurs'!#REF!</f>
        <v>#REF!</v>
      </c>
      <c r="C658">
        <f>'nebuleair_export (1)'!C658*'Calcul des facteurs'!$B$4+'Calcul des facteurs'!$C$4</f>
        <v>9.0039794648027023</v>
      </c>
      <c r="D658">
        <f>'nebuleair_export (1)'!D658*'Calcul des facteurs'!$B$5+'Calcul des facteurs'!$C$5</f>
        <v>16.108570220770318</v>
      </c>
    </row>
    <row r="659" spans="1:4">
      <c r="A659" t="s">
        <v>2724</v>
      </c>
      <c r="B659" t="e">
        <f>'nebuleair_export (1)'!B659*'Calcul des facteurs'!#REF!+'Calcul des facteurs'!#REF!</f>
        <v>#REF!</v>
      </c>
      <c r="C659">
        <f>'nebuleair_export (1)'!C659*'Calcul des facteurs'!$B$4+'Calcul des facteurs'!$C$4</f>
        <v>8.99659673665826</v>
      </c>
      <c r="D659">
        <f>'nebuleair_export (1)'!D659*'Calcul des facteurs'!$B$5+'Calcul des facteurs'!$C$5</f>
        <v>17.346757884045246</v>
      </c>
    </row>
    <row r="660" spans="1:4">
      <c r="A660" t="s">
        <v>2726</v>
      </c>
      <c r="B660" t="e">
        <f>'nebuleair_export (1)'!B660*'Calcul des facteurs'!#REF!+'Calcul des facteurs'!#REF!</f>
        <v>#REF!</v>
      </c>
      <c r="C660">
        <f>'nebuleair_export (1)'!C660*'Calcul des facteurs'!$B$4+'Calcul des facteurs'!$C$4</f>
        <v>8.9707571881527279</v>
      </c>
      <c r="D660">
        <f>'nebuleair_export (1)'!D660*'Calcul des facteurs'!$B$5+'Calcul des facteurs'!$C$5</f>
        <v>15.238818886567461</v>
      </c>
    </row>
    <row r="661" spans="1:4">
      <c r="A661" t="s">
        <v>2728</v>
      </c>
      <c r="B661" t="e">
        <f>'nebuleair_export (1)'!B661*'Calcul des facteurs'!#REF!+'Calcul des facteurs'!#REF!</f>
        <v>#REF!</v>
      </c>
      <c r="C661">
        <f>'nebuleair_export (1)'!C661*'Calcul des facteurs'!$B$4+'Calcul des facteurs'!$C$4</f>
        <v>8.228793009636636</v>
      </c>
      <c r="D661">
        <f>'nebuleair_export (1)'!D661*'Calcul des facteurs'!$B$5+'Calcul des facteurs'!$C$5</f>
        <v>13.547635736728637</v>
      </c>
    </row>
    <row r="662" spans="1:4">
      <c r="A662" t="s">
        <v>2730</v>
      </c>
      <c r="B662" t="e">
        <f>'nebuleair_export (1)'!B662*'Calcul des facteurs'!#REF!+'Calcul des facteurs'!#REF!</f>
        <v>#REF!</v>
      </c>
      <c r="C662">
        <f>'nebuleair_export (1)'!C662*'Calcul des facteurs'!$B$4+'Calcul des facteurs'!$C$4</f>
        <v>9.4838567941912064</v>
      </c>
      <c r="D662">
        <f>'nebuleair_export (1)'!D662*'Calcul des facteurs'!$B$5+'Calcul des facteurs'!$C$5</f>
        <v>16.033070973009682</v>
      </c>
    </row>
    <row r="663" spans="1:4">
      <c r="A663" t="s">
        <v>2731</v>
      </c>
      <c r="B663" t="e">
        <f>'nebuleair_export (1)'!B663*'Calcul des facteurs'!#REF!+'Calcul des facteurs'!#REF!</f>
        <v>#REF!</v>
      </c>
      <c r="C663">
        <f>'nebuleair_export (1)'!C663*'Calcul des facteurs'!$B$4+'Calcul des facteurs'!$C$4</f>
        <v>9.6093631726466597</v>
      </c>
      <c r="D663">
        <f>'nebuleair_export (1)'!D663*'Calcul des facteurs'!$B$5+'Calcul des facteurs'!$C$5</f>
        <v>17.428297071626762</v>
      </c>
    </row>
    <row r="664" spans="1:4">
      <c r="A664" t="s">
        <v>2733</v>
      </c>
      <c r="B664" t="e">
        <f>'nebuleair_export (1)'!B664*'Calcul des facteurs'!#REF!+'Calcul des facteurs'!#REF!</f>
        <v>#REF!</v>
      </c>
      <c r="C664">
        <f>'nebuleair_export (1)'!C664*'Calcul des facteurs'!$B$4+'Calcul des facteurs'!$C$4</f>
        <v>10.694624209879136</v>
      </c>
      <c r="D664">
        <f>'nebuleair_export (1)'!D664*'Calcul des facteurs'!$B$5+'Calcul des facteurs'!$C$5</f>
        <v>17.319578154851406</v>
      </c>
    </row>
    <row r="665" spans="1:4">
      <c r="A665" t="s">
        <v>2734</v>
      </c>
      <c r="B665" t="e">
        <f>'nebuleair_export (1)'!B665*'Calcul des facteurs'!#REF!+'Calcul des facteurs'!#REF!</f>
        <v>#REF!</v>
      </c>
      <c r="C665">
        <f>'nebuleair_export (1)'!C665*'Calcul des facteurs'!$B$4+'Calcul des facteurs'!$C$4</f>
        <v>9.4801654301189906</v>
      </c>
      <c r="D665">
        <f>'nebuleair_export (1)'!D665*'Calcul des facteurs'!$B$5+'Calcul des facteurs'!$C$5</f>
        <v>16.329028024231519</v>
      </c>
    </row>
    <row r="666" spans="1:4">
      <c r="A666" t="s">
        <v>2736</v>
      </c>
      <c r="B666" t="e">
        <f>'nebuleair_export (1)'!B666*'Calcul des facteurs'!#REF!+'Calcul des facteurs'!#REF!</f>
        <v>#REF!</v>
      </c>
      <c r="C666">
        <f>'nebuleair_export (1)'!C666*'Calcul des facteurs'!$B$4+'Calcul des facteurs'!$C$4</f>
        <v>10.956711059006711</v>
      </c>
      <c r="D666">
        <f>'nebuleair_export (1)'!D666*'Calcul des facteurs'!$B$5+'Calcul des facteurs'!$C$5</f>
        <v>18.974521665765202</v>
      </c>
    </row>
    <row r="667" spans="1:4">
      <c r="A667" t="s">
        <v>2738</v>
      </c>
      <c r="B667" t="e">
        <f>'nebuleair_export (1)'!B667*'Calcul des facteurs'!#REF!+'Calcul des facteurs'!#REF!</f>
        <v>#REF!</v>
      </c>
      <c r="C667">
        <f>'nebuleair_export (1)'!C667*'Calcul des facteurs'!$B$4+'Calcul des facteurs'!$C$4</f>
        <v>10.598648744001443</v>
      </c>
      <c r="D667">
        <f>'nebuleair_export (1)'!D667*'Calcul des facteurs'!$B$5+'Calcul des facteurs'!$C$5</f>
        <v>18.415827232336255</v>
      </c>
    </row>
    <row r="668" spans="1:4">
      <c r="A668" t="s">
        <v>2740</v>
      </c>
      <c r="B668" t="e">
        <f>'nebuleair_export (1)'!B668*'Calcul des facteurs'!#REF!+'Calcul des facteurs'!#REF!</f>
        <v>#REF!</v>
      </c>
      <c r="C668">
        <f>'nebuleair_export (1)'!C668*'Calcul des facteurs'!$B$4+'Calcul des facteurs'!$C$4</f>
        <v>11.119131078184363</v>
      </c>
      <c r="D668">
        <f>'nebuleair_export (1)'!D668*'Calcul des facteurs'!$B$5+'Calcul des facteurs'!$C$5</f>
        <v>18.358447804038182</v>
      </c>
    </row>
    <row r="669" spans="1:4">
      <c r="A669" t="s">
        <v>2742</v>
      </c>
      <c r="B669" t="e">
        <f>'nebuleair_export (1)'!B669*'Calcul des facteurs'!#REF!+'Calcul des facteurs'!#REF!</f>
        <v>#REF!</v>
      </c>
      <c r="C669">
        <f>'nebuleair_export (1)'!C669*'Calcul des facteurs'!$B$4+'Calcul des facteurs'!$C$4</f>
        <v>10.539586918845925</v>
      </c>
      <c r="D669">
        <f>'nebuleair_export (1)'!D669*'Calcul des facteurs'!$B$5+'Calcul des facteurs'!$C$5</f>
        <v>18.068530692637232</v>
      </c>
    </row>
    <row r="670" spans="1:4">
      <c r="A670" t="s">
        <v>2744</v>
      </c>
      <c r="B670" t="e">
        <f>'nebuleair_export (1)'!B670*'Calcul des facteurs'!#REF!+'Calcul des facteurs'!#REF!</f>
        <v>#REF!</v>
      </c>
      <c r="C670">
        <f>'nebuleair_export (1)'!C670*'Calcul des facteurs'!$B$4+'Calcul des facteurs'!$C$4</f>
        <v>11.901700261494783</v>
      </c>
      <c r="D670">
        <f>'nebuleair_export (1)'!D670*'Calcul des facteurs'!$B$5+'Calcul des facteurs'!$C$5</f>
        <v>23.441057163286025</v>
      </c>
    </row>
    <row r="671" spans="1:4">
      <c r="A671" t="s">
        <v>2745</v>
      </c>
      <c r="B671" t="e">
        <f>'nebuleair_export (1)'!B671*'Calcul des facteurs'!#REF!+'Calcul des facteurs'!#REF!</f>
        <v>#REF!</v>
      </c>
      <c r="C671">
        <f>'nebuleair_export (1)'!C671*'Calcul des facteurs'!$B$4+'Calcul des facteurs'!$C$4</f>
        <v>6.885136487348813</v>
      </c>
      <c r="D671">
        <f>'nebuleair_export (1)'!D671*'Calcul des facteurs'!$B$5+'Calcul des facteurs'!$C$5</f>
        <v>10.011250971619102</v>
      </c>
    </row>
    <row r="672" spans="1:4">
      <c r="A672" t="s">
        <v>2747</v>
      </c>
      <c r="B672" t="e">
        <f>'nebuleair_export (1)'!B672*'Calcul des facteurs'!#REF!+'Calcul des facteurs'!#REF!</f>
        <v>#REF!</v>
      </c>
      <c r="C672">
        <f>'nebuleair_export (1)'!C672*'Calcul des facteurs'!$B$4+'Calcul des facteurs'!$C$4</f>
        <v>6.3535800609492323</v>
      </c>
      <c r="D672">
        <f>'nebuleair_export (1)'!D672*'Calcul des facteurs'!$B$5+'Calcul des facteurs'!$C$5</f>
        <v>9.4163168992650643</v>
      </c>
    </row>
    <row r="673" spans="1:4">
      <c r="A673" t="s">
        <v>2748</v>
      </c>
      <c r="B673" t="e">
        <f>'nebuleair_export (1)'!B673*'Calcul des facteurs'!#REF!+'Calcul des facteurs'!#REF!</f>
        <v>#REF!</v>
      </c>
      <c r="C673">
        <f>'nebuleair_export (1)'!C673*'Calcul des facteurs'!$B$4+'Calcul des facteurs'!$C$4</f>
        <v>6.3868023375992058</v>
      </c>
      <c r="D673">
        <f>'nebuleair_export (1)'!D673*'Calcul des facteurs'!$B$5+'Calcul des facteurs'!$C$5</f>
        <v>9.4495365682797594</v>
      </c>
    </row>
    <row r="674" spans="1:4">
      <c r="A674" t="s">
        <v>2749</v>
      </c>
      <c r="B674" t="e">
        <f>'nebuleair_export (1)'!B674*'Calcul des facteurs'!#REF!+'Calcul des facteurs'!#REF!</f>
        <v>#REF!</v>
      </c>
      <c r="C674">
        <f>'nebuleair_export (1)'!C674*'Calcul des facteurs'!$B$4+'Calcul des facteurs'!$C$4</f>
        <v>6.947889676576545</v>
      </c>
      <c r="D674">
        <f>'nebuleair_export (1)'!D674*'Calcul des facteurs'!$B$5+'Calcul des facteurs'!$C$5</f>
        <v>10.047490610544223</v>
      </c>
    </row>
    <row r="675" spans="1:4">
      <c r="A675" t="s">
        <v>2751</v>
      </c>
      <c r="B675" t="e">
        <f>'nebuleair_export (1)'!B675*'Calcul des facteurs'!#REF!+'Calcul des facteurs'!#REF!</f>
        <v>#REF!</v>
      </c>
      <c r="C675">
        <f>'nebuleair_export (1)'!C675*'Calcul des facteurs'!$B$4+'Calcul des facteurs'!$C$4</f>
        <v>5.6743690716608839</v>
      </c>
      <c r="D675">
        <f>'nebuleair_export (1)'!D675*'Calcul des facteurs'!$B$5+'Calcul des facteurs'!$C$5</f>
        <v>8.6522645119271431</v>
      </c>
    </row>
    <row r="676" spans="1:4">
      <c r="A676" t="s">
        <v>2752</v>
      </c>
      <c r="B676" t="e">
        <f>'nebuleair_export (1)'!B676*'Calcul des facteurs'!#REF!+'Calcul des facteurs'!#REF!</f>
        <v>#REF!</v>
      </c>
      <c r="C676">
        <f>'nebuleair_export (1)'!C676*'Calcul des facteurs'!$B$4+'Calcul des facteurs'!$C$4</f>
        <v>4.1535270739065329</v>
      </c>
      <c r="D676">
        <f>'nebuleair_export (1)'!D676*'Calcul des facteurs'!$B$5+'Calcul des facteurs'!$C$5</f>
        <v>6.9792011815508213</v>
      </c>
    </row>
    <row r="677" spans="1:4">
      <c r="A677" t="s">
        <v>2754</v>
      </c>
      <c r="B677" t="e">
        <f>'nebuleair_export (1)'!B677*'Calcul des facteurs'!#REF!+'Calcul des facteurs'!#REF!</f>
        <v>#REF!</v>
      </c>
      <c r="C677">
        <f>'nebuleair_export (1)'!C677*'Calcul des facteurs'!$B$4+'Calcul des facteurs'!$C$4</f>
        <v>3.7511683900346218</v>
      </c>
      <c r="D677">
        <f>'nebuleair_export (1)'!D677*'Calcul des facteurs'!$B$5+'Calcul des facteurs'!$C$5</f>
        <v>6.5262056949868334</v>
      </c>
    </row>
    <row r="678" spans="1:4">
      <c r="A678" t="s">
        <v>2755</v>
      </c>
      <c r="B678" t="e">
        <f>'nebuleair_export (1)'!B678*'Calcul des facteurs'!#REF!+'Calcul des facteurs'!#REF!</f>
        <v>#REF!</v>
      </c>
      <c r="C678">
        <f>'nebuleair_export (1)'!C678*'Calcul des facteurs'!$B$4+'Calcul des facteurs'!$C$4</f>
        <v>5.2424794752112254</v>
      </c>
      <c r="D678">
        <f>'nebuleair_export (1)'!D678*'Calcul des facteurs'!$B$5+'Calcul des facteurs'!$C$5</f>
        <v>8.1811492059005957</v>
      </c>
    </row>
    <row r="679" spans="1:4">
      <c r="A679" t="s">
        <v>2757</v>
      </c>
      <c r="B679" t="e">
        <f>'nebuleair_export (1)'!B679*'Calcul des facteurs'!#REF!+'Calcul des facteurs'!#REF!</f>
        <v>#REF!</v>
      </c>
      <c r="C679">
        <f>'nebuleair_export (1)'!C679*'Calcul des facteurs'!$B$4+'Calcul des facteurs'!$C$4</f>
        <v>5.2461708392834403</v>
      </c>
      <c r="D679">
        <f>'nebuleair_export (1)'!D679*'Calcul des facteurs'!$B$5+'Calcul des facteurs'!$C$5</f>
        <v>8.1932290855423062</v>
      </c>
    </row>
    <row r="680" spans="1:4">
      <c r="A680" t="s">
        <v>2759</v>
      </c>
      <c r="B680" t="e">
        <f>'nebuleair_export (1)'!B680*'Calcul des facteurs'!#REF!+'Calcul des facteurs'!#REF!</f>
        <v>#REF!</v>
      </c>
      <c r="C680">
        <f>'nebuleair_export (1)'!C680*'Calcul des facteurs'!$B$4+'Calcul des facteurs'!$C$4</f>
        <v>5.1132817326835447</v>
      </c>
      <c r="D680">
        <f>'nebuleair_export (1)'!D680*'Calcul des facteurs'!$B$5+'Calcul des facteurs'!$C$5</f>
        <v>8.0422305900209743</v>
      </c>
    </row>
    <row r="681" spans="1:4">
      <c r="A681" t="s">
        <v>2761</v>
      </c>
      <c r="B681" t="e">
        <f>'nebuleair_export (1)'!B681*'Calcul des facteurs'!#REF!+'Calcul des facteurs'!#REF!</f>
        <v>#REF!</v>
      </c>
      <c r="C681">
        <f>'nebuleair_export (1)'!C681*'Calcul des facteurs'!$B$4+'Calcul des facteurs'!$C$4</f>
        <v>4.9360962572170193</v>
      </c>
      <c r="D681">
        <f>'nebuleair_export (1)'!D681*'Calcul des facteurs'!$B$5+'Calcul des facteurs'!$C$5</f>
        <v>7.8429125759328207</v>
      </c>
    </row>
    <row r="682" spans="1:4">
      <c r="A682" t="s">
        <v>2762</v>
      </c>
      <c r="B682" t="e">
        <f>'nebuleair_export (1)'!B682*'Calcul des facteurs'!#REF!+'Calcul des facteurs'!#REF!</f>
        <v>#REF!</v>
      </c>
      <c r="C682">
        <f>'nebuleair_export (1)'!C682*'Calcul des facteurs'!$B$4+'Calcul des facteurs'!$C$4</f>
        <v>5.2461708392834403</v>
      </c>
      <c r="D682">
        <f>'nebuleair_export (1)'!D682*'Calcul des facteurs'!$B$5+'Calcul des facteurs'!$C$5</f>
        <v>8.2053089651840097</v>
      </c>
    </row>
    <row r="683" spans="1:4">
      <c r="A683" t="s">
        <v>2764</v>
      </c>
      <c r="B683" t="e">
        <f>'nebuleair_export (1)'!B683*'Calcul des facteurs'!#REF!+'Calcul des facteurs'!#REF!</f>
        <v>#REF!</v>
      </c>
      <c r="C683">
        <f>'nebuleair_export (1)'!C683*'Calcul des facteurs'!$B$4+'Calcul des facteurs'!$C$4</f>
        <v>4.3787002823119074</v>
      </c>
      <c r="D683">
        <f>'nebuleair_export (1)'!D683*'Calcul des facteurs'!$B$5+'Calcul des facteurs'!$C$5</f>
        <v>7.2298586841162216</v>
      </c>
    </row>
    <row r="684" spans="1:4">
      <c r="A684" t="s">
        <v>2765</v>
      </c>
      <c r="B684" t="e">
        <f>'nebuleair_export (1)'!B684*'Calcul des facteurs'!#REF!+'Calcul des facteurs'!#REF!</f>
        <v>#REF!</v>
      </c>
      <c r="C684">
        <f>'nebuleair_export (1)'!C684*'Calcul des facteurs'!$B$4+'Calcul des facteurs'!$C$4</f>
        <v>3.4743160846181738</v>
      </c>
      <c r="D684">
        <f>'nebuleair_export (1)'!D684*'Calcul des facteurs'!$B$5+'Calcul des facteurs'!$C$5</f>
        <v>6.236288583585873</v>
      </c>
    </row>
    <row r="685" spans="1:4">
      <c r="A685" t="s">
        <v>2767</v>
      </c>
      <c r="B685" t="e">
        <f>'nebuleair_export (1)'!B685*'Calcul des facteurs'!#REF!+'Calcul des facteurs'!#REF!</f>
        <v>#REF!</v>
      </c>
      <c r="C685">
        <f>'nebuleair_export (1)'!C685*'Calcul des facteurs'!$B$4+'Calcul des facteurs'!$C$4</f>
        <v>3.7511683900346218</v>
      </c>
      <c r="D685">
        <f>'nebuleair_export (1)'!D685*'Calcul des facteurs'!$B$5+'Calcul des facteurs'!$C$5</f>
        <v>6.5322456348076816</v>
      </c>
    </row>
    <row r="686" spans="1:4">
      <c r="A686" t="s">
        <v>2768</v>
      </c>
      <c r="B686" t="e">
        <f>'nebuleair_export (1)'!B686*'Calcul des facteurs'!#REF!+'Calcul des facteurs'!#REF!</f>
        <v>#REF!</v>
      </c>
      <c r="C686">
        <f>'nebuleair_export (1)'!C686*'Calcul des facteurs'!$B$4+'Calcul des facteurs'!$C$4</f>
        <v>5.2055658344890352</v>
      </c>
      <c r="D686">
        <f>'nebuleair_export (1)'!D686*'Calcul des facteurs'!$B$5+'Calcul des facteurs'!$C$5</f>
        <v>8.1539694767067559</v>
      </c>
    </row>
    <row r="687" spans="1:4">
      <c r="A687" t="s">
        <v>2770</v>
      </c>
      <c r="B687" t="e">
        <f>'nebuleair_export (1)'!B687*'Calcul des facteurs'!#REF!+'Calcul des facteurs'!#REF!</f>
        <v>#REF!</v>
      </c>
      <c r="C687">
        <f>'nebuleair_export (1)'!C687*'Calcul des facteurs'!$B$4+'Calcul des facteurs'!$C$4</f>
        <v>8.2509411940699628</v>
      </c>
      <c r="D687">
        <f>'nebuleair_export (1)'!D687*'Calcul des facteurs'!$B$5+'Calcul des facteurs'!$C$5</f>
        <v>11.509156047190695</v>
      </c>
    </row>
    <row r="688" spans="1:4">
      <c r="A688" t="s">
        <v>2772</v>
      </c>
      <c r="B688" t="e">
        <f>'nebuleair_export (1)'!B688*'Calcul des facteurs'!#REF!+'Calcul des facteurs'!#REF!</f>
        <v>#REF!</v>
      </c>
      <c r="C688">
        <f>'nebuleair_export (1)'!C688*'Calcul des facteurs'!$B$4+'Calcul des facteurs'!$C$4</f>
        <v>6.8740623951321549</v>
      </c>
      <c r="D688">
        <f>'nebuleair_export (1)'!D688*'Calcul des facteurs'!$B$5+'Calcul des facteurs'!$C$5</f>
        <v>9.9870912123356952</v>
      </c>
    </row>
    <row r="689" spans="1:4">
      <c r="A689" t="s">
        <v>2774</v>
      </c>
      <c r="B689" t="e">
        <f>'nebuleair_export (1)'!B689*'Calcul des facteurs'!#REF!+'Calcul des facteurs'!#REF!</f>
        <v>#REF!</v>
      </c>
      <c r="C689">
        <f>'nebuleair_export (1)'!C689*'Calcul des facteurs'!$B$4+'Calcul des facteurs'!$C$4</f>
        <v>11.765119790822705</v>
      </c>
      <c r="D689">
        <f>'nebuleair_export (1)'!D689*'Calcul des facteurs'!$B$5+'Calcul des facteurs'!$C$5</f>
        <v>15.392837351999217</v>
      </c>
    </row>
    <row r="690" spans="1:4">
      <c r="A690" t="s">
        <v>2776</v>
      </c>
      <c r="B690" t="e">
        <f>'nebuleair_export (1)'!B690*'Calcul des facteurs'!#REF!+'Calcul des facteurs'!#REF!</f>
        <v>#REF!</v>
      </c>
      <c r="C690">
        <f>'nebuleair_export (1)'!C690*'Calcul des facteurs'!$B$4+'Calcul des facteurs'!$C$4</f>
        <v>11.754045698606047</v>
      </c>
      <c r="D690">
        <f>'nebuleair_export (1)'!D690*'Calcul des facteurs'!$B$5+'Calcul des facteurs'!$C$5</f>
        <v>15.383777442267938</v>
      </c>
    </row>
    <row r="691" spans="1:4">
      <c r="A691" t="s">
        <v>2778</v>
      </c>
      <c r="B691" t="e">
        <f>'nebuleair_export (1)'!B691*'Calcul des facteurs'!#REF!+'Calcul des facteurs'!#REF!</f>
        <v>#REF!</v>
      </c>
      <c r="C691">
        <f>'nebuleair_export (1)'!C691*'Calcul des facteurs'!$B$4+'Calcul des facteurs'!$C$4</f>
        <v>10.849661500912347</v>
      </c>
      <c r="D691">
        <f>'nebuleair_export (1)'!D691*'Calcul des facteurs'!$B$5+'Calcul des facteurs'!$C$5</f>
        <v>14.43550689039405</v>
      </c>
    </row>
    <row r="692" spans="1:4">
      <c r="A692" t="s">
        <v>2780</v>
      </c>
      <c r="B692" t="e">
        <f>'nebuleair_export (1)'!B692*'Calcul des facteurs'!#REF!+'Calcul des facteurs'!#REF!</f>
        <v>#REF!</v>
      </c>
      <c r="C692">
        <f>'nebuleair_export (1)'!C692*'Calcul des facteurs'!$B$4+'Calcul des facteurs'!$C$4</f>
        <v>12.62520761964973</v>
      </c>
      <c r="D692">
        <f>'nebuleair_export (1)'!D692*'Calcul des facteurs'!$B$5+'Calcul des facteurs'!$C$5</f>
        <v>22.637745167112612</v>
      </c>
    </row>
    <row r="693" spans="1:4">
      <c r="A693" t="s">
        <v>2782</v>
      </c>
      <c r="B693" t="e">
        <f>'nebuleair_export (1)'!B693*'Calcul des facteurs'!#REF!+'Calcul des facteurs'!#REF!</f>
        <v>#REF!</v>
      </c>
      <c r="C693">
        <f>'nebuleair_export (1)'!C693*'Calcul des facteurs'!$B$4+'Calcul des facteurs'!$C$4</f>
        <v>11.019464248234442</v>
      </c>
      <c r="D693">
        <f>'nebuleair_export (1)'!D693*'Calcul des facteurs'!$B$5+'Calcul des facteurs'!$C$5</f>
        <v>15.241838856477949</v>
      </c>
    </row>
    <row r="694" spans="1:4">
      <c r="A694" t="s">
        <v>2784</v>
      </c>
      <c r="B694" t="e">
        <f>'nebuleair_export (1)'!B694*'Calcul des facteurs'!#REF!+'Calcul des facteurs'!#REF!</f>
        <v>#REF!</v>
      </c>
      <c r="C694">
        <f>'nebuleair_export (1)'!C694*'Calcul des facteurs'!$B$4+'Calcul des facteurs'!$C$4</f>
        <v>13.821209579048785</v>
      </c>
      <c r="D694">
        <f>'nebuleair_export (1)'!D694*'Calcul des facteurs'!$B$5+'Calcul des facteurs'!$C$5</f>
        <v>24.809103532709358</v>
      </c>
    </row>
    <row r="695" spans="1:4">
      <c r="A695" t="s">
        <v>2786</v>
      </c>
      <c r="B695" t="e">
        <f>'nebuleair_export (1)'!B695*'Calcul des facteurs'!#REF!+'Calcul des facteurs'!#REF!</f>
        <v>#REF!</v>
      </c>
      <c r="C695">
        <f>'nebuleair_export (1)'!C695*'Calcul des facteurs'!$B$4+'Calcul des facteurs'!$C$4</f>
        <v>11.29631655365089</v>
      </c>
      <c r="D695">
        <f>'nebuleair_export (1)'!D695*'Calcul des facteurs'!$B$5+'Calcul des facteurs'!$C$5</f>
        <v>15.969651604890725</v>
      </c>
    </row>
    <row r="696" spans="1:4">
      <c r="A696" t="s">
        <v>2788</v>
      </c>
      <c r="B696" t="e">
        <f>'nebuleair_export (1)'!B696*'Calcul des facteurs'!#REF!+'Calcul des facteurs'!#REF!</f>
        <v>#REF!</v>
      </c>
      <c r="C696">
        <f>'nebuleair_export (1)'!C696*'Calcul des facteurs'!$B$4+'Calcul des facteurs'!$C$4</f>
        <v>16.386707609241238</v>
      </c>
      <c r="D696">
        <f>'nebuleair_export (1)'!D696*'Calcul des facteurs'!$B$5+'Calcul des facteurs'!$C$5</f>
        <v>28.623325529578132</v>
      </c>
    </row>
    <row r="697" spans="1:4">
      <c r="A697" t="s">
        <v>2790</v>
      </c>
      <c r="B697" t="e">
        <f>'nebuleair_export (1)'!B697*'Calcul des facteurs'!#REF!+'Calcul des facteurs'!#REF!</f>
        <v>#REF!</v>
      </c>
      <c r="C697">
        <f>'nebuleair_export (1)'!C697*'Calcul des facteurs'!$B$4+'Calcul des facteurs'!$C$4</f>
        <v>17.172968156623952</v>
      </c>
      <c r="D697">
        <f>'nebuleair_export (1)'!D697*'Calcul des facteurs'!$B$5+'Calcul des facteurs'!$C$5</f>
        <v>30.791663925264388</v>
      </c>
    </row>
    <row r="698" spans="1:4">
      <c r="A698" t="s">
        <v>2792</v>
      </c>
      <c r="B698" t="e">
        <f>'nebuleair_export (1)'!B698*'Calcul des facteurs'!#REF!+'Calcul des facteurs'!#REF!</f>
        <v>#REF!</v>
      </c>
      <c r="C698">
        <f>'nebuleair_export (1)'!C698*'Calcul des facteurs'!$B$4+'Calcul des facteurs'!$C$4</f>
        <v>18.985427916083669</v>
      </c>
      <c r="D698">
        <f>'nebuleair_export (1)'!D698*'Calcul des facteurs'!$B$5+'Calcul des facteurs'!$C$5</f>
        <v>35.741394608453525</v>
      </c>
    </row>
    <row r="699" spans="1:4">
      <c r="A699" t="s">
        <v>2794</v>
      </c>
      <c r="B699" t="e">
        <f>'nebuleair_export (1)'!B699*'Calcul des facteurs'!#REF!+'Calcul des facteurs'!#REF!</f>
        <v>#REF!</v>
      </c>
      <c r="C699">
        <f>'nebuleair_export (1)'!C699*'Calcul des facteurs'!$B$4+'Calcul des facteurs'!$C$4</f>
        <v>18.387426936384141</v>
      </c>
      <c r="D699">
        <f>'nebuleair_export (1)'!D699*'Calcul des facteurs'!$B$5+'Calcul des facteurs'!$C$5</f>
        <v>27.63881533877904</v>
      </c>
    </row>
    <row r="700" spans="1:4">
      <c r="A700" t="s">
        <v>2796</v>
      </c>
      <c r="B700" t="e">
        <f>'nebuleair_export (1)'!B700*'Calcul des facteurs'!#REF!+'Calcul des facteurs'!#REF!</f>
        <v>#REF!</v>
      </c>
      <c r="C700">
        <f>'nebuleair_export (1)'!C700*'Calcul des facteurs'!$B$4+'Calcul des facteurs'!$C$4</f>
        <v>16.88873312306314</v>
      </c>
      <c r="D700">
        <f>'nebuleair_export (1)'!D700*'Calcul des facteurs'!$B$5+'Calcul des facteurs'!$C$5</f>
        <v>24.289668708115926</v>
      </c>
    </row>
    <row r="701" spans="1:4">
      <c r="A701" t="s">
        <v>2798</v>
      </c>
      <c r="B701" t="e">
        <f>'nebuleair_export (1)'!B701*'Calcul des facteurs'!#REF!+'Calcul des facteurs'!#REF!</f>
        <v>#REF!</v>
      </c>
      <c r="C701">
        <f>'nebuleair_export (1)'!C701*'Calcul des facteurs'!$B$4+'Calcul des facteurs'!$C$4</f>
        <v>15.607829790003004</v>
      </c>
      <c r="D701">
        <f>'nebuleair_export (1)'!D701*'Calcul des facteurs'!$B$5+'Calcul des facteurs'!$C$5</f>
        <v>19.635895076148536</v>
      </c>
    </row>
    <row r="702" spans="1:4">
      <c r="A702" t="s">
        <v>2800</v>
      </c>
      <c r="B702" t="e">
        <f>'nebuleair_export (1)'!B702*'Calcul des facteurs'!#REF!+'Calcul des facteurs'!#REF!</f>
        <v>#REF!</v>
      </c>
      <c r="C702">
        <f>'nebuleair_export (1)'!C702*'Calcul des facteurs'!$B$4+'Calcul des facteurs'!$C$4</f>
        <v>15.131643824686714</v>
      </c>
      <c r="D702">
        <f>'nebuleair_export (1)'!D702*'Calcul des facteurs'!$B$5+'Calcul des facteurs'!$C$5</f>
        <v>19.113440281644799</v>
      </c>
    </row>
    <row r="703" spans="1:4">
      <c r="A703" t="s">
        <v>2802</v>
      </c>
      <c r="B703" t="e">
        <f>'nebuleair_export (1)'!B703*'Calcul des facteurs'!#REF!+'Calcul des facteurs'!#REF!</f>
        <v>#REF!</v>
      </c>
      <c r="C703">
        <f>'nebuleair_export (1)'!C703*'Calcul des facteurs'!$B$4+'Calcul des facteurs'!$C$4</f>
        <v>15.574607513353028</v>
      </c>
      <c r="D703">
        <f>'nebuleair_export (1)'!D703*'Calcul des facteurs'!$B$5+'Calcul des facteurs'!$C$5</f>
        <v>19.614755286775576</v>
      </c>
    </row>
    <row r="704" spans="1:4">
      <c r="A704" t="s">
        <v>2804</v>
      </c>
      <c r="B704" t="e">
        <f>'nebuleair_export (1)'!B704*'Calcul des facteurs'!#REF!+'Calcul des facteurs'!#REF!</f>
        <v>#REF!</v>
      </c>
      <c r="C704">
        <f>'nebuleair_export (1)'!C704*'Calcul des facteurs'!$B$4+'Calcul des facteurs'!$C$4</f>
        <v>9.1627081199081282</v>
      </c>
      <c r="D704">
        <f>'nebuleair_export (1)'!D704*'Calcul des facteurs'!$B$5+'Calcul des facteurs'!$C$5</f>
        <v>12.529905876914817</v>
      </c>
    </row>
    <row r="705" spans="1:4">
      <c r="A705" t="s">
        <v>2806</v>
      </c>
      <c r="B705" t="e">
        <f>'nebuleair_export (1)'!B705*'Calcul des facteurs'!#REF!+'Calcul des facteurs'!#REF!</f>
        <v>#REF!</v>
      </c>
      <c r="C705">
        <f>'nebuleair_export (1)'!C705*'Calcul des facteurs'!$B$4+'Calcul des facteurs'!$C$4</f>
        <v>15.32359475644208</v>
      </c>
      <c r="D705">
        <f>'nebuleair_export (1)'!D705*'Calcul des facteurs'!$B$5+'Calcul des facteurs'!$C$5</f>
        <v>19.315778265643345</v>
      </c>
    </row>
    <row r="706" spans="1:4">
      <c r="A706" t="s">
        <v>2807</v>
      </c>
      <c r="B706" t="e">
        <f>'nebuleair_export (1)'!B706*'Calcul des facteurs'!#REF!+'Calcul des facteurs'!#REF!</f>
        <v>#REF!</v>
      </c>
      <c r="C706">
        <f>'nebuleair_export (1)'!C706*'Calcul des facteurs'!$B$4+'Calcul des facteurs'!$C$4</f>
        <v>16.586041269141081</v>
      </c>
      <c r="D706">
        <f>'nebuleair_export (1)'!D706*'Calcul des facteurs'!$B$5+'Calcul des facteurs'!$C$5</f>
        <v>20.732144153633385</v>
      </c>
    </row>
    <row r="707" spans="1:4">
      <c r="A707" t="s">
        <v>2809</v>
      </c>
      <c r="B707" t="e">
        <f>'nebuleair_export (1)'!B707*'Calcul des facteurs'!#REF!+'Calcul des facteurs'!#REF!</f>
        <v>#REF!</v>
      </c>
      <c r="C707">
        <f>'nebuleair_export (1)'!C707*'Calcul des facteurs'!$B$4+'Calcul des facteurs'!$C$4</f>
        <v>17.339079539873818</v>
      </c>
      <c r="D707">
        <f>'nebuleair_export (1)'!D707*'Calcul des facteurs'!$B$5+'Calcul des facteurs'!$C$5</f>
        <v>21.553575969269446</v>
      </c>
    </row>
    <row r="708" spans="1:4">
      <c r="A708" t="s">
        <v>2811</v>
      </c>
      <c r="B708" t="e">
        <f>'nebuleair_export (1)'!B708*'Calcul des facteurs'!#REF!+'Calcul des facteurs'!#REF!</f>
        <v>#REF!</v>
      </c>
      <c r="C708">
        <f>'nebuleair_export (1)'!C708*'Calcul des facteurs'!$B$4+'Calcul des facteurs'!$C$4</f>
        <v>15.478632047475291</v>
      </c>
      <c r="D708">
        <f>'nebuleair_export (1)'!D708*'Calcul des facteurs'!$B$5+'Calcul des facteurs'!$C$5</f>
        <v>19.515096279731502</v>
      </c>
    </row>
    <row r="709" spans="1:4">
      <c r="A709" t="s">
        <v>2813</v>
      </c>
      <c r="B709" t="e">
        <f>'nebuleair_export (1)'!B709*'Calcul des facteurs'!#REF!+'Calcul des facteurs'!#REF!</f>
        <v>#REF!</v>
      </c>
      <c r="C709">
        <f>'nebuleair_export (1)'!C709*'Calcul des facteurs'!$B$4+'Calcul des facteurs'!$C$4</f>
        <v>12.87622037656068</v>
      </c>
      <c r="D709">
        <f>'nebuleair_export (1)'!D709*'Calcul des facteurs'!$B$5+'Calcul des facteurs'!$C$5</f>
        <v>16.62800504536375</v>
      </c>
    </row>
    <row r="710" spans="1:4">
      <c r="A710" t="s">
        <v>2815</v>
      </c>
      <c r="B710" t="e">
        <f>'nebuleair_export (1)'!B710*'Calcul des facteurs'!#REF!+'Calcul des facteurs'!#REF!</f>
        <v>#REF!</v>
      </c>
      <c r="C710">
        <f>'nebuleair_export (1)'!C710*'Calcul des facteurs'!$B$4+'Calcul des facteurs'!$C$4</f>
        <v>13.230591327493734</v>
      </c>
      <c r="D710">
        <f>'nebuleair_export (1)'!D710*'Calcul des facteurs'!$B$5+'Calcul des facteurs'!$C$5</f>
        <v>17.011541223987894</v>
      </c>
    </row>
    <row r="711" spans="1:4">
      <c r="A711" t="s">
        <v>2817</v>
      </c>
      <c r="B711" t="e">
        <f>'nebuleair_export (1)'!B711*'Calcul des facteurs'!#REF!+'Calcul des facteurs'!#REF!</f>
        <v>#REF!</v>
      </c>
      <c r="C711">
        <f>'nebuleair_export (1)'!C711*'Calcul des facteurs'!$B$4+'Calcul des facteurs'!$C$4</f>
        <v>17.914932335140033</v>
      </c>
      <c r="D711">
        <f>'nebuleair_export (1)'!D711*'Calcul des facteurs'!$B$5+'Calcul des facteurs'!$C$5</f>
        <v>25.796633693418848</v>
      </c>
    </row>
    <row r="712" spans="1:4">
      <c r="A712" t="s">
        <v>2818</v>
      </c>
      <c r="B712" t="e">
        <f>'nebuleair_export (1)'!B712*'Calcul des facteurs'!#REF!+'Calcul des facteurs'!#REF!</f>
        <v>#REF!</v>
      </c>
      <c r="C712">
        <f>'nebuleair_export (1)'!C712*'Calcul des facteurs'!$B$4+'Calcul des facteurs'!$C$4</f>
        <v>16.23536168228032</v>
      </c>
      <c r="D712">
        <f>'nebuleair_export (1)'!D712*'Calcul des facteurs'!$B$5+'Calcul des facteurs'!$C$5</f>
        <v>24.727564345127838</v>
      </c>
    </row>
    <row r="713" spans="1:4">
      <c r="A713" t="s">
        <v>2820</v>
      </c>
      <c r="B713" t="e">
        <f>'nebuleair_export (1)'!B713*'Calcul des facteurs'!#REF!+'Calcul des facteurs'!#REF!</f>
        <v>#REF!</v>
      </c>
      <c r="C713">
        <f>'nebuleair_export (1)'!C713*'Calcul des facteurs'!$B$4+'Calcul des facteurs'!$C$4</f>
        <v>14.699754228237055</v>
      </c>
      <c r="D713">
        <f>'nebuleair_export (1)'!D713*'Calcul des facteurs'!$B$5+'Calcul des facteurs'!$C$5</f>
        <v>21.109640392436738</v>
      </c>
    </row>
    <row r="714" spans="1:4">
      <c r="A714" t="s">
        <v>2822</v>
      </c>
      <c r="B714" t="e">
        <f>'nebuleair_export (1)'!B714*'Calcul des facteurs'!#REF!+'Calcul des facteurs'!#REF!</f>
        <v>#REF!</v>
      </c>
      <c r="C714">
        <f>'nebuleair_export (1)'!C714*'Calcul des facteurs'!$B$4+'Calcul des facteurs'!$C$4</f>
        <v>20.882789049204352</v>
      </c>
      <c r="D714">
        <f>'nebuleair_export (1)'!D714*'Calcul des facteurs'!$B$5+'Calcul des facteurs'!$C$5</f>
        <v>34.029071669241652</v>
      </c>
    </row>
    <row r="715" spans="1:4">
      <c r="A715" t="s">
        <v>2824</v>
      </c>
      <c r="B715" t="e">
        <f>'nebuleair_export (1)'!B715*'Calcul des facteurs'!#REF!+'Calcul des facteurs'!#REF!</f>
        <v>#REF!</v>
      </c>
      <c r="C715">
        <f>'nebuleair_export (1)'!C715*'Calcul des facteurs'!$B$4+'Calcul des facteurs'!$C$4</f>
        <v>14.016851874876444</v>
      </c>
      <c r="D715">
        <f>'nebuleair_export (1)'!D715*'Calcul des facteurs'!$B$5+'Calcul des facteurs'!$C$5</f>
        <v>21.079440693332501</v>
      </c>
    </row>
    <row r="716" spans="1:4">
      <c r="A716" t="s">
        <v>2825</v>
      </c>
      <c r="B716" t="e">
        <f>'nebuleair_export (1)'!B716*'Calcul des facteurs'!#REF!+'Calcul des facteurs'!#REF!</f>
        <v>#REF!</v>
      </c>
      <c r="C716">
        <f>'nebuleair_export (1)'!C716*'Calcul des facteurs'!$B$4+'Calcul des facteurs'!$C$4</f>
        <v>10.236895064923946</v>
      </c>
      <c r="D716">
        <f>'nebuleair_export (1)'!D716*'Calcul des facteurs'!$B$5+'Calcul des facteurs'!$C$5</f>
        <v>17.781633551146673</v>
      </c>
    </row>
    <row r="717" spans="1:4">
      <c r="A717" t="s">
        <v>2826</v>
      </c>
      <c r="B717" t="e">
        <f>'nebuleair_export (1)'!B717*'Calcul des facteurs'!#REF!+'Calcul des facteurs'!#REF!</f>
        <v>#REF!</v>
      </c>
      <c r="C717">
        <f>'nebuleair_export (1)'!C717*'Calcul des facteurs'!$B$4+'Calcul des facteurs'!$C$4</f>
        <v>12.950047658005102</v>
      </c>
      <c r="D717">
        <f>'nebuleair_export (1)'!D717*'Calcul des facteurs'!$B$5+'Calcul des facteurs'!$C$5</f>
        <v>22.562245919351987</v>
      </c>
    </row>
    <row r="718" spans="1:4">
      <c r="A718" t="s">
        <v>2827</v>
      </c>
      <c r="B718" t="e">
        <f>'nebuleair_export (1)'!B718*'Calcul des facteurs'!#REF!+'Calcul des facteurs'!#REF!</f>
        <v>#REF!</v>
      </c>
      <c r="C718">
        <f>'nebuleair_export (1)'!C718*'Calcul des facteurs'!$B$4+'Calcul des facteurs'!$C$4</f>
        <v>3.6699583804458005</v>
      </c>
      <c r="D718">
        <f>'nebuleair_export (1)'!D718*'Calcul des facteurs'!$B$5+'Calcul des facteurs'!$C$5</f>
        <v>7.7100338998740483</v>
      </c>
    </row>
    <row r="719" spans="1:4">
      <c r="A719" t="s">
        <v>2829</v>
      </c>
      <c r="B719" t="e">
        <f>'nebuleair_export (1)'!B719*'Calcul des facteurs'!#REF!+'Calcul des facteurs'!#REF!</f>
        <v>#REF!</v>
      </c>
      <c r="C719">
        <f>'nebuleair_export (1)'!C719*'Calcul des facteurs'!$B$4+'Calcul des facteurs'!$C$4</f>
        <v>1.6544735970140596</v>
      </c>
      <c r="D719">
        <f>'nebuleair_export (1)'!D719*'Calcul des facteurs'!$B$5+'Calcul des facteurs'!$C$5</f>
        <v>4.9256216424607429</v>
      </c>
    </row>
    <row r="720" spans="1:4">
      <c r="A720" t="s">
        <v>2830</v>
      </c>
      <c r="B720" t="e">
        <f>'nebuleair_export (1)'!B720*'Calcul des facteurs'!#REF!+'Calcul des facteurs'!#REF!</f>
        <v>#REF!</v>
      </c>
      <c r="C720">
        <f>'nebuleair_export (1)'!C720*'Calcul des facteurs'!$B$4+'Calcul des facteurs'!$C$4</f>
        <v>1.4809794856197485</v>
      </c>
      <c r="D720">
        <f>'nebuleair_export (1)'!D720*'Calcul des facteurs'!$B$5+'Calcul des facteurs'!$C$5</f>
        <v>4.8229426655062326</v>
      </c>
    </row>
    <row r="721" spans="1:4">
      <c r="A721" t="s">
        <v>2831</v>
      </c>
      <c r="B721" t="e">
        <f>'nebuleair_export (1)'!B721*'Calcul des facteurs'!#REF!+'Calcul des facteurs'!#REF!</f>
        <v>#REF!</v>
      </c>
      <c r="C721">
        <f>'nebuleair_export (1)'!C721*'Calcul des facteurs'!$B$4+'Calcul des facteurs'!$C$4</f>
        <v>1.0675467095311932</v>
      </c>
      <c r="D721">
        <f>'nebuleair_export (1)'!D721*'Calcul des facteurs'!$B$5+'Calcul des facteurs'!$C$5</f>
        <v>3.5394554535749445</v>
      </c>
    </row>
    <row r="722" spans="1:4">
      <c r="A722" t="s">
        <v>2832</v>
      </c>
      <c r="B722" t="e">
        <f>'nebuleair_export (1)'!B722*'Calcul des facteurs'!#REF!+'Calcul des facteurs'!#REF!</f>
        <v>#REF!</v>
      </c>
      <c r="C722">
        <f>'nebuleair_export (1)'!C722*'Calcul des facteurs'!$B$4+'Calcul des facteurs'!$C$4</f>
        <v>1.1856703598422114</v>
      </c>
      <c r="D722">
        <f>'nebuleair_export (1)'!D722*'Calcul des facteurs'!$B$5+'Calcul des facteurs'!$C$5</f>
        <v>4.3306875701067034</v>
      </c>
    </row>
    <row r="723" spans="1:4">
      <c r="A723" t="s">
        <v>2833</v>
      </c>
      <c r="B723" t="e">
        <f>'nebuleair_export (1)'!B723*'Calcul des facteurs'!#REF!+'Calcul des facteurs'!#REF!</f>
        <v>#REF!</v>
      </c>
      <c r="C723">
        <f>'nebuleair_export (1)'!C723*'Calcul des facteurs'!$B$4+'Calcul des facteurs'!$C$4</f>
        <v>1.5511154029919225</v>
      </c>
      <c r="D723">
        <f>'nebuleair_export (1)'!D723*'Calcul des facteurs'!$B$5+'Calcul des facteurs'!$C$5</f>
        <v>4.2733081418086014</v>
      </c>
    </row>
    <row r="724" spans="1:4">
      <c r="A724" t="s">
        <v>2835</v>
      </c>
      <c r="B724" t="e">
        <f>'nebuleair_export (1)'!B724*'Calcul des facteurs'!#REF!+'Calcul des facteurs'!#REF!</f>
        <v>#REF!</v>
      </c>
      <c r="C724">
        <f>'nebuleair_export (1)'!C724*'Calcul des facteurs'!$B$4+'Calcul des facteurs'!$C$4</f>
        <v>1.4108435682475853</v>
      </c>
      <c r="D724">
        <f>'nebuleair_export (1)'!D724*'Calcul des facteurs'!$B$5+'Calcul des facteurs'!$C$5</f>
        <v>4.1706291648541001</v>
      </c>
    </row>
    <row r="725" spans="1:4">
      <c r="A725" t="s">
        <v>2837</v>
      </c>
      <c r="B725" t="e">
        <f>'nebuleair_export (1)'!B725*'Calcul des facteurs'!#REF!+'Calcul des facteurs'!#REF!</f>
        <v>#REF!</v>
      </c>
      <c r="C725">
        <f>'nebuleair_export (1)'!C725*'Calcul des facteurs'!$B$4+'Calcul des facteurs'!$C$4</f>
        <v>1.5068190341252801</v>
      </c>
      <c r="D725">
        <f>'nebuleair_export (1)'!D725*'Calcul des facteurs'!$B$5+'Calcul des facteurs'!$C$5</f>
        <v>3.8746721136322924</v>
      </c>
    </row>
    <row r="726" spans="1:4">
      <c r="A726" t="s">
        <v>2839</v>
      </c>
      <c r="B726" t="e">
        <f>'nebuleair_export (1)'!B726*'Calcul des facteurs'!#REF!+'Calcul des facteurs'!#REF!</f>
        <v>#REF!</v>
      </c>
      <c r="C726">
        <f>'nebuleair_export (1)'!C726*'Calcul des facteurs'!$B$4+'Calcul des facteurs'!$C$4</f>
        <v>1.5658808592807962</v>
      </c>
      <c r="D726">
        <f>'nebuleair_export (1)'!D726*'Calcul des facteurs'!$B$5+'Calcul des facteurs'!$C$5</f>
        <v>3.8233326251550377</v>
      </c>
    </row>
    <row r="727" spans="1:4">
      <c r="A727" t="s">
        <v>2840</v>
      </c>
      <c r="B727" t="e">
        <f>'nebuleair_export (1)'!B727*'Calcul des facteurs'!#REF!+'Calcul des facteurs'!#REF!</f>
        <v>#REF!</v>
      </c>
      <c r="C727">
        <f>'nebuleair_export (1)'!C727*'Calcul des facteurs'!$B$4+'Calcul des facteurs'!$C$4</f>
        <v>1.9682395431526967</v>
      </c>
      <c r="D727">
        <f>'nebuleair_export (1)'!D727*'Calcul des facteurs'!$B$5+'Calcul des facteurs'!$C$5</f>
        <v>5.230638603413821</v>
      </c>
    </row>
    <row r="728" spans="1:4">
      <c r="A728" t="s">
        <v>2842</v>
      </c>
      <c r="B728" t="e">
        <f>'nebuleair_export (1)'!B728*'Calcul des facteurs'!#REF!+'Calcul des facteurs'!#REF!</f>
        <v>#REF!</v>
      </c>
      <c r="C728">
        <f>'nebuleair_export (1)'!C728*'Calcul des facteurs'!$B$4+'Calcul des facteurs'!$C$4</f>
        <v>1.8501158928416863</v>
      </c>
      <c r="D728">
        <f>'nebuleair_export (1)'!D728*'Calcul des facteurs'!$B$5+'Calcul des facteurs'!$C$5</f>
        <v>4.5541653434782727</v>
      </c>
    </row>
    <row r="729" spans="1:4">
      <c r="A729" t="s">
        <v>2844</v>
      </c>
      <c r="B729" t="e">
        <f>'nebuleair_export (1)'!B729*'Calcul des facteurs'!#REF!+'Calcul des facteurs'!#REF!</f>
        <v>#REF!</v>
      </c>
      <c r="C729">
        <f>'nebuleair_export (1)'!C729*'Calcul des facteurs'!$B$4+'Calcul des facteurs'!$C$4</f>
        <v>1.872264077274991</v>
      </c>
      <c r="D729">
        <f>'nebuleair_export (1)'!D729*'Calcul des facteurs'!$B$5+'Calcul des facteurs'!$C$5</f>
        <v>4.4092067877777978</v>
      </c>
    </row>
    <row r="730" spans="1:4">
      <c r="A730" t="s">
        <v>2846</v>
      </c>
      <c r="B730" t="e">
        <f>'nebuleair_export (1)'!B730*'Calcul des facteurs'!#REF!+'Calcul des facteurs'!#REF!</f>
        <v>#REF!</v>
      </c>
      <c r="C730">
        <f>'nebuleair_export (1)'!C730*'Calcul des facteurs'!$B$4+'Calcul des facteurs'!$C$4</f>
        <v>2.2081782078469554</v>
      </c>
      <c r="D730">
        <f>'nebuleair_export (1)'!D730*'Calcul des facteurs'!$B$5+'Calcul des facteurs'!$C$5</f>
        <v>4.412226757688221</v>
      </c>
    </row>
    <row r="731" spans="1:4">
      <c r="A731" t="s">
        <v>2848</v>
      </c>
      <c r="B731" t="e">
        <f>'nebuleair_export (1)'!B731*'Calcul des facteurs'!#REF!+'Calcul des facteurs'!#REF!</f>
        <v>#REF!</v>
      </c>
      <c r="C731">
        <f>'nebuleair_export (1)'!C731*'Calcul des facteurs'!$B$4+'Calcul des facteurs'!$C$4</f>
        <v>2.3669068629523817</v>
      </c>
      <c r="D731">
        <f>'nebuleair_export (1)'!D731*'Calcul des facteurs'!$B$5+'Calcul des facteurs'!$C$5</f>
        <v>4.9226016725503108</v>
      </c>
    </row>
    <row r="732" spans="1:4">
      <c r="A732" t="s">
        <v>2850</v>
      </c>
      <c r="B732" t="e">
        <f>'nebuleair_export (1)'!B732*'Calcul des facteurs'!#REF!+'Calcul des facteurs'!#REF!</f>
        <v>#REF!</v>
      </c>
      <c r="C732">
        <f>'nebuleair_export (1)'!C732*'Calcul des facteurs'!$B$4+'Calcul des facteurs'!$C$4</f>
        <v>2.6216109839355139</v>
      </c>
      <c r="D732">
        <f>'nebuleair_export (1)'!D732*'Calcul des facteurs'!$B$5+'Calcul des facteurs'!$C$5</f>
        <v>5.3997569183977134</v>
      </c>
    </row>
    <row r="733" spans="1:4">
      <c r="A733" t="s">
        <v>2852</v>
      </c>
      <c r="B733" t="e">
        <f>'nebuleair_export (1)'!B733*'Calcul des facteurs'!#REF!+'Calcul des facteurs'!#REF!</f>
        <v>#REF!</v>
      </c>
      <c r="C733">
        <f>'nebuleair_export (1)'!C733*'Calcul des facteurs'!$B$4+'Calcul des facteurs'!$C$4</f>
        <v>2.9833646630130093</v>
      </c>
      <c r="D733">
        <f>'nebuleair_export (1)'!D733*'Calcul des facteurs'!$B$5+'Calcul des facteurs'!$C$5</f>
        <v>4.9739411610275654</v>
      </c>
    </row>
    <row r="734" spans="1:4">
      <c r="A734" t="s">
        <v>2854</v>
      </c>
      <c r="B734" t="e">
        <f>'nebuleair_export (1)'!B734*'Calcul des facteurs'!#REF!+'Calcul des facteurs'!#REF!</f>
        <v>#REF!</v>
      </c>
      <c r="C734">
        <f>'nebuleair_export (1)'!C734*'Calcul des facteurs'!$B$4+'Calcul des facteurs'!$C$4</f>
        <v>3.1236364977573468</v>
      </c>
      <c r="D734">
        <f>'nebuleair_export (1)'!D734*'Calcul des facteurs'!$B$5+'Calcul des facteurs'!$C$5</f>
        <v>5.8346325854991408</v>
      </c>
    </row>
    <row r="735" spans="1:4">
      <c r="A735" t="s">
        <v>2856</v>
      </c>
      <c r="B735" t="e">
        <f>'nebuleair_export (1)'!B735*'Calcul des facteurs'!#REF!+'Calcul des facteurs'!#REF!</f>
        <v>#REF!</v>
      </c>
      <c r="C735">
        <f>'nebuleair_export (1)'!C735*'Calcul des facteurs'!$B$4+'Calcul des facteurs'!$C$4</f>
        <v>3.4410938079681999</v>
      </c>
      <c r="D735">
        <f>'nebuleair_export (1)'!D735*'Calcul des facteurs'!$B$5+'Calcul des facteurs'!$C$5</f>
        <v>6.8040429267460736</v>
      </c>
    </row>
    <row r="736" spans="1:4">
      <c r="A736" t="s">
        <v>2858</v>
      </c>
      <c r="B736" t="e">
        <f>'nebuleair_export (1)'!B736*'Calcul des facteurs'!#REF!+'Calcul des facteurs'!#REF!</f>
        <v>#REF!</v>
      </c>
      <c r="C736">
        <f>'nebuleair_export (1)'!C736*'Calcul des facteurs'!$B$4+'Calcul des facteurs'!$C$4</f>
        <v>3.6588842882291428</v>
      </c>
      <c r="D736">
        <f>'nebuleair_export (1)'!D736*'Calcul des facteurs'!$B$5+'Calcul des facteurs'!$C$5</f>
        <v>6.6862641002394376</v>
      </c>
    </row>
    <row r="737" spans="1:4">
      <c r="A737" t="s">
        <v>2860</v>
      </c>
      <c r="B737" t="e">
        <f>'nebuleair_export (1)'!B737*'Calcul des facteurs'!#REF!+'Calcul des facteurs'!#REF!</f>
        <v>#REF!</v>
      </c>
      <c r="C737">
        <f>'nebuleair_export (1)'!C737*'Calcul des facteurs'!$B$4+'Calcul des facteurs'!$C$4</f>
        <v>4.4820584763340445</v>
      </c>
      <c r="D737">
        <f>'nebuleair_export (1)'!D737*'Calcul des facteurs'!$B$5+'Calcul des facteurs'!$C$5</f>
        <v>7.5620553742631484</v>
      </c>
    </row>
    <row r="738" spans="1:4">
      <c r="A738" t="s">
        <v>2862</v>
      </c>
      <c r="B738" t="e">
        <f>'nebuleair_export (1)'!B738*'Calcul des facteurs'!#REF!+'Calcul des facteurs'!#REF!</f>
        <v>#REF!</v>
      </c>
      <c r="C738">
        <f>'nebuleair_export (1)'!C738*'Calcul des facteurs'!$B$4+'Calcul des facteurs'!$C$4</f>
        <v>4.8881085242781719</v>
      </c>
      <c r="D738">
        <f>'nebuleair_export (1)'!D738*'Calcul des facteurs'!$B$5+'Calcul des facteurs'!$C$5</f>
        <v>7.3597173902645618</v>
      </c>
    </row>
    <row r="739" spans="1:4">
      <c r="A739" t="s">
        <v>2864</v>
      </c>
      <c r="B739" t="e">
        <f>'nebuleair_export (1)'!B739*'Calcul des facteurs'!#REF!+'Calcul des facteurs'!#REF!</f>
        <v>#REF!</v>
      </c>
      <c r="C739">
        <f>'nebuleair_export (1)'!C739*'Calcul des facteurs'!$B$4+'Calcul des facteurs'!$C$4</f>
        <v>3.9320452295733639</v>
      </c>
      <c r="D739">
        <f>'nebuleair_export (1)'!D739*'Calcul des facteurs'!$B$5+'Calcul des facteurs'!$C$5</f>
        <v>6.9610813620882626</v>
      </c>
    </row>
    <row r="740" spans="1:4">
      <c r="A740" t="s">
        <v>2866</v>
      </c>
      <c r="B740" t="e">
        <f>'nebuleair_export (1)'!B740*'Calcul des facteurs'!#REF!+'Calcul des facteurs'!#REF!</f>
        <v>#REF!</v>
      </c>
      <c r="C740">
        <f>'nebuleair_export (1)'!C740*'Calcul des facteurs'!$B$4+'Calcul des facteurs'!$C$4</f>
        <v>3.238068783996142</v>
      </c>
      <c r="D740">
        <f>'nebuleair_export (1)'!D740*'Calcul des facteurs'!$B$5+'Calcul des facteurs'!$C$5</f>
        <v>6.0460304792290076</v>
      </c>
    </row>
    <row r="741" spans="1:4">
      <c r="A741" t="s">
        <v>2868</v>
      </c>
      <c r="B741" t="e">
        <f>'nebuleair_export (1)'!B741*'Calcul des facteurs'!#REF!+'Calcul des facteurs'!#REF!</f>
        <v>#REF!</v>
      </c>
      <c r="C741">
        <f>'nebuleair_export (1)'!C741*'Calcul des facteurs'!$B$4+'Calcul des facteurs'!$C$4</f>
        <v>2.9427596582185935</v>
      </c>
      <c r="D741">
        <f>'nebuleair_export (1)'!D741*'Calcul des facteurs'!$B$5+'Calcul des facteurs'!$C$5</f>
        <v>6.8644423249546085</v>
      </c>
    </row>
    <row r="742" spans="1:4">
      <c r="A742" t="s">
        <v>2869</v>
      </c>
      <c r="B742" t="e">
        <f>'nebuleair_export (1)'!B742*'Calcul des facteurs'!#REF!+'Calcul des facteurs'!#REF!</f>
        <v>#REF!</v>
      </c>
      <c r="C742">
        <f>'nebuleair_export (1)'!C742*'Calcul des facteurs'!$B$4+'Calcul des facteurs'!$C$4</f>
        <v>3.1937724151295104</v>
      </c>
      <c r="D742">
        <f>'nebuleair_export (1)'!D742*'Calcul des facteurs'!$B$5+'Calcul des facteurs'!$C$5</f>
        <v>6.0460304792289987</v>
      </c>
    </row>
    <row r="743" spans="1:4">
      <c r="A743" t="s">
        <v>2871</v>
      </c>
      <c r="B743" t="e">
        <f>'nebuleair_export (1)'!B743*'Calcul des facteurs'!#REF!+'Calcul des facteurs'!#REF!</f>
        <v>#REF!</v>
      </c>
      <c r="C743">
        <f>'nebuleair_export (1)'!C743*'Calcul des facteurs'!$B$4+'Calcul des facteurs'!$C$4</f>
        <v>4.3491693697341489</v>
      </c>
      <c r="D743">
        <f>'nebuleair_export (1)'!D743*'Calcul des facteurs'!$B$5+'Calcul des facteurs'!$C$5</f>
        <v>7.1030199478783054</v>
      </c>
    </row>
    <row r="744" spans="1:4">
      <c r="A744" t="s">
        <v>2873</v>
      </c>
      <c r="B744" t="e">
        <f>'nebuleair_export (1)'!B744*'Calcul des facteurs'!#REF!+'Calcul des facteurs'!#REF!</f>
        <v>#REF!</v>
      </c>
      <c r="C744">
        <f>'nebuleair_export (1)'!C744*'Calcul des facteurs'!$B$4+'Calcul des facteurs'!$C$4</f>
        <v>4.164601166123191</v>
      </c>
      <c r="D744">
        <f>'nebuleair_export (1)'!D744*'Calcul des facteurs'!$B$5+'Calcul des facteurs'!$C$5</f>
        <v>8.3502675208844863</v>
      </c>
    </row>
    <row r="745" spans="1:4">
      <c r="A745" t="s">
        <v>2875</v>
      </c>
      <c r="B745" t="e">
        <f>'nebuleair_export (1)'!B745*'Calcul des facteurs'!#REF!+'Calcul des facteurs'!#REF!</f>
        <v>#REF!</v>
      </c>
      <c r="C745">
        <f>'nebuleair_export (1)'!C745*'Calcul des facteurs'!$B$4+'Calcul des facteurs'!$C$4</f>
        <v>4.2162802631342542</v>
      </c>
      <c r="D745">
        <f>'nebuleair_export (1)'!D745*'Calcul des facteurs'!$B$5+'Calcul des facteurs'!$C$5</f>
        <v>7.7553334485304468</v>
      </c>
    </row>
    <row r="746" spans="1:4">
      <c r="A746" t="s">
        <v>2877</v>
      </c>
      <c r="B746" t="e">
        <f>'nebuleair_export (1)'!B746*'Calcul des facteurs'!#REF!+'Calcul des facteurs'!#REF!</f>
        <v>#REF!</v>
      </c>
      <c r="C746">
        <f>'nebuleair_export (1)'!C746*'Calcul des facteurs'!$B$4+'Calcul des facteurs'!$C$4</f>
        <v>5.8035668141885521</v>
      </c>
      <c r="D746">
        <f>'nebuleair_export (1)'!D746*'Calcul des facteurs'!$B$5+'Calcul des facteurs'!$C$5</f>
        <v>11.42157691978832</v>
      </c>
    </row>
    <row r="747" spans="1:4">
      <c r="A747" t="s">
        <v>2879</v>
      </c>
      <c r="B747" t="e">
        <f>'nebuleair_export (1)'!B747*'Calcul des facteurs'!#REF!+'Calcul des facteurs'!#REF!</f>
        <v>#REF!</v>
      </c>
      <c r="C747">
        <f>'nebuleair_export (1)'!C747*'Calcul des facteurs'!$B$4+'Calcul des facteurs'!$C$4</f>
        <v>6.9441983125043176</v>
      </c>
      <c r="D747">
        <f>'nebuleair_export (1)'!D747*'Calcul des facteurs'!$B$5+'Calcul des facteurs'!$C$5</f>
        <v>12.741303770644739</v>
      </c>
    </row>
    <row r="748" spans="1:4">
      <c r="A748" t="s">
        <v>2881</v>
      </c>
      <c r="B748" t="e">
        <f>'nebuleair_export (1)'!B748*'Calcul des facteurs'!#REF!+'Calcul des facteurs'!#REF!</f>
        <v>#REF!</v>
      </c>
      <c r="C748">
        <f>'nebuleair_export (1)'!C748*'Calcul des facteurs'!$B$4+'Calcul des facteurs'!$C$4</f>
        <v>6.7559387448211439</v>
      </c>
      <c r="D748">
        <f>'nebuleair_export (1)'!D748*'Calcul des facteurs'!$B$5+'Calcul des facteurs'!$C$5</f>
        <v>13.910032125979825</v>
      </c>
    </row>
    <row r="749" spans="1:4">
      <c r="A749" t="s">
        <v>2883</v>
      </c>
      <c r="B749" t="e">
        <f>'nebuleair_export (1)'!B749*'Calcul des facteurs'!#REF!+'Calcul des facteurs'!#REF!</f>
        <v>#REF!</v>
      </c>
      <c r="C749">
        <f>'nebuleair_export (1)'!C749*'Calcul des facteurs'!$B$4+'Calcul des facteurs'!$C$4</f>
        <v>7.2468901664263079</v>
      </c>
      <c r="D749">
        <f>'nebuleair_export (1)'!D749*'Calcul des facteurs'!$B$5+'Calcul des facteurs'!$C$5</f>
        <v>13.3845573615656</v>
      </c>
    </row>
    <row r="750" spans="1:4">
      <c r="A750" t="s">
        <v>2885</v>
      </c>
      <c r="B750" t="e">
        <f>'nebuleair_export (1)'!B750*'Calcul des facteurs'!#REF!+'Calcul des facteurs'!#REF!</f>
        <v>#REF!</v>
      </c>
      <c r="C750">
        <f>'nebuleair_export (1)'!C750*'Calcul des facteurs'!$B$4+'Calcul des facteurs'!$C$4</f>
        <v>7.0660133268875658</v>
      </c>
      <c r="D750">
        <f>'nebuleair_export (1)'!D750*'Calcul des facteurs'!$B$5+'Calcul des facteurs'!$C$5</f>
        <v>11.001801102239028</v>
      </c>
    </row>
    <row r="751" spans="1:4">
      <c r="A751" t="s">
        <v>2887</v>
      </c>
      <c r="B751" t="e">
        <f>'nebuleair_export (1)'!B751*'Calcul des facteurs'!#REF!+'Calcul des facteurs'!#REF!</f>
        <v>#REF!</v>
      </c>
      <c r="C751">
        <f>'nebuleair_export (1)'!C751*'Calcul des facteurs'!$B$4+'Calcul des facteurs'!$C$4</f>
        <v>4.3787002823119074</v>
      </c>
      <c r="D751">
        <f>'nebuleair_export (1)'!D751*'Calcul des facteurs'!$B$5+'Calcul des facteurs'!$C$5</f>
        <v>10.062590460096358</v>
      </c>
    </row>
    <row r="752" spans="1:4">
      <c r="A752" t="s">
        <v>2889</v>
      </c>
      <c r="B752" t="e">
        <f>'nebuleair_export (1)'!B752*'Calcul des facteurs'!#REF!+'Calcul des facteurs'!#REF!</f>
        <v>#REF!</v>
      </c>
      <c r="C752">
        <f>'nebuleair_export (1)'!C752*'Calcul des facteurs'!$B$4+'Calcul des facteurs'!$C$4</f>
        <v>4.5042066607673599</v>
      </c>
      <c r="D752">
        <f>'nebuleair_export (1)'!D752*'Calcul des facteurs'!$B$5+'Calcul des facteurs'!$C$5</f>
        <v>11.669214452443295</v>
      </c>
    </row>
    <row r="753" spans="1:4">
      <c r="A753" t="s">
        <v>2891</v>
      </c>
      <c r="B753" t="e">
        <f>'nebuleair_export (1)'!B753*'Calcul des facteurs'!#REF!+'Calcul des facteurs'!#REF!</f>
        <v>#REF!</v>
      </c>
      <c r="C753">
        <f>'nebuleair_export (1)'!C753*'Calcul des facteurs'!$B$4+'Calcul des facteurs'!$C$4</f>
        <v>5.1575781015501772</v>
      </c>
      <c r="D753">
        <f>'nebuleair_export (1)'!D753*'Calcul des facteurs'!$B$5+'Calcul des facteurs'!$C$5</f>
        <v>11.732633820562254</v>
      </c>
    </row>
    <row r="754" spans="1:4">
      <c r="A754" t="s">
        <v>2892</v>
      </c>
      <c r="B754" t="e">
        <f>'nebuleair_export (1)'!B754*'Calcul des facteurs'!#REF!+'Calcul des facteurs'!#REF!</f>
        <v>#REF!</v>
      </c>
      <c r="C754">
        <f>'nebuleair_export (1)'!C754*'Calcul des facteurs'!$B$4+'Calcul des facteurs'!$C$4</f>
        <v>4.2679593601453281</v>
      </c>
      <c r="D754">
        <f>'nebuleair_export (1)'!D754*'Calcul des facteurs'!$B$5+'Calcul des facteurs'!$C$5</f>
        <v>8.2808082129446721</v>
      </c>
    </row>
    <row r="755" spans="1:4">
      <c r="A755" t="s">
        <v>2894</v>
      </c>
      <c r="B755" t="e">
        <f>'nebuleair_export (1)'!B755*'Calcul des facteurs'!#REF!+'Calcul des facteurs'!#REF!</f>
        <v>#REF!</v>
      </c>
      <c r="C755">
        <f>'nebuleair_export (1)'!C755*'Calcul des facteurs'!$B$4+'Calcul des facteurs'!$C$4</f>
        <v>4.2421198116397854</v>
      </c>
      <c r="D755">
        <f>'nebuleair_export (1)'!D755*'Calcul des facteurs'!$B$5+'Calcul des facteurs'!$C$5</f>
        <v>8.1962490554527321</v>
      </c>
    </row>
    <row r="756" spans="1:4">
      <c r="A756" t="s">
        <v>2896</v>
      </c>
      <c r="B756" t="e">
        <f>'nebuleair_export (1)'!B756*'Calcul des facteurs'!#REF!+'Calcul des facteurs'!#REF!</f>
        <v>#REF!</v>
      </c>
      <c r="C756">
        <f>'nebuleair_export (1)'!C756*'Calcul des facteurs'!$B$4+'Calcul des facteurs'!$C$4</f>
        <v>4.810589878761566</v>
      </c>
      <c r="D756">
        <f>'nebuleair_export (1)'!D756*'Calcul des facteurs'!$B$5+'Calcul des facteurs'!$C$5</f>
        <v>9.2079389754456287</v>
      </c>
    </row>
    <row r="757" spans="1:4">
      <c r="A757" t="s">
        <v>2897</v>
      </c>
      <c r="B757" t="e">
        <f>'nebuleair_export (1)'!B757*'Calcul des facteurs'!#REF!+'Calcul des facteurs'!#REF!</f>
        <v>#REF!</v>
      </c>
      <c r="C757">
        <f>'nebuleair_export (1)'!C757*'Calcul des facteurs'!$B$4+'Calcul des facteurs'!$C$4</f>
        <v>3.8914402247789592</v>
      </c>
      <c r="D757">
        <f>'nebuleair_export (1)'!D757*'Calcul des facteurs'!$B$5+'Calcul des facteurs'!$C$5</f>
        <v>7.0486604894906266</v>
      </c>
    </row>
    <row r="758" spans="1:4">
      <c r="A758" t="s">
        <v>2899</v>
      </c>
      <c r="B758" t="e">
        <f>'nebuleair_export (1)'!B758*'Calcul des facteurs'!#REF!+'Calcul des facteurs'!#REF!</f>
        <v>#REF!</v>
      </c>
      <c r="C758">
        <f>'nebuleair_export (1)'!C758*'Calcul des facteurs'!$B$4+'Calcul des facteurs'!$C$4</f>
        <v>4.4525275637562975</v>
      </c>
      <c r="D758">
        <f>'nebuleair_export (1)'!D758*'Calcul des facteurs'!$B$5+'Calcul des facteurs'!$C$5</f>
        <v>8.0905501085877987</v>
      </c>
    </row>
    <row r="759" spans="1:4">
      <c r="A759" t="s">
        <v>2900</v>
      </c>
      <c r="B759" t="e">
        <f>'nebuleair_export (1)'!B759*'Calcul des facteurs'!#REF!+'Calcul des facteurs'!#REF!</f>
        <v>#REF!</v>
      </c>
      <c r="C759">
        <f>'nebuleair_export (1)'!C759*'Calcul des facteurs'!$B$4+'Calcul des facteurs'!$C$4</f>
        <v>3.5407606379181211</v>
      </c>
      <c r="D759">
        <f>'nebuleair_export (1)'!D759*'Calcul des facteurs'!$B$5+'Calcul des facteurs'!$C$5</f>
        <v>5.9191917429910816</v>
      </c>
    </row>
    <row r="760" spans="1:4">
      <c r="A760" t="s">
        <v>2901</v>
      </c>
      <c r="B760" t="e">
        <f>'nebuleair_export (1)'!B760*'Calcul des facteurs'!#REF!+'Calcul des facteurs'!#REF!</f>
        <v>#REF!</v>
      </c>
      <c r="C760">
        <f>'nebuleair_export (1)'!C760*'Calcul des facteurs'!$B$4+'Calcul des facteurs'!$C$4</f>
        <v>3.4484765361126426</v>
      </c>
      <c r="D760">
        <f>'nebuleair_export (1)'!D760*'Calcul des facteurs'!$B$5+'Calcul des facteurs'!$C$5</f>
        <v>7.7251337494261847</v>
      </c>
    </row>
    <row r="761" spans="1:4">
      <c r="A761" t="s">
        <v>2902</v>
      </c>
      <c r="B761" t="e">
        <f>'nebuleair_export (1)'!B761*'Calcul des facteurs'!#REF!+'Calcul des facteurs'!#REF!</f>
        <v>#REF!</v>
      </c>
      <c r="C761">
        <f>'nebuleair_export (1)'!C761*'Calcul des facteurs'!$B$4+'Calcul des facteurs'!$C$4</f>
        <v>2.8024878234742672</v>
      </c>
      <c r="D761">
        <f>'nebuleair_export (1)'!D761*'Calcul des facteurs'!$B$5+'Calcul des facteurs'!$C$5</f>
        <v>6.9610813620882537</v>
      </c>
    </row>
    <row r="762" spans="1:4">
      <c r="A762" t="s">
        <v>2904</v>
      </c>
      <c r="B762" t="e">
        <f>'nebuleair_export (1)'!B762*'Calcul des facteurs'!#REF!+'Calcul des facteurs'!#REF!</f>
        <v>#REF!</v>
      </c>
      <c r="C762">
        <f>'nebuleair_export (1)'!C762*'Calcul des facteurs'!$B$4+'Calcul des facteurs'!$C$4</f>
        <v>3.1420933181184365</v>
      </c>
      <c r="D762">
        <f>'nebuleair_export (1)'!D762*'Calcul des facteurs'!$B$5+'Calcul des facteurs'!$C$5</f>
        <v>6.8976619939692947</v>
      </c>
    </row>
    <row r="763" spans="1:4">
      <c r="A763" t="s">
        <v>2906</v>
      </c>
      <c r="B763" t="e">
        <f>'nebuleair_export (1)'!B763*'Calcul des facteurs'!#REF!+'Calcul des facteurs'!#REF!</f>
        <v>#REF!</v>
      </c>
      <c r="C763">
        <f>'nebuleair_export (1)'!C763*'Calcul des facteurs'!$B$4+'Calcul des facteurs'!$C$4</f>
        <v>3.5407606379181211</v>
      </c>
      <c r="D763">
        <f>'nebuleair_export (1)'!D763*'Calcul des facteurs'!$B$5+'Calcul des facteurs'!$C$5</f>
        <v>7.2630783531309167</v>
      </c>
    </row>
    <row r="764" spans="1:4">
      <c r="A764" t="s">
        <v>2907</v>
      </c>
      <c r="B764" t="e">
        <f>'nebuleair_export (1)'!B764*'Calcul des facteurs'!#REF!+'Calcul des facteurs'!#REF!</f>
        <v>#REF!</v>
      </c>
      <c r="C764">
        <f>'nebuleair_export (1)'!C764*'Calcul des facteurs'!$B$4+'Calcul des facteurs'!$C$4</f>
        <v>2.8172532797631407</v>
      </c>
      <c r="D764">
        <f>'nebuleair_export (1)'!D764*'Calcul des facteurs'!$B$5+'Calcul des facteurs'!$C$5</f>
        <v>6.9037019337901508</v>
      </c>
    </row>
    <row r="765" spans="1:4">
      <c r="A765" t="s">
        <v>2909</v>
      </c>
      <c r="B765" t="e">
        <f>'nebuleair_export (1)'!B765*'Calcul des facteurs'!#REF!+'Calcul des facteurs'!#REF!</f>
        <v>#REF!</v>
      </c>
      <c r="C765">
        <f>'nebuleair_export (1)'!C765*'Calcul des facteurs'!$B$4+'Calcul des facteurs'!$C$4</f>
        <v>3.9394279577178062</v>
      </c>
      <c r="D765">
        <f>'nebuleair_export (1)'!D765*'Calcul des facteurs'!$B$5+'Calcul des facteurs'!$C$5</f>
        <v>9.5340957257717101</v>
      </c>
    </row>
    <row r="766" spans="1:4">
      <c r="A766" t="s">
        <v>2911</v>
      </c>
      <c r="B766" t="e">
        <f>'nebuleair_export (1)'!B766*'Calcul des facteurs'!#REF!+'Calcul des facteurs'!#REF!</f>
        <v>#REF!</v>
      </c>
      <c r="C766">
        <f>'nebuleair_export (1)'!C766*'Calcul des facteurs'!$B$4+'Calcul des facteurs'!$C$4</f>
        <v>5.1391212811890883</v>
      </c>
      <c r="D766">
        <f>'nebuleair_export (1)'!D766*'Calcul des facteurs'!$B$5+'Calcul des facteurs'!$C$5</f>
        <v>10.515585946660345</v>
      </c>
    </row>
    <row r="767" spans="1:4">
      <c r="A767" t="s">
        <v>2913</v>
      </c>
      <c r="B767" t="e">
        <f>'nebuleair_export (1)'!B767*'Calcul des facteurs'!#REF!+'Calcul des facteurs'!#REF!</f>
        <v>#REF!</v>
      </c>
      <c r="C767">
        <f>'nebuleair_export (1)'!C767*'Calcul des facteurs'!$B$4+'Calcul des facteurs'!$C$4</f>
        <v>7.608643845503793</v>
      </c>
      <c r="D767">
        <f>'nebuleair_export (1)'!D767*'Calcul des facteurs'!$B$5+'Calcul des facteurs'!$C$5</f>
        <v>15.151239759165152</v>
      </c>
    </row>
    <row r="768" spans="1:4">
      <c r="A768" t="s">
        <v>2914</v>
      </c>
      <c r="B768" t="e">
        <f>'nebuleair_export (1)'!B768*'Calcul des facteurs'!#REF!+'Calcul des facteurs'!#REF!</f>
        <v>#REF!</v>
      </c>
      <c r="C768">
        <f>'nebuleair_export (1)'!C768*'Calcul des facteurs'!$B$4+'Calcul des facteurs'!$C$4</f>
        <v>7.9371752479313153</v>
      </c>
      <c r="D768">
        <f>'nebuleair_export (1)'!D768*'Calcul des facteurs'!$B$5+'Calcul des facteurs'!$C$5</f>
        <v>14.212029117022453</v>
      </c>
    </row>
    <row r="769" spans="1:4">
      <c r="A769" t="s">
        <v>2916</v>
      </c>
      <c r="B769" t="e">
        <f>'nebuleair_export (1)'!B769*'Calcul des facteurs'!#REF!+'Calcul des facteurs'!#REF!</f>
        <v>#REF!</v>
      </c>
      <c r="C769">
        <f>'nebuleair_export (1)'!C769*'Calcul des facteurs'!$B$4+'Calcul des facteurs'!$C$4</f>
        <v>8.2583239222143945</v>
      </c>
      <c r="D769">
        <f>'nebuleair_export (1)'!D769*'Calcul des facteurs'!$B$5+'Calcul des facteurs'!$C$5</f>
        <v>18.358447804038093</v>
      </c>
    </row>
    <row r="770" spans="1:4">
      <c r="A770" t="s">
        <v>2917</v>
      </c>
      <c r="B770" t="e">
        <f>'nebuleair_export (1)'!B770*'Calcul des facteurs'!#REF!+'Calcul des facteurs'!#REF!</f>
        <v>#REF!</v>
      </c>
      <c r="C770">
        <f>'nebuleair_export (1)'!C770*'Calcul des facteurs'!$B$4+'Calcul des facteurs'!$C$4</f>
        <v>9.9969564002296885</v>
      </c>
      <c r="D770">
        <f>'nebuleair_export (1)'!D770*'Calcul des facteurs'!$B$5+'Calcul des facteurs'!$C$5</f>
        <v>17.27125863628461</v>
      </c>
    </row>
    <row r="771" spans="1:4">
      <c r="A771" t="s">
        <v>2919</v>
      </c>
      <c r="B771" t="e">
        <f>'nebuleair_export (1)'!B771*'Calcul des facteurs'!#REF!+'Calcul des facteurs'!#REF!</f>
        <v>#REF!</v>
      </c>
      <c r="C771">
        <f>'nebuleair_export (1)'!C771*'Calcul des facteurs'!$B$4+'Calcul des facteurs'!$C$4</f>
        <v>9.0999549306803971</v>
      </c>
      <c r="D771">
        <f>'nebuleair_export (1)'!D771*'Calcul des facteurs'!$B$5+'Calcul des facteurs'!$C$5</f>
        <v>16.422647091454714</v>
      </c>
    </row>
    <row r="772" spans="1:4">
      <c r="A772" t="s">
        <v>2920</v>
      </c>
      <c r="B772" t="e">
        <f>'nebuleair_export (1)'!B772*'Calcul des facteurs'!#REF!+'Calcul des facteurs'!#REF!</f>
        <v>#REF!</v>
      </c>
      <c r="C772">
        <f>'nebuleair_export (1)'!C772*'Calcul des facteurs'!$B$4+'Calcul des facteurs'!$C$4</f>
        <v>10.222129608635074</v>
      </c>
      <c r="D772">
        <f>'nebuleair_export (1)'!D772*'Calcul des facteurs'!$B$5+'Calcul des facteurs'!$C$5</f>
        <v>16.531366008230069</v>
      </c>
    </row>
    <row r="773" spans="1:4">
      <c r="A773" t="s">
        <v>2921</v>
      </c>
      <c r="B773" t="e">
        <f>'nebuleair_export (1)'!B773*'Calcul des facteurs'!#REF!+'Calcul des facteurs'!#REF!</f>
        <v>#REF!</v>
      </c>
      <c r="C773">
        <f>'nebuleair_export (1)'!C773*'Calcul des facteurs'!$B$4+'Calcul des facteurs'!$C$4</f>
        <v>9.8714500217742245</v>
      </c>
      <c r="D773">
        <f>'nebuleair_export (1)'!D773*'Calcul des facteurs'!$B$5+'Calcul des facteurs'!$C$5</f>
        <v>20.69288454479787</v>
      </c>
    </row>
    <row r="774" spans="1:4">
      <c r="A774" t="s">
        <v>2923</v>
      </c>
      <c r="B774" t="e">
        <f>'nebuleair_export (1)'!B774*'Calcul des facteurs'!#REF!+'Calcul des facteurs'!#REF!</f>
        <v>#REF!</v>
      </c>
      <c r="C774">
        <f>'nebuleair_export (1)'!C774*'Calcul des facteurs'!$B$4+'Calcul des facteurs'!$C$4</f>
        <v>10.620796928434757</v>
      </c>
      <c r="D774">
        <f>'nebuleair_export (1)'!D774*'Calcul des facteurs'!$B$5+'Calcul des facteurs'!$C$5</f>
        <v>19.759713842476053</v>
      </c>
    </row>
    <row r="775" spans="1:4">
      <c r="A775" t="s">
        <v>2925</v>
      </c>
      <c r="B775" t="e">
        <f>'nebuleair_export (1)'!B775*'Calcul des facteurs'!#REF!+'Calcul des facteurs'!#REF!</f>
        <v>#REF!</v>
      </c>
      <c r="C775">
        <f>'nebuleair_export (1)'!C775*'Calcul des facteurs'!$B$4+'Calcul des facteurs'!$C$4</f>
        <v>9.8972895702797672</v>
      </c>
      <c r="D775">
        <f>'nebuleair_export (1)'!D775*'Calcul des facteurs'!$B$5+'Calcul des facteurs'!$C$5</f>
        <v>19.581535617760949</v>
      </c>
    </row>
    <row r="776" spans="1:4">
      <c r="A776" t="s">
        <v>2927</v>
      </c>
      <c r="B776" t="e">
        <f>'nebuleair_export (1)'!B776*'Calcul des facteurs'!#REF!+'Calcul des facteurs'!#REF!</f>
        <v>#REF!</v>
      </c>
      <c r="C776">
        <f>'nebuleair_export (1)'!C776*'Calcul des facteurs'!$B$4+'Calcul des facteurs'!$C$4</f>
        <v>10.247969157140604</v>
      </c>
      <c r="D776">
        <f>'nebuleair_export (1)'!D776*'Calcul des facteurs'!$B$5+'Calcul des facteurs'!$C$5</f>
        <v>17.500776349477</v>
      </c>
    </row>
    <row r="777" spans="1:4">
      <c r="A777" t="s">
        <v>2928</v>
      </c>
      <c r="B777" t="e">
        <f>'nebuleair_export (1)'!B777*'Calcul des facteurs'!#REF!+'Calcul des facteurs'!#REF!</f>
        <v>#REF!</v>
      </c>
      <c r="C777">
        <f>'nebuleair_export (1)'!C777*'Calcul des facteurs'!$B$4+'Calcul des facteurs'!$C$4</f>
        <v>9.5982890804300016</v>
      </c>
      <c r="D777">
        <f>'nebuleair_export (1)'!D777*'Calcul des facteurs'!$B$5+'Calcul des facteurs'!$C$5</f>
        <v>19.530196129283667</v>
      </c>
    </row>
    <row r="778" spans="1:4">
      <c r="A778" t="s">
        <v>2929</v>
      </c>
      <c r="B778" t="e">
        <f>'nebuleair_export (1)'!B778*'Calcul des facteurs'!#REF!+'Calcul des facteurs'!#REF!</f>
        <v>#REF!</v>
      </c>
      <c r="C778">
        <f>'nebuleair_export (1)'!C778*'Calcul des facteurs'!$B$4+'Calcul des facteurs'!$C$4</f>
        <v>8.3764475725254162</v>
      </c>
      <c r="D778">
        <f>'nebuleair_export (1)'!D778*'Calcul des facteurs'!$B$5+'Calcul des facteurs'!$C$5</f>
        <v>14.577445476184041</v>
      </c>
    </row>
    <row r="779" spans="1:4">
      <c r="A779" t="s">
        <v>2931</v>
      </c>
      <c r="B779" t="e">
        <f>'nebuleair_export (1)'!B779*'Calcul des facteurs'!#REF!+'Calcul des facteurs'!#REF!</f>
        <v>#REF!</v>
      </c>
      <c r="C779">
        <f>'nebuleair_export (1)'!C779*'Calcul des facteurs'!$B$4+'Calcul des facteurs'!$C$4</f>
        <v>8.3100030192254675</v>
      </c>
      <c r="D779">
        <f>'nebuleair_export (1)'!D779*'Calcul des facteurs'!$B$5+'Calcul des facteurs'!$C$5</f>
        <v>14.278468455051808</v>
      </c>
    </row>
    <row r="780" spans="1:4">
      <c r="A780" t="s">
        <v>2933</v>
      </c>
      <c r="B780" t="e">
        <f>'nebuleair_export (1)'!B780*'Calcul des facteurs'!#REF!+'Calcul des facteurs'!#REF!</f>
        <v>#REF!</v>
      </c>
      <c r="C780">
        <f>'nebuleair_export (1)'!C780*'Calcul des facteurs'!$B$4+'Calcul des facteurs'!$C$4</f>
        <v>7.734150223959257</v>
      </c>
      <c r="D780">
        <f>'nebuleair_export (1)'!D780*'Calcul des facteurs'!$B$5+'Calcul des facteurs'!$C$5</f>
        <v>13.858692637502545</v>
      </c>
    </row>
    <row r="781" spans="1:4">
      <c r="A781" t="s">
        <v>2935</v>
      </c>
      <c r="B781" t="e">
        <f>'nebuleair_export (1)'!B781*'Calcul des facteurs'!#REF!+'Calcul des facteurs'!#REF!</f>
        <v>#REF!</v>
      </c>
      <c r="C781">
        <f>'nebuleair_export (1)'!C781*'Calcul des facteurs'!$B$4+'Calcul des facteurs'!$C$4</f>
        <v>9.631511357079976</v>
      </c>
      <c r="D781">
        <f>'nebuleair_export (1)'!D781*'Calcul des facteurs'!$B$5+'Calcul des facteurs'!$C$5</f>
        <v>17.440376951268441</v>
      </c>
    </row>
    <row r="782" spans="1:4">
      <c r="A782" t="s">
        <v>2937</v>
      </c>
      <c r="B782" t="e">
        <f>'nebuleair_export (1)'!B782*'Calcul des facteurs'!#REF!+'Calcul des facteurs'!#REF!</f>
        <v>#REF!</v>
      </c>
      <c r="C782">
        <f>'nebuleair_export (1)'!C782*'Calcul des facteurs'!$B$4+'Calcul des facteurs'!$C$4</f>
        <v>6.9294328562154446</v>
      </c>
      <c r="D782">
        <f>'nebuleair_export (1)'!D782*'Calcul des facteurs'!$B$5+'Calcul des facteurs'!$C$5</f>
        <v>15.712954162504404</v>
      </c>
    </row>
    <row r="783" spans="1:4">
      <c r="A783" t="s">
        <v>2939</v>
      </c>
      <c r="B783" t="e">
        <f>'nebuleair_export (1)'!B783*'Calcul des facteurs'!#REF!+'Calcul des facteurs'!#REF!</f>
        <v>#REF!</v>
      </c>
      <c r="C783">
        <f>'nebuleair_export (1)'!C783*'Calcul des facteurs'!$B$4+'Calcul des facteurs'!$C$4</f>
        <v>7.0327910502375817</v>
      </c>
      <c r="D783">
        <f>'nebuleair_export (1)'!D783*'Calcul des facteurs'!$B$5+'Calcul des facteurs'!$C$5</f>
        <v>12.243008735424352</v>
      </c>
    </row>
    <row r="784" spans="1:4">
      <c r="A784" t="s">
        <v>2940</v>
      </c>
      <c r="B784" t="e">
        <f>'nebuleair_export (1)'!B784*'Calcul des facteurs'!#REF!+'Calcul des facteurs'!#REF!</f>
        <v>#REF!</v>
      </c>
      <c r="C784">
        <f>'nebuleair_export (1)'!C784*'Calcul des facteurs'!$B$4+'Calcul des facteurs'!$C$4</f>
        <v>9.1405599354748119</v>
      </c>
      <c r="D784">
        <f>'nebuleair_export (1)'!D784*'Calcul des facteurs'!$B$5+'Calcul des facteurs'!$C$5</f>
        <v>16.969261645241893</v>
      </c>
    </row>
    <row r="785" spans="1:4">
      <c r="A785" t="s">
        <v>2941</v>
      </c>
      <c r="B785" t="e">
        <f>'nebuleair_export (1)'!B785*'Calcul des facteurs'!#REF!+'Calcul des facteurs'!#REF!</f>
        <v>#REF!</v>
      </c>
      <c r="C785">
        <f>'nebuleair_export (1)'!C785*'Calcul des facteurs'!$B$4+'Calcul des facteurs'!$C$4</f>
        <v>7.0807787831764397</v>
      </c>
      <c r="D785">
        <f>'nebuleair_export (1)'!D785*'Calcul des facteurs'!$B$5+'Calcul des facteurs'!$C$5</f>
        <v>11.164879477402064</v>
      </c>
    </row>
    <row r="786" spans="1:4">
      <c r="A786" t="s">
        <v>2943</v>
      </c>
      <c r="B786" t="e">
        <f>'nebuleair_export (1)'!B786*'Calcul des facteurs'!#REF!+'Calcul des facteurs'!#REF!</f>
        <v>#REF!</v>
      </c>
      <c r="C786">
        <f>'nebuleair_export (1)'!C786*'Calcul des facteurs'!$B$4+'Calcul des facteurs'!$C$4</f>
        <v>9.5318445271300565</v>
      </c>
      <c r="D786">
        <f>'nebuleair_export (1)'!D786*'Calcul des facteurs'!$B$5+'Calcul des facteurs'!$C$5</f>
        <v>15.555915727162253</v>
      </c>
    </row>
    <row r="787" spans="1:4">
      <c r="A787" t="s">
        <v>2945</v>
      </c>
      <c r="B787" t="e">
        <f>'nebuleair_export (1)'!B787*'Calcul des facteurs'!#REF!+'Calcul des facteurs'!#REF!</f>
        <v>#REF!</v>
      </c>
      <c r="C787">
        <f>'nebuleair_export (1)'!C787*'Calcul des facteurs'!$B$4+'Calcul des facteurs'!$C$4</f>
        <v>7.4019274574595197</v>
      </c>
      <c r="D787">
        <f>'nebuleair_export (1)'!D787*'Calcul des facteurs'!$B$5+'Calcul des facteurs'!$C$5</f>
        <v>14.731463941615797</v>
      </c>
    </row>
    <row r="788" spans="1:4">
      <c r="A788" t="s">
        <v>2947</v>
      </c>
      <c r="B788" t="e">
        <f>'nebuleair_export (1)'!B788*'Calcul des facteurs'!#REF!+'Calcul des facteurs'!#REF!</f>
        <v>#REF!</v>
      </c>
      <c r="C788">
        <f>'nebuleair_export (1)'!C788*'Calcul des facteurs'!$B$4+'Calcul des facteurs'!$C$4</f>
        <v>7.4942115592649978</v>
      </c>
      <c r="D788">
        <f>'nebuleair_export (1)'!D788*'Calcul des facteurs'!$B$5+'Calcul des facteurs'!$C$5</f>
        <v>13.345297752729996</v>
      </c>
    </row>
    <row r="789" spans="1:4">
      <c r="A789" t="s">
        <v>2948</v>
      </c>
      <c r="B789" t="e">
        <f>'nebuleair_export (1)'!B789*'Calcul des facteurs'!#REF!+'Calcul des facteurs'!#REF!</f>
        <v>#REF!</v>
      </c>
      <c r="C789">
        <f>'nebuleair_export (1)'!C789*'Calcul des facteurs'!$B$4+'Calcul des facteurs'!$C$4</f>
        <v>7.4056188215317347</v>
      </c>
      <c r="D789">
        <f>'nebuleair_export (1)'!D789*'Calcul des facteurs'!$B$5+'Calcul des facteurs'!$C$5</f>
        <v>15.051580752121074</v>
      </c>
    </row>
    <row r="790" spans="1:4">
      <c r="A790" t="s">
        <v>2949</v>
      </c>
      <c r="B790" t="e">
        <f>'nebuleair_export (1)'!B790*'Calcul des facteurs'!#REF!+'Calcul des facteurs'!#REF!</f>
        <v>#REF!</v>
      </c>
      <c r="C790">
        <f>'nebuleair_export (1)'!C790*'Calcul des facteurs'!$B$4+'Calcul des facteurs'!$C$4</f>
        <v>7.029099686165365</v>
      </c>
      <c r="D790">
        <f>'nebuleair_export (1)'!D790*'Calcul des facteurs'!$B$5+'Calcul des facteurs'!$C$5</f>
        <v>13.188259317387843</v>
      </c>
    </row>
    <row r="791" spans="1:4">
      <c r="A791" t="s">
        <v>2951</v>
      </c>
      <c r="B791" t="e">
        <f>'nebuleair_export (1)'!B791*'Calcul des facteurs'!#REF!+'Calcul des facteurs'!#REF!</f>
        <v>#REF!</v>
      </c>
      <c r="C791">
        <f>'nebuleair_export (1)'!C791*'Calcul des facteurs'!$B$4+'Calcul des facteurs'!$C$4</f>
        <v>8.3284598395865572</v>
      </c>
      <c r="D791">
        <f>'nebuleair_export (1)'!D791*'Calcul des facteurs'!$B$5+'Calcul des facteurs'!$C$5</f>
        <v>14.015731072844696</v>
      </c>
    </row>
    <row r="792" spans="1:4">
      <c r="A792" t="s">
        <v>2953</v>
      </c>
      <c r="B792" t="e">
        <f>'nebuleair_export (1)'!B792*'Calcul des facteurs'!#REF!+'Calcul des facteurs'!#REF!</f>
        <v>#REF!</v>
      </c>
      <c r="C792">
        <f>'nebuleair_export (1)'!C792*'Calcul des facteurs'!$B$4+'Calcul des facteurs'!$C$4</f>
        <v>7.3391742682317878</v>
      </c>
      <c r="D792">
        <f>'nebuleair_export (1)'!D792*'Calcul des facteurs'!$B$5+'Calcul des facteurs'!$C$5</f>
        <v>15.758253711160805</v>
      </c>
    </row>
    <row r="793" spans="1:4">
      <c r="A793" t="s">
        <v>2954</v>
      </c>
      <c r="B793" t="e">
        <f>'nebuleair_export (1)'!B793*'Calcul des facteurs'!#REF!+'Calcul des facteurs'!#REF!</f>
        <v>#REF!</v>
      </c>
      <c r="C793">
        <f>'nebuleair_export (1)'!C793*'Calcul des facteurs'!$B$4+'Calcul des facteurs'!$C$4</f>
        <v>5.762961809394147</v>
      </c>
      <c r="D793">
        <f>'nebuleair_export (1)'!D793*'Calcul des facteurs'!$B$5+'Calcul des facteurs'!$C$5</f>
        <v>13.816413058756542</v>
      </c>
    </row>
    <row r="794" spans="1:4">
      <c r="A794" t="s">
        <v>2955</v>
      </c>
      <c r="B794" t="e">
        <f>'nebuleair_export (1)'!B794*'Calcul des facteurs'!#REF!+'Calcul des facteurs'!#REF!</f>
        <v>#REF!</v>
      </c>
      <c r="C794">
        <f>'nebuleair_export (1)'!C794*'Calcul des facteurs'!$B$4+'Calcul des facteurs'!$C$4</f>
        <v>7.5864956610704883</v>
      </c>
      <c r="D794">
        <f>'nebuleair_export (1)'!D794*'Calcul des facteurs'!$B$5+'Calcul des facteurs'!$C$5</f>
        <v>14.477786469139964</v>
      </c>
    </row>
    <row r="795" spans="1:4">
      <c r="A795" t="s">
        <v>2956</v>
      </c>
      <c r="B795" t="e">
        <f>'nebuleair_export (1)'!B795*'Calcul des facteurs'!#REF!+'Calcul des facteurs'!#REF!</f>
        <v>#REF!</v>
      </c>
      <c r="C795">
        <f>'nebuleair_export (1)'!C795*'Calcul des facteurs'!$B$4+'Calcul des facteurs'!$C$4</f>
        <v>5.4861095039776995</v>
      </c>
      <c r="D795">
        <f>'nebuleair_export (1)'!D795*'Calcul des facteurs'!$B$5+'Calcul des facteurs'!$C$5</f>
        <v>10.530685796212481</v>
      </c>
    </row>
    <row r="796" spans="1:4">
      <c r="A796" t="s">
        <v>2957</v>
      </c>
      <c r="B796" t="e">
        <f>'nebuleair_export (1)'!B796*'Calcul des facteurs'!#REF!+'Calcul des facteurs'!#REF!</f>
        <v>#REF!</v>
      </c>
      <c r="C796">
        <f>'nebuleair_export (1)'!C796*'Calcul des facteurs'!$B$4+'Calcul des facteurs'!$C$4</f>
        <v>6.6193582741490227</v>
      </c>
      <c r="D796">
        <f>'nebuleair_export (1)'!D796*'Calcul des facteurs'!$B$5+'Calcul des facteurs'!$C$5</f>
        <v>12.702044161809132</v>
      </c>
    </row>
    <row r="797" spans="1:4">
      <c r="A797" t="s">
        <v>2958</v>
      </c>
      <c r="B797" t="e">
        <f>'nebuleair_export (1)'!B797*'Calcul des facteurs'!#REF!+'Calcul des facteurs'!#REF!</f>
        <v>#REF!</v>
      </c>
      <c r="C797">
        <f>'nebuleair_export (1)'!C797*'Calcul des facteurs'!$B$4+'Calcul des facteurs'!$C$4</f>
        <v>6.9848033172987334</v>
      </c>
      <c r="D797">
        <f>'nebuleair_export (1)'!D797*'Calcul des facteurs'!$B$5+'Calcul des facteurs'!$C$5</f>
        <v>13.257718625327685</v>
      </c>
    </row>
    <row r="798" spans="1:4">
      <c r="A798" t="s">
        <v>2959</v>
      </c>
      <c r="B798" t="e">
        <f>'nebuleair_export (1)'!B798*'Calcul des facteurs'!#REF!+'Calcul des facteurs'!#REF!</f>
        <v>#REF!</v>
      </c>
      <c r="C798">
        <f>'nebuleair_export (1)'!C798*'Calcul des facteurs'!$B$4+'Calcul des facteurs'!$C$4</f>
        <v>6.9257414921432288</v>
      </c>
      <c r="D798">
        <f>'nebuleair_export (1)'!D798*'Calcul des facteurs'!$B$5+'Calcul des facteurs'!$C$5</f>
        <v>13.752993690637583</v>
      </c>
    </row>
    <row r="799" spans="1:4">
      <c r="A799" t="s">
        <v>2961</v>
      </c>
      <c r="B799" t="e">
        <f>'nebuleair_export (1)'!B799*'Calcul des facteurs'!#REF!+'Calcul des facteurs'!#REF!</f>
        <v>#REF!</v>
      </c>
      <c r="C799">
        <f>'nebuleair_export (1)'!C799*'Calcul des facteurs'!$B$4+'Calcul des facteurs'!$C$4</f>
        <v>7.4277670059650509</v>
      </c>
      <c r="D799">
        <f>'nebuleair_export (1)'!D799*'Calcul des facteurs'!$B$5+'Calcul des facteurs'!$C$5</f>
        <v>13.716754051712465</v>
      </c>
    </row>
    <row r="800" spans="1:4">
      <c r="A800" t="s">
        <v>2962</v>
      </c>
      <c r="B800" t="e">
        <f>'nebuleair_export (1)'!B800*'Calcul des facteurs'!#REF!+'Calcul des facteurs'!#REF!</f>
        <v>#REF!</v>
      </c>
      <c r="C800">
        <f>'nebuleair_export (1)'!C800*'Calcul des facteurs'!$B$4+'Calcul des facteurs'!$C$4</f>
        <v>7.3760879089539868</v>
      </c>
      <c r="D800">
        <f>'nebuleair_export (1)'!D800*'Calcul des facteurs'!$B$5+'Calcul des facteurs'!$C$5</f>
        <v>12.526885907004422</v>
      </c>
    </row>
    <row r="801" spans="1:4">
      <c r="A801" t="s">
        <v>2963</v>
      </c>
      <c r="B801" t="e">
        <f>'nebuleair_export (1)'!B801*'Calcul des facteurs'!#REF!+'Calcul des facteurs'!#REF!</f>
        <v>#REF!</v>
      </c>
      <c r="C801">
        <f>'nebuleair_export (1)'!C801*'Calcul des facteurs'!$B$4+'Calcul des facteurs'!$C$4</f>
        <v>7.5421992922038568</v>
      </c>
      <c r="D801">
        <f>'nebuleair_export (1)'!D801*'Calcul des facteurs'!$B$5+'Calcul des facteurs'!$C$5</f>
        <v>14.130489929440936</v>
      </c>
    </row>
    <row r="802" spans="1:4">
      <c r="A802" t="s">
        <v>2965</v>
      </c>
      <c r="B802" t="e">
        <f>'nebuleair_export (1)'!B802*'Calcul des facteurs'!#REF!+'Calcul des facteurs'!#REF!</f>
        <v>#REF!</v>
      </c>
      <c r="C802">
        <f>'nebuleair_export (1)'!C802*'Calcul des facteurs'!$B$4+'Calcul des facteurs'!$C$4</f>
        <v>8.8489421737694798</v>
      </c>
      <c r="D802">
        <f>'nebuleair_export (1)'!D802*'Calcul des facteurs'!$B$5+'Calcul des facteurs'!$C$5</f>
        <v>17.319578154851406</v>
      </c>
    </row>
    <row r="803" spans="1:4">
      <c r="A803" t="s">
        <v>2967</v>
      </c>
      <c r="B803" t="e">
        <f>'nebuleair_export (1)'!B803*'Calcul des facteurs'!#REF!+'Calcul des facteurs'!#REF!</f>
        <v>#REF!</v>
      </c>
      <c r="C803">
        <f>'nebuleair_export (1)'!C803*'Calcul des facteurs'!$B$4+'Calcul des facteurs'!$C$4</f>
        <v>7.3170260837984706</v>
      </c>
      <c r="D803">
        <f>'nebuleair_export (1)'!D803*'Calcul des facteurs'!$B$5+'Calcul des facteurs'!$C$5</f>
        <v>14.541205837258921</v>
      </c>
    </row>
    <row r="804" spans="1:4">
      <c r="A804" t="s">
        <v>2968</v>
      </c>
      <c r="B804" t="e">
        <f>'nebuleair_export (1)'!B804*'Calcul des facteurs'!#REF!+'Calcul des facteurs'!#REF!</f>
        <v>#REF!</v>
      </c>
      <c r="C804">
        <f>'nebuleair_export (1)'!C804*'Calcul des facteurs'!$B$4+'Calcul des facteurs'!$C$4</f>
        <v>7.3650138167373189</v>
      </c>
      <c r="D804">
        <f>'nebuleair_export (1)'!D804*'Calcul des facteurs'!$B$5+'Calcul des facteurs'!$C$5</f>
        <v>14.749583761078355</v>
      </c>
    </row>
    <row r="805" spans="1:4">
      <c r="A805" t="s">
        <v>2970</v>
      </c>
      <c r="B805" t="e">
        <f>'nebuleair_export (1)'!B805*'Calcul des facteurs'!#REF!+'Calcul des facteurs'!#REF!</f>
        <v>#REF!</v>
      </c>
      <c r="C805">
        <f>'nebuleair_export (1)'!C805*'Calcul des facteurs'!$B$4+'Calcul des facteurs'!$C$4</f>
        <v>7.1619887927652606</v>
      </c>
      <c r="D805">
        <f>'nebuleair_export (1)'!D805*'Calcul des facteurs'!$B$5+'Calcul des facteurs'!$C$5</f>
        <v>15.084800421135707</v>
      </c>
    </row>
    <row r="806" spans="1:4">
      <c r="A806" t="s">
        <v>2972</v>
      </c>
      <c r="B806" t="e">
        <f>'nebuleair_export (1)'!B806*'Calcul des facteurs'!#REF!+'Calcul des facteurs'!#REF!</f>
        <v>#REF!</v>
      </c>
      <c r="C806">
        <f>'nebuleair_export (1)'!C806*'Calcul des facteurs'!$B$4+'Calcul des facteurs'!$C$4</f>
        <v>5.9253818285718003</v>
      </c>
      <c r="D806">
        <f>'nebuleair_export (1)'!D806*'Calcul des facteurs'!$B$5+'Calcul des facteurs'!$C$5</f>
        <v>12.538965786646099</v>
      </c>
    </row>
    <row r="807" spans="1:4">
      <c r="A807" t="s">
        <v>2973</v>
      </c>
      <c r="B807" t="e">
        <f>'nebuleair_export (1)'!B807*'Calcul des facteurs'!#REF!+'Calcul des facteurs'!#REF!</f>
        <v>#REF!</v>
      </c>
      <c r="C807">
        <f>'nebuleair_export (1)'!C807*'Calcul des facteurs'!$B$4+'Calcul des facteurs'!$C$4</f>
        <v>4.3085643649397332</v>
      </c>
      <c r="D807">
        <f>'nebuleair_export (1)'!D807*'Calcul des facteurs'!$B$5+'Calcul des facteurs'!$C$5</f>
        <v>7.151339466445128</v>
      </c>
    </row>
    <row r="808" spans="1:4">
      <c r="A808" t="s">
        <v>2975</v>
      </c>
      <c r="B808" t="e">
        <f>'nebuleair_export (1)'!B808*'Calcul des facteurs'!#REF!+'Calcul des facteurs'!#REF!</f>
        <v>#REF!</v>
      </c>
      <c r="C808">
        <f>'nebuleair_export (1)'!C808*'Calcul des facteurs'!$B$4+'Calcul des facteurs'!$C$4</f>
        <v>4.5485030296339914</v>
      </c>
      <c r="D808">
        <f>'nebuleair_export (1)'!D808*'Calcul des facteurs'!$B$5+'Calcul des facteurs'!$C$5</f>
        <v>7.4080369088313924</v>
      </c>
    </row>
    <row r="809" spans="1:4">
      <c r="A809" t="s">
        <v>2976</v>
      </c>
      <c r="B809" t="e">
        <f>'nebuleair_export (1)'!B809*'Calcul des facteurs'!#REF!+'Calcul des facteurs'!#REF!</f>
        <v>#REF!</v>
      </c>
      <c r="C809">
        <f>'nebuleair_export (1)'!C809*'Calcul des facteurs'!$B$4+'Calcul des facteurs'!$C$4</f>
        <v>4.4894412044784868</v>
      </c>
      <c r="D809">
        <f>'nebuleair_export (1)'!D809*'Calcul des facteurs'!$B$5+'Calcul des facteurs'!$C$5</f>
        <v>8.187189145721451</v>
      </c>
    </row>
    <row r="810" spans="1:4">
      <c r="A810" t="s">
        <v>2978</v>
      </c>
      <c r="B810" t="e">
        <f>'nebuleair_export (1)'!B810*'Calcul des facteurs'!#REF!+'Calcul des facteurs'!#REF!</f>
        <v>#REF!</v>
      </c>
      <c r="C810">
        <f>'nebuleair_export (1)'!C810*'Calcul des facteurs'!$B$4+'Calcul des facteurs'!$C$4</f>
        <v>3.8508352199845426</v>
      </c>
      <c r="D810">
        <f>'nebuleair_export (1)'!D810*'Calcul des facteurs'!$B$5+'Calcul des facteurs'!$C$5</f>
        <v>6.6409645515830373</v>
      </c>
    </row>
    <row r="811" spans="1:4">
      <c r="A811" t="s">
        <v>2980</v>
      </c>
      <c r="B811" t="e">
        <f>'nebuleair_export (1)'!B811*'Calcul des facteurs'!#REF!+'Calcul des facteurs'!#REF!</f>
        <v>#REF!</v>
      </c>
      <c r="C811">
        <f>'nebuleair_export (1)'!C811*'Calcul des facteurs'!$B$4+'Calcul des facteurs'!$C$4</f>
        <v>3.8656006762734165</v>
      </c>
      <c r="D811">
        <f>'nebuleair_export (1)'!D811*'Calcul des facteurs'!$B$5+'Calcul des facteurs'!$C$5</f>
        <v>6.6681442807768772</v>
      </c>
    </row>
    <row r="812" spans="1:4">
      <c r="A812" t="s">
        <v>2982</v>
      </c>
      <c r="B812" t="e">
        <f>'nebuleair_export (1)'!B812*'Calcul des facteurs'!#REF!+'Calcul des facteurs'!#REF!</f>
        <v>#REF!</v>
      </c>
      <c r="C812">
        <f>'nebuleair_export (1)'!C812*'Calcul des facteurs'!$B$4+'Calcul des facteurs'!$C$4</f>
        <v>3.3488097061627209</v>
      </c>
      <c r="D812">
        <f>'nebuleair_export (1)'!D812*'Calcul des facteurs'!$B$5+'Calcul des facteurs'!$C$5</f>
        <v>6.088310057974974</v>
      </c>
    </row>
    <row r="813" spans="1:4">
      <c r="A813" t="s">
        <v>2984</v>
      </c>
      <c r="B813" t="e">
        <f>'nebuleair_export (1)'!B813*'Calcul des facteurs'!#REF!+'Calcul des facteurs'!#REF!</f>
        <v>#REF!</v>
      </c>
      <c r="C813">
        <f>'nebuleair_export (1)'!C813*'Calcul des facteurs'!$B$4+'Calcul des facteurs'!$C$4</f>
        <v>3.2823651528627731</v>
      </c>
      <c r="D813">
        <f>'nebuleair_export (1)'!D813*'Calcul des facteurs'!$B$5+'Calcul des facteurs'!$C$5</f>
        <v>6.0158307801247357</v>
      </c>
    </row>
    <row r="814" spans="1:4">
      <c r="A814" t="s">
        <v>2985</v>
      </c>
      <c r="B814" t="e">
        <f>'nebuleair_export (1)'!B814*'Calcul des facteurs'!#REF!+'Calcul des facteurs'!#REF!</f>
        <v>#REF!</v>
      </c>
      <c r="C814">
        <f>'nebuleair_export (1)'!C814*'Calcul des facteurs'!$B$4+'Calcul des facteurs'!$C$4</f>
        <v>3.2602169684294573</v>
      </c>
      <c r="D814">
        <f>'nebuleair_export (1)'!D814*'Calcul des facteurs'!$B$5+'Calcul des facteurs'!$C$5</f>
        <v>6.0369705694977283</v>
      </c>
    </row>
    <row r="815" spans="1:4">
      <c r="A815" t="s">
        <v>2987</v>
      </c>
      <c r="B815" t="e">
        <f>'nebuleair_export (1)'!B815*'Calcul des facteurs'!#REF!+'Calcul des facteurs'!#REF!</f>
        <v>#REF!</v>
      </c>
      <c r="C815">
        <f>'nebuleair_export (1)'!C815*'Calcul des facteurs'!$B$4+'Calcul des facteurs'!$C$4</f>
        <v>2.9538337504352512</v>
      </c>
      <c r="D815">
        <f>'nebuleair_export (1)'!D815*'Calcul des facteurs'!$B$5+'Calcul des facteurs'!$C$5</f>
        <v>5.632294601500563</v>
      </c>
    </row>
    <row r="816" spans="1:4">
      <c r="A816" t="s">
        <v>2989</v>
      </c>
      <c r="B816" t="e">
        <f>'nebuleair_export (1)'!B816*'Calcul des facteurs'!#REF!+'Calcul des facteurs'!#REF!</f>
        <v>#REF!</v>
      </c>
      <c r="C816">
        <f>'nebuleair_export (1)'!C816*'Calcul des facteurs'!$B$4+'Calcul des facteurs'!$C$4</f>
        <v>2.8320187360520146</v>
      </c>
      <c r="D816">
        <f>'nebuleair_export (1)'!D816*'Calcul des facteurs'!$B$5+'Calcul des facteurs'!$C$5</f>
        <v>5.5235756847252064</v>
      </c>
    </row>
    <row r="817" spans="1:4">
      <c r="A817" t="s">
        <v>2991</v>
      </c>
      <c r="B817" t="e">
        <f>'nebuleair_export (1)'!B817*'Calcul des facteurs'!#REF!+'Calcul des facteurs'!#REF!</f>
        <v>#REF!</v>
      </c>
      <c r="C817">
        <f>'nebuleair_export (1)'!C817*'Calcul des facteurs'!$B$4+'Calcul des facteurs'!$C$4</f>
        <v>2.4038205036745821</v>
      </c>
      <c r="D817">
        <f>'nebuleair_export (1)'!D817*'Calcul des facteurs'!$B$5+'Calcul des facteurs'!$C$5</f>
        <v>5.0373605291465235</v>
      </c>
    </row>
    <row r="818" spans="1:4">
      <c r="A818" t="s">
        <v>2992</v>
      </c>
      <c r="B818" t="e">
        <f>'nebuleair_export (1)'!B818*'Calcul des facteurs'!#REF!+'Calcul des facteurs'!#REF!</f>
        <v>#REF!</v>
      </c>
      <c r="C818">
        <f>'nebuleair_export (1)'!C818*'Calcul des facteurs'!$B$4+'Calcul des facteurs'!$C$4</f>
        <v>2.5846973432133247</v>
      </c>
      <c r="D818">
        <f>'nebuleair_export (1)'!D818*'Calcul des facteurs'!$B$5+'Calcul des facteurs'!$C$5</f>
        <v>5.2396985131451013</v>
      </c>
    </row>
    <row r="819" spans="1:4">
      <c r="A819" t="s">
        <v>2994</v>
      </c>
      <c r="B819" t="e">
        <f>'nebuleair_export (1)'!B819*'Calcul des facteurs'!#REF!+'Calcul des facteurs'!#REF!</f>
        <v>#REF!</v>
      </c>
      <c r="C819">
        <f>'nebuleair_export (1)'!C819*'Calcul des facteurs'!$B$4+'Calcul des facteurs'!$C$4</f>
        <v>2.9538337504352512</v>
      </c>
      <c r="D819">
        <f>'nebuleair_export (1)'!D819*'Calcul des facteurs'!$B$5+'Calcul des facteurs'!$C$5</f>
        <v>5.6594743306944029</v>
      </c>
    </row>
    <row r="820" spans="1:4">
      <c r="A820" t="s">
        <v>2995</v>
      </c>
      <c r="B820" t="e">
        <f>'nebuleair_export (1)'!B820*'Calcul des facteurs'!#REF!+'Calcul des facteurs'!#REF!</f>
        <v>#REF!</v>
      </c>
      <c r="C820">
        <f>'nebuleair_export (1)'!C820*'Calcul des facteurs'!$B$4+'Calcul des facteurs'!$C$4</f>
        <v>2.6326850761521716</v>
      </c>
      <c r="D820">
        <f>'nebuleair_export (1)'!D820*'Calcul des facteurs'!$B$5+'Calcul des facteurs'!$C$5</f>
        <v>5.3151977609057717</v>
      </c>
    </row>
    <row r="821" spans="1:4">
      <c r="A821" t="s">
        <v>2996</v>
      </c>
      <c r="B821" t="e">
        <f>'nebuleair_export (1)'!B821*'Calcul des facteurs'!#REF!+'Calcul des facteurs'!#REF!</f>
        <v>#REF!</v>
      </c>
      <c r="C821">
        <f>'nebuleair_export (1)'!C821*'Calcul des facteurs'!$B$4+'Calcul des facteurs'!$C$4</f>
        <v>2.7840310031131672</v>
      </c>
      <c r="D821">
        <f>'nebuleair_export (1)'!D821*'Calcul des facteurs'!$B$5+'Calcul des facteurs'!$C$5</f>
        <v>5.4571363466958243</v>
      </c>
    </row>
    <row r="822" spans="1:4">
      <c r="A822" t="s">
        <v>2998</v>
      </c>
      <c r="B822" t="e">
        <f>'nebuleair_export (1)'!B822*'Calcul des facteurs'!#REF!+'Calcul des facteurs'!#REF!</f>
        <v>#REF!</v>
      </c>
      <c r="C822">
        <f>'nebuleair_export (1)'!C822*'Calcul des facteurs'!$B$4+'Calcul des facteurs'!$C$4</f>
        <v>2.6400678042966144</v>
      </c>
      <c r="D822">
        <f>'nebuleair_export (1)'!D822*'Calcul des facteurs'!$B$5+'Calcul des facteurs'!$C$5</f>
        <v>5.3151977609057717</v>
      </c>
    </row>
    <row r="823" spans="1:4">
      <c r="A823" t="s">
        <v>2999</v>
      </c>
      <c r="B823" t="e">
        <f>'nebuleair_export (1)'!B823*'Calcul des facteurs'!#REF!+'Calcul des facteurs'!#REF!</f>
        <v>#REF!</v>
      </c>
      <c r="C823">
        <f>'nebuleair_export (1)'!C823*'Calcul des facteurs'!$B$4+'Calcul des facteurs'!$C$4</f>
        <v>2.7212778138854352</v>
      </c>
      <c r="D823">
        <f>'nebuleair_export (1)'!D823*'Calcul des facteurs'!$B$5+'Calcul des facteurs'!$C$5</f>
        <v>5.38767703875601</v>
      </c>
    </row>
    <row r="824" spans="1:4">
      <c r="A824" t="s">
        <v>3000</v>
      </c>
      <c r="B824" t="e">
        <f>'nebuleair_export (1)'!B824*'Calcul des facteurs'!#REF!+'Calcul des facteurs'!#REF!</f>
        <v>#REF!</v>
      </c>
      <c r="C824">
        <f>'nebuleair_export (1)'!C824*'Calcul des facteurs'!$B$4+'Calcul des facteurs'!$C$4</f>
        <v>2.4776477851189611</v>
      </c>
      <c r="D824">
        <f>'nebuleair_export (1)'!D824*'Calcul des facteurs'!$B$5+'Calcul des facteurs'!$C$5</f>
        <v>5.1279596264593206</v>
      </c>
    </row>
    <row r="825" spans="1:4">
      <c r="A825" t="s">
        <v>3002</v>
      </c>
      <c r="B825" t="e">
        <f>'nebuleair_export (1)'!B825*'Calcul des facteurs'!#REF!+'Calcul des facteurs'!#REF!</f>
        <v>#REF!</v>
      </c>
      <c r="C825">
        <f>'nebuleair_export (1)'!C825*'Calcul des facteurs'!$B$4+'Calcul des facteurs'!$C$4</f>
        <v>2.4444255084689872</v>
      </c>
      <c r="D825">
        <f>'nebuleair_export (1)'!D825*'Calcul des facteurs'!$B$5+'Calcul des facteurs'!$C$5</f>
        <v>5.1037998671759048</v>
      </c>
    </row>
    <row r="826" spans="1:4">
      <c r="A826" t="s">
        <v>3004</v>
      </c>
      <c r="B826" t="e">
        <f>'nebuleair_export (1)'!B826*'Calcul des facteurs'!#REF!+'Calcul des facteurs'!#REF!</f>
        <v>#REF!</v>
      </c>
      <c r="C826">
        <f>'nebuleair_export (1)'!C826*'Calcul des facteurs'!$B$4+'Calcul des facteurs'!$C$4</f>
        <v>2.3705982270245975</v>
      </c>
      <c r="D826">
        <f>'nebuleair_export (1)'!D826*'Calcul des facteurs'!$B$5+'Calcul des facteurs'!$C$5</f>
        <v>5.0101807999526837</v>
      </c>
    </row>
    <row r="827" spans="1:4">
      <c r="A827" t="s">
        <v>3005</v>
      </c>
      <c r="B827" t="e">
        <f>'nebuleair_export (1)'!B827*'Calcul des facteurs'!#REF!+'Calcul des facteurs'!#REF!</f>
        <v>#REF!</v>
      </c>
      <c r="C827">
        <f>'nebuleair_export (1)'!C827*'Calcul des facteurs'!$B$4+'Calcul des facteurs'!$C$4</f>
        <v>2.0494495527415291</v>
      </c>
      <c r="D827">
        <f>'nebuleair_export (1)'!D827*'Calcul des facteurs'!$B$5+'Calcul des facteurs'!$C$5</f>
        <v>4.6568443204327741</v>
      </c>
    </row>
    <row r="828" spans="1:4">
      <c r="A828" t="s">
        <v>3007</v>
      </c>
      <c r="B828" t="e">
        <f>'nebuleair_export (1)'!B828*'Calcul des facteurs'!#REF!+'Calcul des facteurs'!#REF!</f>
        <v>#REF!</v>
      </c>
      <c r="C828">
        <f>'nebuleair_export (1)'!C828*'Calcul des facteurs'!$B$4+'Calcul des facteurs'!$C$4</f>
        <v>2.0125359120193282</v>
      </c>
      <c r="D828">
        <f>'nebuleair_export (1)'!D828*'Calcul des facteurs'!$B$5+'Calcul des facteurs'!$C$5</f>
        <v>4.4273266072403565</v>
      </c>
    </row>
    <row r="829" spans="1:4">
      <c r="A829" t="s">
        <v>3008</v>
      </c>
      <c r="B829" t="e">
        <f>'nebuleair_export (1)'!B829*'Calcul des facteurs'!#REF!+'Calcul des facteurs'!#REF!</f>
        <v>#REF!</v>
      </c>
      <c r="C829">
        <f>'nebuleair_export (1)'!C829*'Calcul des facteurs'!$B$4+'Calcul des facteurs'!$C$4</f>
        <v>2.2709313970746874</v>
      </c>
      <c r="D829">
        <f>'nebuleair_export (1)'!D829*'Calcul des facteurs'!$B$5+'Calcul des facteurs'!$C$5</f>
        <v>6.8433025355816257</v>
      </c>
    </row>
    <row r="830" spans="1:4">
      <c r="A830" t="s">
        <v>3010</v>
      </c>
      <c r="B830" t="e">
        <f>'nebuleair_export (1)'!B830*'Calcul des facteurs'!#REF!+'Calcul des facteurs'!#REF!</f>
        <v>#REF!</v>
      </c>
      <c r="C830">
        <f>'nebuleair_export (1)'!C830*'Calcul des facteurs'!$B$4+'Calcul des facteurs'!$C$4</f>
        <v>2.141733654547008</v>
      </c>
      <c r="D830">
        <f>'nebuleair_export (1)'!D830*'Calcul des facteurs'!$B$5+'Calcul des facteurs'!$C$5</f>
        <v>4.7021438690891726</v>
      </c>
    </row>
    <row r="831" spans="1:4">
      <c r="A831" t="s">
        <v>3012</v>
      </c>
      <c r="B831" t="e">
        <f>'nebuleair_export (1)'!B831*'Calcul des facteurs'!#REF!+'Calcul des facteurs'!#REF!</f>
        <v>#REF!</v>
      </c>
      <c r="C831">
        <f>'nebuleair_export (1)'!C831*'Calcul des facteurs'!$B$4+'Calcul des facteurs'!$C$4</f>
        <v>1.905486353924976</v>
      </c>
      <c r="D831">
        <f>'nebuleair_export (1)'!D831*'Calcul des facteurs'!$B$5+'Calcul des facteurs'!$C$5</f>
        <v>4.6236246514180781</v>
      </c>
    </row>
    <row r="832" spans="1:4">
      <c r="A832" t="s">
        <v>3014</v>
      </c>
      <c r="B832" t="e">
        <f>'nebuleair_export (1)'!B832*'Calcul des facteurs'!#REF!+'Calcul des facteurs'!#REF!</f>
        <v>#REF!</v>
      </c>
      <c r="C832">
        <f>'nebuleair_export (1)'!C832*'Calcul des facteurs'!$B$4+'Calcul des facteurs'!$C$4</f>
        <v>2.20448684377474</v>
      </c>
      <c r="D832">
        <f>'nebuleair_export (1)'!D832*'Calcul des facteurs'!$B$5+'Calcul des facteurs'!$C$5</f>
        <v>5.4299566175019844</v>
      </c>
    </row>
    <row r="833" spans="1:4">
      <c r="A833" t="s">
        <v>3016</v>
      </c>
      <c r="B833" t="e">
        <f>'nebuleair_export (1)'!B833*'Calcul des facteurs'!#REF!+'Calcul des facteurs'!#REF!</f>
        <v>#REF!</v>
      </c>
      <c r="C833">
        <f>'nebuleair_export (1)'!C833*'Calcul des facteurs'!$B$4+'Calcul des facteurs'!$C$4</f>
        <v>2.374289591096824</v>
      </c>
      <c r="D833">
        <f>'nebuleair_export (1)'!D833*'Calcul des facteurs'!$B$5+'Calcul des facteurs'!$C$5</f>
        <v>5.2819780918910766</v>
      </c>
    </row>
    <row r="834" spans="1:4">
      <c r="A834" t="s">
        <v>3017</v>
      </c>
      <c r="B834" t="e">
        <f>'nebuleair_export (1)'!B834*'Calcul des facteurs'!#REF!+'Calcul des facteurs'!#REF!</f>
        <v>#REF!</v>
      </c>
      <c r="C834">
        <f>'nebuleair_export (1)'!C834*'Calcul des facteurs'!$B$4+'Calcul des facteurs'!$C$4</f>
        <v>2.374289591096824</v>
      </c>
      <c r="D834">
        <f>'nebuleair_export (1)'!D834*'Calcul des facteurs'!$B$5+'Calcul des facteurs'!$C$5</f>
        <v>5.4601563166062483</v>
      </c>
    </row>
    <row r="835" spans="1:4">
      <c r="A835" t="s">
        <v>3018</v>
      </c>
      <c r="B835" t="e">
        <f>'nebuleair_export (1)'!B835*'Calcul des facteurs'!#REF!+'Calcul des facteurs'!#REF!</f>
        <v>#REF!</v>
      </c>
      <c r="C835">
        <f>'nebuleair_export (1)'!C835*'Calcul des facteurs'!$B$4+'Calcul des facteurs'!$C$4</f>
        <v>2.4739564210467453</v>
      </c>
      <c r="D835">
        <f>'nebuleair_export (1)'!D835*'Calcul des facteurs'!$B$5+'Calcul des facteurs'!$C$5</f>
        <v>4.9467614318337265</v>
      </c>
    </row>
    <row r="836" spans="1:4">
      <c r="A836" t="s">
        <v>3020</v>
      </c>
      <c r="B836" t="e">
        <f>'nebuleair_export (1)'!B836*'Calcul des facteurs'!#REF!+'Calcul des facteurs'!#REF!</f>
        <v>#REF!</v>
      </c>
      <c r="C836">
        <f>'nebuleair_export (1)'!C836*'Calcul des facteurs'!$B$4+'Calcul des facteurs'!$C$4</f>
        <v>2.6695987168743724</v>
      </c>
      <c r="D836">
        <f>'nebuleair_export (1)'!D836*'Calcul des facteurs'!$B$5+'Calcul des facteurs'!$C$5</f>
        <v>5.783293097021895</v>
      </c>
    </row>
    <row r="837" spans="1:4">
      <c r="A837" t="s">
        <v>3022</v>
      </c>
      <c r="B837" t="e">
        <f>'nebuleair_export (1)'!B837*'Calcul des facteurs'!#REF!+'Calcul des facteurs'!#REF!</f>
        <v>#REF!</v>
      </c>
      <c r="C837">
        <f>'nebuleair_export (1)'!C837*'Calcul des facteurs'!$B$4+'Calcul des facteurs'!$C$4</f>
        <v>2.2155609359913977</v>
      </c>
      <c r="D837">
        <f>'nebuleair_export (1)'!D837*'Calcul des facteurs'!$B$5+'Calcul des facteurs'!$C$5</f>
        <v>6.4476864773157399</v>
      </c>
    </row>
    <row r="838" spans="1:4">
      <c r="A838" t="s">
        <v>3023</v>
      </c>
      <c r="B838" t="e">
        <f>'nebuleair_export (1)'!B838*'Calcul des facteurs'!#REF!+'Calcul des facteurs'!#REF!</f>
        <v>#REF!</v>
      </c>
      <c r="C838">
        <f>'nebuleair_export (1)'!C838*'Calcul des facteurs'!$B$4+'Calcul des facteurs'!$C$4</f>
        <v>3.6884152008069009</v>
      </c>
      <c r="D838">
        <f>'nebuleair_export (1)'!D838*'Calcul des facteurs'!$B$5+'Calcul des facteurs'!$C$5</f>
        <v>6.8493424754024721</v>
      </c>
    </row>
    <row r="839" spans="1:4">
      <c r="A839" t="s">
        <v>3025</v>
      </c>
      <c r="B839" t="e">
        <f>'nebuleair_export (1)'!B839*'Calcul des facteurs'!#REF!+'Calcul des facteurs'!#REF!</f>
        <v>#REF!</v>
      </c>
      <c r="C839">
        <f>'nebuleair_export (1)'!C839*'Calcul des facteurs'!$B$4+'Calcul des facteurs'!$C$4</f>
        <v>3.1642415025517519</v>
      </c>
      <c r="D839">
        <f>'nebuleair_export (1)'!D839*'Calcul des facteurs'!$B$5+'Calcul des facteurs'!$C$5</f>
        <v>7.3506574805332905</v>
      </c>
    </row>
    <row r="840" spans="1:4">
      <c r="A840" t="s">
        <v>3027</v>
      </c>
      <c r="B840" t="e">
        <f>'nebuleair_export (1)'!B840*'Calcul des facteurs'!#REF!+'Calcul des facteurs'!#REF!</f>
        <v>#REF!</v>
      </c>
      <c r="C840">
        <f>'nebuleair_export (1)'!C840*'Calcul des facteurs'!$B$4+'Calcul des facteurs'!$C$4</f>
        <v>3.3155874295127474</v>
      </c>
      <c r="D840">
        <f>'nebuleair_export (1)'!D840*'Calcul des facteurs'!$B$5+'Calcul des facteurs'!$C$5</f>
        <v>6.7949830170147942</v>
      </c>
    </row>
    <row r="841" spans="1:4">
      <c r="A841" t="s">
        <v>3029</v>
      </c>
      <c r="B841" t="e">
        <f>'nebuleair_export (1)'!B841*'Calcul des facteurs'!#REF!+'Calcul des facteurs'!#REF!</f>
        <v>#REF!</v>
      </c>
      <c r="C841">
        <f>'nebuleair_export (1)'!C841*'Calcul des facteurs'!$B$4+'Calcul des facteurs'!$C$4</f>
        <v>3.6108965552902843</v>
      </c>
      <c r="D841">
        <f>'nebuleair_export (1)'!D841*'Calcul des facteurs'!$B$5+'Calcul des facteurs'!$C$5</f>
        <v>6.6168047922996216</v>
      </c>
    </row>
    <row r="842" spans="1:4">
      <c r="A842" t="s">
        <v>3031</v>
      </c>
      <c r="B842" t="e">
        <f>'nebuleair_export (1)'!B842*'Calcul des facteurs'!#REF!+'Calcul des facteurs'!#REF!</f>
        <v>#REF!</v>
      </c>
      <c r="C842">
        <f>'nebuleair_export (1)'!C842*'Calcul des facteurs'!$B$4+'Calcul des facteurs'!$C$4</f>
        <v>2.6843641731632459</v>
      </c>
      <c r="D842">
        <f>'nebuleair_export (1)'!D842*'Calcul des facteurs'!$B$5+'Calcul des facteurs'!$C$5</f>
        <v>6.1094498473479657</v>
      </c>
    </row>
    <row r="843" spans="1:4">
      <c r="A843" t="s">
        <v>3033</v>
      </c>
      <c r="B843" t="e">
        <f>'nebuleair_export (1)'!B843*'Calcul des facteurs'!#REF!+'Calcul des facteurs'!#REF!</f>
        <v>#REF!</v>
      </c>
      <c r="C843">
        <f>'nebuleair_export (1)'!C843*'Calcul des facteurs'!$B$4+'Calcul des facteurs'!$C$4</f>
        <v>2.9427596582185935</v>
      </c>
      <c r="D843">
        <f>'nebuleair_export (1)'!D843*'Calcul des facteurs'!$B$5+'Calcul des facteurs'!$C$5</f>
        <v>6.2785681623318492</v>
      </c>
    </row>
    <row r="844" spans="1:4">
      <c r="A844" t="s">
        <v>3035</v>
      </c>
      <c r="B844" t="e">
        <f>'nebuleair_export (1)'!B844*'Calcul des facteurs'!#REF!+'Calcul des facteurs'!#REF!</f>
        <v>#REF!</v>
      </c>
      <c r="C844">
        <f>'nebuleair_export (1)'!C844*'Calcul des facteurs'!$B$4+'Calcul des facteurs'!$C$4</f>
        <v>1.9719309072249236</v>
      </c>
      <c r="D844">
        <f>'nebuleair_export (1)'!D844*'Calcul des facteurs'!$B$5+'Calcul des facteurs'!$C$5</f>
        <v>4.7625432672977075</v>
      </c>
    </row>
    <row r="845" spans="1:4">
      <c r="A845" t="s">
        <v>3037</v>
      </c>
      <c r="B845" t="e">
        <f>'nebuleair_export (1)'!B845*'Calcul des facteurs'!#REF!+'Calcul des facteurs'!#REF!</f>
        <v>#REF!</v>
      </c>
      <c r="C845">
        <f>'nebuleair_export (1)'!C845*'Calcul des facteurs'!$B$4+'Calcul des facteurs'!$C$4</f>
        <v>2.3632154988801664</v>
      </c>
      <c r="D845">
        <f>'nebuleair_export (1)'!D845*'Calcul des facteurs'!$B$5+'Calcul des facteurs'!$C$5</f>
        <v>5.8799321341555402</v>
      </c>
    </row>
    <row r="846" spans="1:4">
      <c r="A846" t="s">
        <v>3039</v>
      </c>
      <c r="B846" t="e">
        <f>'nebuleair_export (1)'!B846*'Calcul des facteurs'!#REF!+'Calcul des facteurs'!#REF!</f>
        <v>#REF!</v>
      </c>
      <c r="C846">
        <f>'nebuleair_export (1)'!C846*'Calcul des facteurs'!$B$4+'Calcul des facteurs'!$C$4</f>
        <v>3.17531559476841</v>
      </c>
      <c r="D846">
        <f>'nebuleair_export (1)'!D846*'Calcul des facteurs'!$B$5+'Calcul des facteurs'!$C$5</f>
        <v>5.5900150227545877</v>
      </c>
    </row>
    <row r="847" spans="1:4">
      <c r="A847" t="s">
        <v>3041</v>
      </c>
      <c r="B847" t="e">
        <f>'nebuleair_export (1)'!B847*'Calcul des facteurs'!#REF!+'Calcul des facteurs'!#REF!</f>
        <v>#REF!</v>
      </c>
      <c r="C847">
        <f>'nebuleair_export (1)'!C847*'Calcul des facteurs'!$B$4+'Calcul des facteurs'!$C$4</f>
        <v>3.8582179481289849</v>
      </c>
      <c r="D847">
        <f>'nebuleair_export (1)'!D847*'Calcul des facteurs'!$B$5+'Calcul des facteurs'!$C$5</f>
        <v>6.8131028364773538</v>
      </c>
    </row>
    <row r="848" spans="1:4">
      <c r="A848" t="s">
        <v>3042</v>
      </c>
      <c r="B848" t="e">
        <f>'nebuleair_export (1)'!B848*'Calcul des facteurs'!#REF!+'Calcul des facteurs'!#REF!</f>
        <v>#REF!</v>
      </c>
      <c r="C848">
        <f>'nebuleair_export (1)'!C848*'Calcul des facteurs'!$B$4+'Calcul des facteurs'!$C$4</f>
        <v>3.2712910606461154</v>
      </c>
      <c r="D848">
        <f>'nebuleair_export (1)'!D848*'Calcul des facteurs'!$B$5+'Calcul des facteurs'!$C$5</f>
        <v>6.2423285234067301</v>
      </c>
    </row>
    <row r="849" spans="1:4">
      <c r="A849" t="s">
        <v>3044</v>
      </c>
      <c r="B849" t="e">
        <f>'nebuleair_export (1)'!B849*'Calcul des facteurs'!#REF!+'Calcul des facteurs'!#REF!</f>
        <v>#REF!</v>
      </c>
      <c r="C849">
        <f>'nebuleair_export (1)'!C849*'Calcul des facteurs'!$B$4+'Calcul des facteurs'!$C$4</f>
        <v>1.8279677084083594</v>
      </c>
      <c r="D849">
        <f>'nebuleair_export (1)'!D849*'Calcul des facteurs'!$B$5+'Calcul des facteurs'!$C$5</f>
        <v>6.0128108102143125</v>
      </c>
    </row>
    <row r="850" spans="1:4">
      <c r="A850" t="s">
        <v>3046</v>
      </c>
      <c r="B850" t="e">
        <f>'nebuleair_export (1)'!B850*'Calcul des facteurs'!#REF!+'Calcul des facteurs'!#REF!</f>
        <v>#REF!</v>
      </c>
      <c r="C850">
        <f>'nebuleair_export (1)'!C850*'Calcul des facteurs'!$B$4+'Calcul des facteurs'!$C$4</f>
        <v>2.5071786976967192</v>
      </c>
      <c r="D850">
        <f>'nebuleair_export (1)'!D850*'Calcul des facteurs'!$B$5+'Calcul des facteurs'!$C$5</f>
        <v>6.1909890349294834</v>
      </c>
    </row>
    <row r="851" spans="1:4">
      <c r="A851" t="s">
        <v>3048</v>
      </c>
      <c r="B851" t="e">
        <f>'nebuleair_export (1)'!B851*'Calcul des facteurs'!#REF!+'Calcul des facteurs'!#REF!</f>
        <v>#REF!</v>
      </c>
      <c r="C851">
        <f>'nebuleair_export (1)'!C851*'Calcul des facteurs'!$B$4+'Calcul des facteurs'!$C$4</f>
        <v>2.2229436641358289</v>
      </c>
      <c r="D851">
        <f>'nebuleair_export (1)'!D851*'Calcul des facteurs'!$B$5+'Calcul des facteurs'!$C$5</f>
        <v>4.9135417628190394</v>
      </c>
    </row>
    <row r="852" spans="1:4">
      <c r="A852" t="s">
        <v>3050</v>
      </c>
      <c r="B852" t="e">
        <f>'nebuleair_export (1)'!B852*'Calcul des facteurs'!#REF!+'Calcul des facteurs'!#REF!</f>
        <v>#REF!</v>
      </c>
      <c r="C852">
        <f>'nebuleair_export (1)'!C852*'Calcul des facteurs'!$B$4+'Calcul des facteurs'!$C$4</f>
        <v>2.2303263922802712</v>
      </c>
      <c r="D852">
        <f>'nebuleair_export (1)'!D852*'Calcul des facteurs'!$B$5+'Calcul des facteurs'!$C$5</f>
        <v>5.568875233381605</v>
      </c>
    </row>
    <row r="853" spans="1:4">
      <c r="A853" t="s">
        <v>3052</v>
      </c>
      <c r="B853" t="e">
        <f>'nebuleair_export (1)'!B853*'Calcul des facteurs'!#REF!+'Calcul des facteurs'!#REF!</f>
        <v>#REF!</v>
      </c>
      <c r="C853">
        <f>'nebuleair_export (1)'!C853*'Calcul des facteurs'!$B$4+'Calcul des facteurs'!$C$4</f>
        <v>2.049449552741518</v>
      </c>
      <c r="D853">
        <f>'nebuleair_export (1)'!D853*'Calcul des facteurs'!$B$5+'Calcul des facteurs'!$C$5</f>
        <v>6.0460304792289987</v>
      </c>
    </row>
    <row r="854" spans="1:4">
      <c r="A854" t="s">
        <v>3054</v>
      </c>
      <c r="B854" t="e">
        <f>'nebuleair_export (1)'!B854*'Calcul des facteurs'!#REF!+'Calcul des facteurs'!#REF!</f>
        <v>#REF!</v>
      </c>
      <c r="C854">
        <f>'nebuleair_export (1)'!C854*'Calcul des facteurs'!$B$4+'Calcul des facteurs'!$C$4</f>
        <v>1.8611899850583331</v>
      </c>
      <c r="D854">
        <f>'nebuleair_export (1)'!D854*'Calcul des facteurs'!$B$5+'Calcul des facteurs'!$C$5</f>
        <v>4.4061868178673738</v>
      </c>
    </row>
    <row r="855" spans="1:4">
      <c r="A855" t="s">
        <v>3055</v>
      </c>
      <c r="B855" t="e">
        <f>'nebuleair_export (1)'!B855*'Calcul des facteurs'!#REF!+'Calcul des facteurs'!#REF!</f>
        <v>#REF!</v>
      </c>
      <c r="C855">
        <f>'nebuleair_export (1)'!C855*'Calcul des facteurs'!$B$4+'Calcul des facteurs'!$C$4</f>
        <v>2.0715977371748449</v>
      </c>
      <c r="D855">
        <f>'nebuleair_export (1)'!D855*'Calcul des facteurs'!$B$5+'Calcul des facteurs'!$C$5</f>
        <v>5.568875233381605</v>
      </c>
    </row>
    <row r="856" spans="1:4">
      <c r="A856" t="s">
        <v>3057</v>
      </c>
      <c r="B856" t="e">
        <f>'nebuleair_export (1)'!B856*'Calcul des facteurs'!#REF!+'Calcul des facteurs'!#REF!</f>
        <v>#REF!</v>
      </c>
      <c r="C856">
        <f>'nebuleair_export (1)'!C856*'Calcul des facteurs'!$B$4+'Calcul des facteurs'!$C$4</f>
        <v>2.3447586785190659</v>
      </c>
      <c r="D856">
        <f>'nebuleair_export (1)'!D856*'Calcul des facteurs'!$B$5+'Calcul des facteurs'!$C$5</f>
        <v>6.1003899376166775</v>
      </c>
    </row>
    <row r="857" spans="1:4">
      <c r="A857" t="s">
        <v>3059</v>
      </c>
      <c r="B857" t="e">
        <f>'nebuleair_export (1)'!B857*'Calcul des facteurs'!#REF!+'Calcul des facteurs'!#REF!</f>
        <v>#REF!</v>
      </c>
      <c r="C857">
        <f>'nebuleair_export (1)'!C857*'Calcul des facteurs'!$B$4+'Calcul des facteurs'!$C$4</f>
        <v>2.7471173623909668</v>
      </c>
      <c r="D857">
        <f>'nebuleair_export (1)'!D857*'Calcul des facteurs'!$B$5+'Calcul des facteurs'!$C$5</f>
        <v>5.3091578210849155</v>
      </c>
    </row>
    <row r="858" spans="1:4">
      <c r="A858" t="s">
        <v>3061</v>
      </c>
      <c r="B858" t="e">
        <f>'nebuleair_export (1)'!B858*'Calcul des facteurs'!#REF!+'Calcul des facteurs'!#REF!</f>
        <v>#REF!</v>
      </c>
      <c r="C858">
        <f>'nebuleair_export (1)'!C858*'Calcul des facteurs'!$B$4+'Calcul des facteurs'!$C$4</f>
        <v>3.6551929241569159</v>
      </c>
      <c r="D858">
        <f>'nebuleair_export (1)'!D858*'Calcul des facteurs'!$B$5+'Calcul des facteurs'!$C$5</f>
        <v>7.2962980221456029</v>
      </c>
    </row>
    <row r="859" spans="1:4">
      <c r="A859" t="s">
        <v>3062</v>
      </c>
      <c r="B859" t="e">
        <f>'nebuleair_export (1)'!B859*'Calcul des facteurs'!#REF!+'Calcul des facteurs'!#REF!</f>
        <v>#REF!</v>
      </c>
      <c r="C859">
        <f>'nebuleair_export (1)'!C859*'Calcul des facteurs'!$B$4+'Calcul des facteurs'!$C$4</f>
        <v>4.0206379673066381</v>
      </c>
      <c r="D859">
        <f>'nebuleair_export (1)'!D859*'Calcul des facteurs'!$B$5+'Calcul des facteurs'!$C$5</f>
        <v>6.9671213019091089</v>
      </c>
    </row>
    <row r="860" spans="1:4">
      <c r="A860" t="s">
        <v>3064</v>
      </c>
      <c r="B860" t="e">
        <f>'nebuleair_export (1)'!B860*'Calcul des facteurs'!#REF!+'Calcul des facteurs'!#REF!</f>
        <v>#REF!</v>
      </c>
      <c r="C860">
        <f>'nebuleair_export (1)'!C860*'Calcul des facteurs'!$B$4+'Calcul des facteurs'!$C$4</f>
        <v>3.7548597541068371</v>
      </c>
      <c r="D860">
        <f>'nebuleair_export (1)'!D860*'Calcul des facteurs'!$B$5+'Calcul des facteurs'!$C$5</f>
        <v>7.1392595868034245</v>
      </c>
    </row>
    <row r="861" spans="1:4">
      <c r="A861" t="s">
        <v>3066</v>
      </c>
      <c r="B861" t="e">
        <f>'nebuleair_export (1)'!B861*'Calcul des facteurs'!#REF!+'Calcul des facteurs'!#REF!</f>
        <v>#REF!</v>
      </c>
      <c r="C861">
        <f>'nebuleair_export (1)'!C861*'Calcul des facteurs'!$B$4+'Calcul des facteurs'!$C$4</f>
        <v>3.9172797732844904</v>
      </c>
      <c r="D861">
        <f>'nebuleair_export (1)'!D861*'Calcul des facteurs'!$B$5+'Calcul des facteurs'!$C$5</f>
        <v>7.9274717334247624</v>
      </c>
    </row>
    <row r="862" spans="1:4">
      <c r="A862" t="s">
        <v>3068</v>
      </c>
      <c r="B862" t="e">
        <f>'nebuleair_export (1)'!B862*'Calcul des facteurs'!#REF!+'Calcul des facteurs'!#REF!</f>
        <v>#REF!</v>
      </c>
      <c r="C862">
        <f>'nebuleair_export (1)'!C862*'Calcul des facteurs'!$B$4+'Calcul des facteurs'!$C$4</f>
        <v>5.0468371793835978</v>
      </c>
      <c r="D862">
        <f>'nebuleair_export (1)'!D862*'Calcul des facteurs'!$B$5+'Calcul des facteurs'!$C$5</f>
        <v>9.739453679680711</v>
      </c>
    </row>
    <row r="863" spans="1:4">
      <c r="A863" t="s">
        <v>3069</v>
      </c>
      <c r="B863" t="e">
        <f>'nebuleair_export (1)'!B863*'Calcul des facteurs'!#REF!+'Calcul des facteurs'!#REF!</f>
        <v>#REF!</v>
      </c>
      <c r="C863">
        <f>'nebuleair_export (1)'!C863*'Calcul des facteurs'!$B$4+'Calcul des facteurs'!$C$4</f>
        <v>5.8552459111996269</v>
      </c>
      <c r="D863">
        <f>'nebuleair_export (1)'!D863*'Calcul des facteurs'!$B$5+'Calcul des facteurs'!$C$5</f>
        <v>11.182999296864622</v>
      </c>
    </row>
    <row r="864" spans="1:4">
      <c r="A864" t="s">
        <v>3071</v>
      </c>
      <c r="B864" t="e">
        <f>'nebuleair_export (1)'!B864*'Calcul des facteurs'!#REF!+'Calcul des facteurs'!#REF!</f>
        <v>#REF!</v>
      </c>
      <c r="C864">
        <f>'nebuleair_export (1)'!C864*'Calcul des facteurs'!$B$4+'Calcul des facteurs'!$C$4</f>
        <v>4.8401207913393236</v>
      </c>
      <c r="D864">
        <f>'nebuleair_export (1)'!D864*'Calcul des facteurs'!$B$5+'Calcul des facteurs'!$C$5</f>
        <v>9.5733553346072533</v>
      </c>
    </row>
    <row r="865" spans="1:4">
      <c r="A865" t="s">
        <v>3072</v>
      </c>
      <c r="B865" t="e">
        <f>'nebuleair_export (1)'!B865*'Calcul des facteurs'!#REF!+'Calcul des facteurs'!#REF!</f>
        <v>#REF!</v>
      </c>
      <c r="C865">
        <f>'nebuleair_export (1)'!C865*'Calcul des facteurs'!$B$4+'Calcul des facteurs'!$C$4</f>
        <v>4.0760084283899172</v>
      </c>
      <c r="D865">
        <f>'nebuleair_export (1)'!D865*'Calcul des facteurs'!$B$5+'Calcul des facteurs'!$C$5</f>
        <v>6.8855821143275913</v>
      </c>
    </row>
    <row r="866" spans="1:4">
      <c r="A866" t="s">
        <v>3074</v>
      </c>
      <c r="B866" t="e">
        <f>'nebuleair_export (1)'!B866*'Calcul des facteurs'!#REF!+'Calcul des facteurs'!#REF!</f>
        <v>#REF!</v>
      </c>
      <c r="C866">
        <f>'nebuleair_export (1)'!C866*'Calcul des facteurs'!$B$4+'Calcul des facteurs'!$C$4</f>
        <v>3.8545265840567589</v>
      </c>
      <c r="D866">
        <f>'nebuleair_export (1)'!D866*'Calcul des facteurs'!$B$5+'Calcul des facteurs'!$C$5</f>
        <v>6.8010229568356504</v>
      </c>
    </row>
    <row r="867" spans="1:4">
      <c r="A867" t="s">
        <v>3076</v>
      </c>
      <c r="B867" t="e">
        <f>'nebuleair_export (1)'!B867*'Calcul des facteurs'!#REF!+'Calcul des facteurs'!#REF!</f>
        <v>#REF!</v>
      </c>
      <c r="C867">
        <f>'nebuleair_export (1)'!C867*'Calcul des facteurs'!$B$4+'Calcul des facteurs'!$C$4</f>
        <v>5.3901340380999931</v>
      </c>
      <c r="D867">
        <f>'nebuleair_export (1)'!D867*'Calcul des facteurs'!$B$5+'Calcul des facteurs'!$C$5</f>
        <v>9.9176319043958827</v>
      </c>
    </row>
    <row r="868" spans="1:4">
      <c r="A868" t="s">
        <v>3077</v>
      </c>
      <c r="B868" t="e">
        <f>'nebuleair_export (1)'!B868*'Calcul des facteurs'!#REF!+'Calcul des facteurs'!#REF!</f>
        <v>#REF!</v>
      </c>
      <c r="C868">
        <f>'nebuleair_export (1)'!C868*'Calcul des facteurs'!$B$4+'Calcul des facteurs'!$C$4</f>
        <v>3.9505020499344643</v>
      </c>
      <c r="D868">
        <f>'nebuleair_export (1)'!D868*'Calcul des facteurs'!$B$5+'Calcul des facteurs'!$C$5</f>
        <v>7.3113978716977392</v>
      </c>
    </row>
    <row r="869" spans="1:4">
      <c r="A869" t="s">
        <v>3079</v>
      </c>
      <c r="B869" t="e">
        <f>'nebuleair_export (1)'!B869*'Calcul des facteurs'!#REF!+'Calcul des facteurs'!#REF!</f>
        <v>#REF!</v>
      </c>
      <c r="C869">
        <f>'nebuleair_export (1)'!C869*'Calcul des facteurs'!$B$4+'Calcul des facteurs'!$C$4</f>
        <v>4.8991826164948291</v>
      </c>
      <c r="D869">
        <f>'nebuleair_export (1)'!D869*'Calcul des facteurs'!$B$5+'Calcul des facteurs'!$C$5</f>
        <v>9.2109589453560616</v>
      </c>
    </row>
    <row r="870" spans="1:4">
      <c r="A870" t="s">
        <v>3080</v>
      </c>
      <c r="B870" t="e">
        <f>'nebuleair_export (1)'!B870*'Calcul des facteurs'!#REF!+'Calcul des facteurs'!#REF!</f>
        <v>#REF!</v>
      </c>
      <c r="C870">
        <f>'nebuleair_export (1)'!C870*'Calcul des facteurs'!$B$4+'Calcul des facteurs'!$C$4</f>
        <v>4.1129220691121171</v>
      </c>
      <c r="D870">
        <f>'nebuleair_export (1)'!D870*'Calcul des facteurs'!$B$5+'Calcul des facteurs'!$C$5</f>
        <v>8.9059419844029737</v>
      </c>
    </row>
    <row r="871" spans="1:4">
      <c r="A871" t="s">
        <v>3082</v>
      </c>
      <c r="B871" t="e">
        <f>'nebuleair_export (1)'!B871*'Calcul des facteurs'!#REF!+'Calcul des facteurs'!#REF!</f>
        <v>#REF!</v>
      </c>
      <c r="C871">
        <f>'nebuleair_export (1)'!C871*'Calcul des facteurs'!$B$4+'Calcul des facteurs'!$C$4</f>
        <v>4.6592439518005708</v>
      </c>
      <c r="D871">
        <f>'nebuleair_export (1)'!D871*'Calcul des facteurs'!$B$5+'Calcul des facteurs'!$C$5</f>
        <v>7.5439355548005897</v>
      </c>
    </row>
    <row r="872" spans="1:4">
      <c r="A872" t="s">
        <v>3084</v>
      </c>
      <c r="B872" t="e">
        <f>'nebuleair_export (1)'!B872*'Calcul des facteurs'!#REF!+'Calcul des facteurs'!#REF!</f>
        <v>#REF!</v>
      </c>
      <c r="C872">
        <f>'nebuleair_export (1)'!C872*'Calcul des facteurs'!$B$4+'Calcul des facteurs'!$C$4</f>
        <v>4.1461443457620906</v>
      </c>
      <c r="D872">
        <f>'nebuleair_export (1)'!D872*'Calcul des facteurs'!$B$5+'Calcul des facteurs'!$C$5</f>
        <v>6.9641013319986849</v>
      </c>
    </row>
    <row r="873" spans="1:4">
      <c r="A873" t="s">
        <v>3086</v>
      </c>
      <c r="B873" t="e">
        <f>'nebuleair_export (1)'!B873*'Calcul des facteurs'!#REF!+'Calcul des facteurs'!#REF!</f>
        <v>#REF!</v>
      </c>
      <c r="C873">
        <f>'nebuleair_export (1)'!C873*'Calcul des facteurs'!$B$4+'Calcul des facteurs'!$C$4</f>
        <v>3.4706247205459584</v>
      </c>
      <c r="D873">
        <f>'nebuleair_export (1)'!D873*'Calcul des facteurs'!$B$5+'Calcul des facteurs'!$C$5</f>
        <v>7.0486604894906266</v>
      </c>
    </row>
    <row r="874" spans="1:4">
      <c r="A874" t="s">
        <v>3087</v>
      </c>
      <c r="B874" t="e">
        <f>'nebuleair_export (1)'!B874*'Calcul des facteurs'!#REF!+'Calcul des facteurs'!#REF!</f>
        <v>#REF!</v>
      </c>
      <c r="C874">
        <f>'nebuleair_export (1)'!C874*'Calcul des facteurs'!$B$4+'Calcul des facteurs'!$C$4</f>
        <v>4.4303793793229707</v>
      </c>
      <c r="D874">
        <f>'nebuleair_export (1)'!D874*'Calcul des facteurs'!$B$5+'Calcul des facteurs'!$C$5</f>
        <v>7.278178202683053</v>
      </c>
    </row>
    <row r="875" spans="1:4">
      <c r="A875" t="s">
        <v>3089</v>
      </c>
      <c r="B875" t="e">
        <f>'nebuleair_export (1)'!B875*'Calcul des facteurs'!#REF!+'Calcul des facteurs'!#REF!</f>
        <v>#REF!</v>
      </c>
      <c r="C875">
        <f>'nebuleair_export (1)'!C875*'Calcul des facteurs'!$B$4+'Calcul des facteurs'!$C$4</f>
        <v>4.0538602439566116</v>
      </c>
      <c r="D875">
        <f>'nebuleair_export (1)'!D875*'Calcul des facteurs'!$B$5+'Calcul des facteurs'!$C$5</f>
        <v>6.8674622948650317</v>
      </c>
    </row>
    <row r="876" spans="1:4">
      <c r="A876" t="s">
        <v>3091</v>
      </c>
      <c r="B876" t="e">
        <f>'nebuleair_export (1)'!B876*'Calcul des facteurs'!#REF!+'Calcul des facteurs'!#REF!</f>
        <v>#REF!</v>
      </c>
      <c r="C876">
        <f>'nebuleair_export (1)'!C876*'Calcul des facteurs'!$B$4+'Calcul des facteurs'!$C$4</f>
        <v>3.1900810510572835</v>
      </c>
      <c r="D876">
        <f>'nebuleair_export (1)'!D876*'Calcul des facteurs'!$B$5+'Calcul des facteurs'!$C$5</f>
        <v>5.9101318332598112</v>
      </c>
    </row>
    <row r="877" spans="1:4">
      <c r="A877" t="s">
        <v>3092</v>
      </c>
      <c r="B877" t="e">
        <f>'nebuleair_export (1)'!B877*'Calcul des facteurs'!#REF!+'Calcul des facteurs'!#REF!</f>
        <v>#REF!</v>
      </c>
      <c r="C877">
        <f>'nebuleair_export (1)'!C877*'Calcul des facteurs'!$B$4+'Calcul des facteurs'!$C$4</f>
        <v>5.194491742272378</v>
      </c>
      <c r="D877">
        <f>'nebuleair_export (1)'!D877*'Calcul des facteurs'!$B$5+'Calcul des facteurs'!$C$5</f>
        <v>8.1328296873337713</v>
      </c>
    </row>
    <row r="878" spans="1:4">
      <c r="A878" t="s">
        <v>3094</v>
      </c>
      <c r="B878" t="e">
        <f>'nebuleair_export (1)'!B878*'Calcul des facteurs'!#REF!+'Calcul des facteurs'!#REF!</f>
        <v>#REF!</v>
      </c>
      <c r="C878">
        <f>'nebuleair_export (1)'!C878*'Calcul des facteurs'!$B$4+'Calcul des facteurs'!$C$4</f>
        <v>7.9519407042201991</v>
      </c>
      <c r="D878">
        <f>'nebuleair_export (1)'!D878*'Calcul des facteurs'!$B$5+'Calcul des facteurs'!$C$5</f>
        <v>11.176959357043767</v>
      </c>
    </row>
    <row r="879" spans="1:4">
      <c r="A879" t="s">
        <v>3095</v>
      </c>
      <c r="B879" t="e">
        <f>'nebuleair_export (1)'!B879*'Calcul des facteurs'!#REF!+'Calcul des facteurs'!#REF!</f>
        <v>#REF!</v>
      </c>
      <c r="C879">
        <f>'nebuleair_export (1)'!C879*'Calcul des facteurs'!$B$4+'Calcul des facteurs'!$C$4</f>
        <v>6.6415064585823389</v>
      </c>
      <c r="D879">
        <f>'nebuleair_export (1)'!D879*'Calcul des facteurs'!$B$5+'Calcul des facteurs'!$C$5</f>
        <v>9.7303937699494298</v>
      </c>
    </row>
    <row r="880" spans="1:4">
      <c r="A880" t="s">
        <v>3097</v>
      </c>
      <c r="B880" t="e">
        <f>'nebuleair_export (1)'!B880*'Calcul des facteurs'!#REF!+'Calcul des facteurs'!#REF!</f>
        <v>#REF!</v>
      </c>
      <c r="C880">
        <f>'nebuleair_export (1)'!C880*'Calcul des facteurs'!$B$4+'Calcul des facteurs'!$C$4</f>
        <v>7.2764210790040549</v>
      </c>
      <c r="D880">
        <f>'nebuleair_export (1)'!D880*'Calcul des facteurs'!$B$5+'Calcul des facteurs'!$C$5</f>
        <v>10.437066728989251</v>
      </c>
    </row>
    <row r="881" spans="1:4">
      <c r="A881" t="s">
        <v>3099</v>
      </c>
      <c r="B881" t="e">
        <f>'nebuleair_export (1)'!B881*'Calcul des facteurs'!#REF!+'Calcul des facteurs'!#REF!</f>
        <v>#REF!</v>
      </c>
      <c r="C881">
        <f>'nebuleair_export (1)'!C881*'Calcul des facteurs'!$B$4+'Calcul des facteurs'!$C$4</f>
        <v>5.6300727027942523</v>
      </c>
      <c r="D881">
        <f>'nebuleair_export (1)'!D881*'Calcul des facteurs'!$B$5+'Calcul des facteurs'!$C$5</f>
        <v>8.5888451438081823</v>
      </c>
    </row>
    <row r="882" spans="1:4">
      <c r="A882" t="s">
        <v>3101</v>
      </c>
      <c r="B882" t="e">
        <f>'nebuleair_export (1)'!B882*'Calcul des facteurs'!#REF!+'Calcul des facteurs'!#REF!</f>
        <v>#REF!</v>
      </c>
      <c r="C882">
        <f>'nebuleair_export (1)'!C882*'Calcul des facteurs'!$B$4+'Calcul des facteurs'!$C$4</f>
        <v>4.3417866415897182</v>
      </c>
      <c r="D882">
        <f>'nebuleair_export (1)'!D882*'Calcul des facteurs'!$B$5+'Calcul des facteurs'!$C$5</f>
        <v>7.187579105370256</v>
      </c>
    </row>
    <row r="883" spans="1:4">
      <c r="A883" t="s">
        <v>3103</v>
      </c>
      <c r="B883" t="e">
        <f>'nebuleair_export (1)'!B883*'Calcul des facteurs'!#REF!+'Calcul des facteurs'!#REF!</f>
        <v>#REF!</v>
      </c>
      <c r="C883">
        <f>'nebuleair_export (1)'!C883*'Calcul des facteurs'!$B$4+'Calcul des facteurs'!$C$4</f>
        <v>5.224022654850125</v>
      </c>
      <c r="D883">
        <f>'nebuleair_export (1)'!D883*'Calcul des facteurs'!$B$5+'Calcul des facteurs'!$C$5</f>
        <v>8.1539694767067559</v>
      </c>
    </row>
    <row r="884" spans="1:4">
      <c r="A884" t="s">
        <v>3105</v>
      </c>
      <c r="B884" t="e">
        <f>'nebuleair_export (1)'!B884*'Calcul des facteurs'!#REF!+'Calcul des facteurs'!#REF!</f>
        <v>#REF!</v>
      </c>
      <c r="C884">
        <f>'nebuleair_export (1)'!C884*'Calcul des facteurs'!$B$4+'Calcul des facteurs'!$C$4</f>
        <v>4.6813921362338871</v>
      </c>
      <c r="D884">
        <f>'nebuleair_export (1)'!D884*'Calcul des facteurs'!$B$5+'Calcul des facteurs'!$C$5</f>
        <v>7.5650753441735725</v>
      </c>
    </row>
    <row r="885" spans="1:4">
      <c r="A885" t="s">
        <v>3107</v>
      </c>
      <c r="B885" t="e">
        <f>'nebuleair_export (1)'!B885*'Calcul des facteurs'!#REF!+'Calcul des facteurs'!#REF!</f>
        <v>#REF!</v>
      </c>
      <c r="C885">
        <f>'nebuleair_export (1)'!C885*'Calcul des facteurs'!$B$4+'Calcul des facteurs'!$C$4</f>
        <v>3.2565256043572419</v>
      </c>
      <c r="D885">
        <f>'nebuleair_export (1)'!D885*'Calcul des facteurs'!$B$5+'Calcul des facteurs'!$C$5</f>
        <v>5.9795911411996165</v>
      </c>
    </row>
    <row r="886" spans="1:4">
      <c r="A886" t="s">
        <v>3109</v>
      </c>
      <c r="B886" t="e">
        <f>'nebuleair_export (1)'!B886*'Calcul des facteurs'!#REF!+'Calcul des facteurs'!#REF!</f>
        <v>#REF!</v>
      </c>
      <c r="C886">
        <f>'nebuleair_export (1)'!C886*'Calcul des facteurs'!$B$4+'Calcul des facteurs'!$C$4</f>
        <v>3.3672665265238213</v>
      </c>
      <c r="D886">
        <f>'nebuleair_export (1)'!D886*'Calcul des facteurs'!$B$5+'Calcul des facteurs'!$C$5</f>
        <v>6.1064298774375336</v>
      </c>
    </row>
    <row r="887" spans="1:4">
      <c r="A887" t="s">
        <v>3111</v>
      </c>
      <c r="B887" t="e">
        <f>'nebuleair_export (1)'!B887*'Calcul des facteurs'!#REF!+'Calcul des facteurs'!#REF!</f>
        <v>#REF!</v>
      </c>
      <c r="C887">
        <f>'nebuleair_export (1)'!C887*'Calcul des facteurs'!$B$4+'Calcul des facteurs'!$C$4</f>
        <v>3.4263283516793264</v>
      </c>
      <c r="D887">
        <f>'nebuleair_export (1)'!D887*'Calcul des facteurs'!$B$5+'Calcul des facteurs'!$C$5</f>
        <v>6.1638093057356445</v>
      </c>
    </row>
    <row r="888" spans="1:4">
      <c r="A888" t="s">
        <v>3113</v>
      </c>
      <c r="B888" t="e">
        <f>'nebuleair_export (1)'!B888*'Calcul des facteurs'!#REF!+'Calcul des facteurs'!#REF!</f>
        <v>#REF!</v>
      </c>
      <c r="C888">
        <f>'nebuleair_export (1)'!C888*'Calcul des facteurs'!$B$4+'Calcul des facteurs'!$C$4</f>
        <v>3.6699583804458005</v>
      </c>
      <c r="D888">
        <f>'nebuleair_export (1)'!D888*'Calcul des facteurs'!$B$5+'Calcul des facteurs'!$C$5</f>
        <v>6.4597663569574433</v>
      </c>
    </row>
    <row r="889" spans="1:4">
      <c r="A889" t="s">
        <v>3115</v>
      </c>
      <c r="B889" t="e">
        <f>'nebuleair_export (1)'!B889*'Calcul des facteurs'!#REF!+'Calcul des facteurs'!#REF!</f>
        <v>#REF!</v>
      </c>
      <c r="C889">
        <f>'nebuleair_export (1)'!C889*'Calcul des facteurs'!$B$4+'Calcul des facteurs'!$C$4</f>
        <v>4.1055393409676748</v>
      </c>
      <c r="D889">
        <f>'nebuleair_export (1)'!D889*'Calcul des facteurs'!$B$5+'Calcul des facteurs'!$C$5</f>
        <v>6.9278616930735666</v>
      </c>
    </row>
    <row r="890" spans="1:4">
      <c r="A890" t="s">
        <v>3116</v>
      </c>
      <c r="B890" t="e">
        <f>'nebuleair_export (1)'!B890*'Calcul des facteurs'!#REF!+'Calcul des facteurs'!#REF!</f>
        <v>#REF!</v>
      </c>
      <c r="C890">
        <f>'nebuleair_export (1)'!C890*'Calcul des facteurs'!$B$4+'Calcul des facteurs'!$C$4</f>
        <v>6.5418396286324167</v>
      </c>
      <c r="D890">
        <f>'nebuleair_export (1)'!D890*'Calcul des facteurs'!$B$5+'Calcul des facteurs'!$C$5</f>
        <v>9.6186548832636518</v>
      </c>
    </row>
    <row r="891" spans="1:4">
      <c r="A891" t="s">
        <v>3117</v>
      </c>
      <c r="B891" t="e">
        <f>'nebuleair_export (1)'!B891*'Calcul des facteurs'!#REF!+'Calcul des facteurs'!#REF!</f>
        <v>#REF!</v>
      </c>
      <c r="C891">
        <f>'nebuleair_export (1)'!C891*'Calcul des facteurs'!$B$4+'Calcul des facteurs'!$C$4</f>
        <v>5.1649608296946194</v>
      </c>
      <c r="D891">
        <f>'nebuleair_export (1)'!D891*'Calcul des facteurs'!$B$5+'Calcul des facteurs'!$C$5</f>
        <v>8.0965900484086539</v>
      </c>
    </row>
    <row r="892" spans="1:4">
      <c r="A892" t="s">
        <v>3119</v>
      </c>
      <c r="B892" t="e">
        <f>'nebuleair_export (1)'!B892*'Calcul des facteurs'!#REF!+'Calcul des facteurs'!#REF!</f>
        <v>#REF!</v>
      </c>
      <c r="C892">
        <f>'nebuleair_export (1)'!C892*'Calcul des facteurs'!$B$4+'Calcul des facteurs'!$C$4</f>
        <v>6.3757282453825486</v>
      </c>
      <c r="D892">
        <f>'nebuleair_export (1)'!D892*'Calcul des facteurs'!$B$5+'Calcul des facteurs'!$C$5</f>
        <v>9.4344367187276319</v>
      </c>
    </row>
    <row r="893" spans="1:4">
      <c r="A893" t="s">
        <v>3121</v>
      </c>
      <c r="B893" t="e">
        <f>'nebuleair_export (1)'!B893*'Calcul des facteurs'!#REF!+'Calcul des facteurs'!#REF!</f>
        <v>#REF!</v>
      </c>
      <c r="C893">
        <f>'nebuleair_export (1)'!C893*'Calcul des facteurs'!$B$4+'Calcul des facteurs'!$C$4</f>
        <v>8.9855226444416019</v>
      </c>
      <c r="D893">
        <f>'nebuleair_export (1)'!D893*'Calcul des facteurs'!$B$5+'Calcul des facteurs'!$C$5</f>
        <v>12.327567892916267</v>
      </c>
    </row>
    <row r="894" spans="1:4">
      <c r="A894" t="s">
        <v>3123</v>
      </c>
      <c r="B894" t="e">
        <f>'nebuleair_export (1)'!B894*'Calcul des facteurs'!#REF!+'Calcul des facteurs'!#REF!</f>
        <v>#REF!</v>
      </c>
      <c r="C894">
        <f>'nebuleair_export (1)'!C894*'Calcul des facteurs'!$B$4+'Calcul des facteurs'!$C$4</f>
        <v>7.9593234323646307</v>
      </c>
      <c r="D894">
        <f>'nebuleair_export (1)'!D894*'Calcul des facteurs'!$B$5+'Calcul des facteurs'!$C$5</f>
        <v>11.173939387133343</v>
      </c>
    </row>
    <row r="895" spans="1:4">
      <c r="A895" t="s">
        <v>3125</v>
      </c>
      <c r="B895" t="e">
        <f>'nebuleair_export (1)'!B895*'Calcul des facteurs'!#REF!+'Calcul des facteurs'!#REF!</f>
        <v>#REF!</v>
      </c>
      <c r="C895">
        <f>'nebuleair_export (1)'!C895*'Calcul des facteurs'!$B$4+'Calcul des facteurs'!$C$4</f>
        <v>7.2136678897763336</v>
      </c>
      <c r="D895">
        <f>'nebuleair_export (1)'!D895*'Calcul des facteurs'!$B$5+'Calcul des facteurs'!$C$5</f>
        <v>10.370627390959868</v>
      </c>
    </row>
    <row r="896" spans="1:4">
      <c r="A896" t="s">
        <v>3127</v>
      </c>
      <c r="B896" t="e">
        <f>'nebuleair_export (1)'!B896*'Calcul des facteurs'!#REF!+'Calcul des facteurs'!#REF!</f>
        <v>#REF!</v>
      </c>
      <c r="C896">
        <f>'nebuleair_export (1)'!C896*'Calcul des facteurs'!$B$4+'Calcul des facteurs'!$C$4</f>
        <v>4.7146144128838605</v>
      </c>
      <c r="D896">
        <f>'nebuleair_export (1)'!D896*'Calcul des facteurs'!$B$5+'Calcul des facteurs'!$C$5</f>
        <v>7.6013149830986917</v>
      </c>
    </row>
    <row r="897" spans="1:4">
      <c r="A897" t="s">
        <v>3129</v>
      </c>
      <c r="B897" t="e">
        <f>'nebuleair_export (1)'!B897*'Calcul des facteurs'!#REF!+'Calcul des facteurs'!#REF!</f>
        <v>#REF!</v>
      </c>
      <c r="C897">
        <f>'nebuleair_export (1)'!C897*'Calcul des facteurs'!$B$4+'Calcul des facteurs'!$C$4</f>
        <v>6.4901605316213429</v>
      </c>
      <c r="D897">
        <f>'nebuleair_export (1)'!D897*'Calcul des facteurs'!$B$5+'Calcul des facteurs'!$C$5</f>
        <v>9.5642954248759722</v>
      </c>
    </row>
    <row r="898" spans="1:4">
      <c r="A898" t="s">
        <v>3130</v>
      </c>
      <c r="B898" t="e">
        <f>'nebuleair_export (1)'!B898*'Calcul des facteurs'!#REF!+'Calcul des facteurs'!#REF!</f>
        <v>#REF!</v>
      </c>
      <c r="C898">
        <f>'nebuleair_export (1)'!C898*'Calcul des facteurs'!$B$4+'Calcul des facteurs'!$C$4</f>
        <v>8.1549657281922574</v>
      </c>
      <c r="D898">
        <f>'nebuleair_export (1)'!D898*'Calcul des facteurs'!$B$5+'Calcul des facteurs'!$C$5</f>
        <v>11.400437130415337</v>
      </c>
    </row>
    <row r="899" spans="1:4">
      <c r="A899" t="s">
        <v>3132</v>
      </c>
      <c r="B899" t="e">
        <f>'nebuleair_export (1)'!B899*'Calcul des facteurs'!#REF!+'Calcul des facteurs'!#REF!</f>
        <v>#REF!</v>
      </c>
      <c r="C899">
        <f>'nebuleair_export (1)'!C899*'Calcul des facteurs'!$B$4+'Calcul des facteurs'!$C$4</f>
        <v>10.148302327190684</v>
      </c>
      <c r="D899">
        <f>'nebuleair_export (1)'!D899*'Calcul des facteurs'!$B$5+'Calcul des facteurs'!$C$5</f>
        <v>13.611055104847503</v>
      </c>
    </row>
    <row r="900" spans="1:4">
      <c r="A900" t="s">
        <v>3133</v>
      </c>
      <c r="B900" t="e">
        <f>'nebuleair_export (1)'!B900*'Calcul des facteurs'!#REF!+'Calcul des facteurs'!#REF!</f>
        <v>#REF!</v>
      </c>
      <c r="C900">
        <f>'nebuleair_export (1)'!C900*'Calcul des facteurs'!$B$4+'Calcul des facteurs'!$C$4</f>
        <v>9.074115382174865</v>
      </c>
      <c r="D900">
        <f>'nebuleair_export (1)'!D900*'Calcul des facteurs'!$B$5+'Calcul des facteurs'!$C$5</f>
        <v>12.415147020318669</v>
      </c>
    </row>
    <row r="901" spans="1:4">
      <c r="A901" t="s">
        <v>3135</v>
      </c>
      <c r="B901" t="e">
        <f>'nebuleair_export (1)'!B901*'Calcul des facteurs'!#REF!+'Calcul des facteurs'!#REF!</f>
        <v>#REF!</v>
      </c>
      <c r="C901">
        <f>'nebuleair_export (1)'!C901*'Calcul des facteurs'!$B$4+'Calcul des facteurs'!$C$4</f>
        <v>5.6669863435164407</v>
      </c>
      <c r="D901">
        <f>'nebuleair_export (1)'!D901*'Calcul des facteurs'!$B$5+'Calcul des facteurs'!$C$5</f>
        <v>8.6552844818375654</v>
      </c>
    </row>
    <row r="902" spans="1:4">
      <c r="A902" t="s">
        <v>3137</v>
      </c>
      <c r="B902" t="e">
        <f>'nebuleair_export (1)'!B902*'Calcul des facteurs'!#REF!+'Calcul des facteurs'!#REF!</f>
        <v>#REF!</v>
      </c>
      <c r="C902">
        <f>'nebuleair_export (1)'!C902*'Calcul des facteurs'!$B$4+'Calcul des facteurs'!$C$4</f>
        <v>3.9578847780789066</v>
      </c>
      <c r="D902">
        <f>'nebuleair_export (1)'!D902*'Calcul des facteurs'!$B$5+'Calcul des facteurs'!$C$5</f>
        <v>6.7768631975522347</v>
      </c>
    </row>
    <row r="903" spans="1:4">
      <c r="A903" t="s">
        <v>3139</v>
      </c>
      <c r="B903" t="e">
        <f>'nebuleair_export (1)'!B903*'Calcul des facteurs'!#REF!+'Calcul des facteurs'!#REF!</f>
        <v>#REF!</v>
      </c>
      <c r="C903">
        <f>'nebuleair_export (1)'!C903*'Calcul des facteurs'!$B$4+'Calcul des facteurs'!$C$4</f>
        <v>2.4038205036745821</v>
      </c>
      <c r="D903">
        <f>'nebuleair_export (1)'!D903*'Calcul des facteurs'!$B$5+'Calcul des facteurs'!$C$5</f>
        <v>5.0373605291465235</v>
      </c>
    </row>
    <row r="904" spans="1:4">
      <c r="A904" t="s">
        <v>3141</v>
      </c>
      <c r="B904" t="e">
        <f>'nebuleair_export (1)'!B904*'Calcul des facteurs'!#REF!+'Calcul des facteurs'!#REF!</f>
        <v>#REF!</v>
      </c>
      <c r="C904">
        <f>'nebuleair_export (1)'!C904*'Calcul des facteurs'!$B$4+'Calcul des facteurs'!$C$4</f>
        <v>4.0206379673066381</v>
      </c>
      <c r="D904">
        <f>'nebuleair_export (1)'!D904*'Calcul des facteurs'!$B$5+'Calcul des facteurs'!$C$5</f>
        <v>6.8251827161190652</v>
      </c>
    </row>
    <row r="905" spans="1:4">
      <c r="A905" t="s">
        <v>3142</v>
      </c>
      <c r="B905" t="e">
        <f>'nebuleair_export (1)'!B905*'Calcul des facteurs'!#REF!+'Calcul des facteurs'!#REF!</f>
        <v>#REF!</v>
      </c>
      <c r="C905">
        <f>'nebuleair_export (1)'!C905*'Calcul des facteurs'!$B$4+'Calcul des facteurs'!$C$4</f>
        <v>7.8264343257647351</v>
      </c>
      <c r="D905">
        <f>'nebuleair_export (1)'!D905*'Calcul des facteurs'!$B$5+'Calcul des facteurs'!$C$5</f>
        <v>11.025960861522435</v>
      </c>
    </row>
    <row r="906" spans="1:4">
      <c r="A906" t="s">
        <v>3144</v>
      </c>
      <c r="B906" t="e">
        <f>'nebuleair_export (1)'!B906*'Calcul des facteurs'!#REF!+'Calcul des facteurs'!#REF!</f>
        <v>#REF!</v>
      </c>
      <c r="C906">
        <f>'nebuleair_export (1)'!C906*'Calcul des facteurs'!$B$4+'Calcul des facteurs'!$C$4</f>
        <v>7.2358160742096507</v>
      </c>
      <c r="D906">
        <f>'nebuleair_export (1)'!D906*'Calcul des facteurs'!$B$5+'Calcul des facteurs'!$C$5</f>
        <v>10.376667330780727</v>
      </c>
    </row>
    <row r="907" spans="1:4">
      <c r="A907" t="s">
        <v>3146</v>
      </c>
      <c r="B907" t="e">
        <f>'nebuleair_export (1)'!B907*'Calcul des facteurs'!#REF!+'Calcul des facteurs'!#REF!</f>
        <v>#REF!</v>
      </c>
      <c r="C907">
        <f>'nebuleair_export (1)'!C907*'Calcul des facteurs'!$B$4+'Calcul des facteurs'!$C$4</f>
        <v>6.7928523855433331</v>
      </c>
      <c r="D907">
        <f>'nebuleair_export (1)'!D907*'Calcul des facteurs'!$B$5+'Calcul des facteurs'!$C$5</f>
        <v>9.8964921150228999</v>
      </c>
    </row>
    <row r="908" spans="1:4">
      <c r="A908" t="s">
        <v>3148</v>
      </c>
      <c r="B908" t="e">
        <f>'nebuleair_export (1)'!B908*'Calcul des facteurs'!#REF!+'Calcul des facteurs'!#REF!</f>
        <v>#REF!</v>
      </c>
      <c r="C908">
        <f>'nebuleair_export (1)'!C908*'Calcul des facteurs'!$B$4+'Calcul des facteurs'!$C$4</f>
        <v>7.1952110694152349</v>
      </c>
      <c r="D908">
        <f>'nebuleair_export (1)'!D908*'Calcul des facteurs'!$B$5+'Calcul des facteurs'!$C$5</f>
        <v>10.33438775203475</v>
      </c>
    </row>
    <row r="909" spans="1:4">
      <c r="A909" t="s">
        <v>3150</v>
      </c>
      <c r="B909" t="e">
        <f>'nebuleair_export (1)'!B909*'Calcul des facteurs'!#REF!+'Calcul des facteurs'!#REF!</f>
        <v>#REF!</v>
      </c>
      <c r="C909">
        <f>'nebuleair_export (1)'!C909*'Calcul des facteurs'!$B$4+'Calcul des facteurs'!$C$4</f>
        <v>7.0733960550319974</v>
      </c>
      <c r="D909">
        <f>'nebuleair_export (1)'!D909*'Calcul des facteurs'!$B$5+'Calcul des facteurs'!$C$5</f>
        <v>10.21358895561769</v>
      </c>
    </row>
    <row r="910" spans="1:4">
      <c r="A910" t="s">
        <v>3152</v>
      </c>
      <c r="B910" t="e">
        <f>'nebuleair_export (1)'!B910*'Calcul des facteurs'!#REF!+'Calcul des facteurs'!#REF!</f>
        <v>#REF!</v>
      </c>
      <c r="C910">
        <f>'nebuleair_export (1)'!C910*'Calcul des facteurs'!$B$4+'Calcul des facteurs'!$C$4</f>
        <v>6.8223832981210917</v>
      </c>
      <c r="D910">
        <f>'nebuleair_export (1)'!D910*'Calcul des facteurs'!$B$5+'Calcul des facteurs'!$C$5</f>
        <v>9.9297117840375861</v>
      </c>
    </row>
    <row r="911" spans="1:4">
      <c r="A911" t="s">
        <v>3154</v>
      </c>
      <c r="B911" t="e">
        <f>'nebuleair_export (1)'!B911*'Calcul des facteurs'!#REF!+'Calcul des facteurs'!#REF!</f>
        <v>#REF!</v>
      </c>
      <c r="C911">
        <f>'nebuleair_export (1)'!C911*'Calcul des facteurs'!$B$4+'Calcul des facteurs'!$C$4</f>
        <v>5.3421463051611466</v>
      </c>
      <c r="D911">
        <f>'nebuleair_export (1)'!D911*'Calcul des facteurs'!$B$5+'Calcul des facteurs'!$C$5</f>
        <v>8.2868481527655291</v>
      </c>
    </row>
    <row r="912" spans="1:4">
      <c r="A912" t="s">
        <v>3156</v>
      </c>
      <c r="B912" t="e">
        <f>'nebuleair_export (1)'!B912*'Calcul des facteurs'!#REF!+'Calcul des facteurs'!#REF!</f>
        <v>#REF!</v>
      </c>
      <c r="C912">
        <f>'nebuleair_export (1)'!C912*'Calcul des facteurs'!$B$4+'Calcul des facteurs'!$C$4</f>
        <v>4.744145325461619</v>
      </c>
      <c r="D912">
        <f>'nebuleair_export (1)'!D912*'Calcul des facteurs'!$B$5+'Calcul des facteurs'!$C$5</f>
        <v>7.6194348025612504</v>
      </c>
    </row>
    <row r="913" spans="1:4">
      <c r="A913" t="s">
        <v>3158</v>
      </c>
      <c r="B913" t="e">
        <f>'nebuleair_export (1)'!B913*'Calcul des facteurs'!#REF!+'Calcul des facteurs'!#REF!</f>
        <v>#REF!</v>
      </c>
      <c r="C913">
        <f>'nebuleair_export (1)'!C913*'Calcul des facteurs'!$B$4+'Calcul des facteurs'!$C$4</f>
        <v>4.2199716272064816</v>
      </c>
      <c r="D913">
        <f>'nebuleair_export (1)'!D913*'Calcul des facteurs'!$B$5+'Calcul des facteurs'!$C$5</f>
        <v>7.0486604894906266</v>
      </c>
    </row>
    <row r="914" spans="1:4">
      <c r="A914" t="s">
        <v>3160</v>
      </c>
      <c r="B914" t="e">
        <f>'nebuleair_export (1)'!B914*'Calcul des facteurs'!#REF!+'Calcul des facteurs'!#REF!</f>
        <v>#REF!</v>
      </c>
      <c r="C914">
        <f>'nebuleair_export (1)'!C914*'Calcul des facteurs'!$B$4+'Calcul des facteurs'!$C$4</f>
        <v>3.9209711373567173</v>
      </c>
      <c r="D914">
        <f>'nebuleair_export (1)'!D914*'Calcul des facteurs'!$B$5+'Calcul des facteurs'!$C$5</f>
        <v>6.7406235586271155</v>
      </c>
    </row>
    <row r="915" spans="1:4">
      <c r="A915" t="s">
        <v>3162</v>
      </c>
      <c r="B915" t="e">
        <f>'nebuleair_export (1)'!B915*'Calcul des facteurs'!#REF!+'Calcul des facteurs'!#REF!</f>
        <v>#REF!</v>
      </c>
      <c r="C915">
        <f>'nebuleair_export (1)'!C915*'Calcul des facteurs'!$B$4+'Calcul des facteurs'!$C$4</f>
        <v>3.8729834044178588</v>
      </c>
      <c r="D915">
        <f>'nebuleair_export (1)'!D915*'Calcul des facteurs'!$B$5+'Calcul des facteurs'!$C$5</f>
        <v>6.6711642506873101</v>
      </c>
    </row>
    <row r="916" spans="1:4">
      <c r="A916" t="s">
        <v>3164</v>
      </c>
      <c r="B916" t="e">
        <f>'nebuleair_export (1)'!B916*'Calcul des facteurs'!#REF!+'Calcul des facteurs'!#REF!</f>
        <v>#REF!</v>
      </c>
      <c r="C916">
        <f>'nebuleair_export (1)'!C916*'Calcul des facteurs'!$B$4+'Calcul des facteurs'!$C$4</f>
        <v>4.2864161805064285</v>
      </c>
      <c r="D916">
        <f>'nebuleair_export (1)'!D916*'Calcul des facteurs'!$B$5+'Calcul des facteurs'!$C$5</f>
        <v>7.1181197974304418</v>
      </c>
    </row>
    <row r="917" spans="1:4">
      <c r="A917" t="s">
        <v>3166</v>
      </c>
      <c r="B917" t="e">
        <f>'nebuleair_export (1)'!B917*'Calcul des facteurs'!#REF!+'Calcul des facteurs'!#REF!</f>
        <v>#REF!</v>
      </c>
      <c r="C917">
        <f>'nebuleair_export (1)'!C917*'Calcul des facteurs'!$B$4+'Calcul des facteurs'!$C$4</f>
        <v>4.1313788894732069</v>
      </c>
      <c r="D917">
        <f>'nebuleair_export (1)'!D917*'Calcul des facteurs'!$B$5+'Calcul des facteurs'!$C$5</f>
        <v>6.9550414222674055</v>
      </c>
    </row>
    <row r="918" spans="1:4">
      <c r="A918" t="s">
        <v>3168</v>
      </c>
      <c r="B918" t="e">
        <f>'nebuleair_export (1)'!B918*'Calcul des facteurs'!#REF!+'Calcul des facteurs'!#REF!</f>
        <v>#REF!</v>
      </c>
      <c r="C918">
        <f>'nebuleair_export (1)'!C918*'Calcul des facteurs'!$B$4+'Calcul des facteurs'!$C$4</f>
        <v>3.1937724151295104</v>
      </c>
      <c r="D918">
        <f>'nebuleair_export (1)'!D918*'Calcul des facteurs'!$B$5+'Calcul des facteurs'!$C$5</f>
        <v>5.9282516527223716</v>
      </c>
    </row>
    <row r="919" spans="1:4">
      <c r="A919" t="s">
        <v>3170</v>
      </c>
      <c r="B919" t="e">
        <f>'nebuleair_export (1)'!B919*'Calcul des facteurs'!#REF!+'Calcul des facteurs'!#REF!</f>
        <v>#REF!</v>
      </c>
      <c r="C919">
        <f>'nebuleair_export (1)'!C919*'Calcul des facteurs'!$B$4+'Calcul des facteurs'!$C$4</f>
        <v>4.2901075445786443</v>
      </c>
      <c r="D919">
        <f>'nebuleair_export (1)'!D919*'Calcul des facteurs'!$B$5+'Calcul des facteurs'!$C$5</f>
        <v>7.1483194965347039</v>
      </c>
    </row>
    <row r="920" spans="1:4">
      <c r="A920" t="s">
        <v>3172</v>
      </c>
      <c r="B920" t="e">
        <f>'nebuleair_export (1)'!B920*'Calcul des facteurs'!#REF!+'Calcul des facteurs'!#REF!</f>
        <v>#REF!</v>
      </c>
      <c r="C920">
        <f>'nebuleair_export (1)'!C920*'Calcul des facteurs'!$B$4+'Calcul des facteurs'!$C$4</f>
        <v>4.4303793793229813</v>
      </c>
      <c r="D920">
        <f>'nebuleair_export (1)'!D920*'Calcul des facteurs'!$B$5+'Calcul des facteurs'!$C$5</f>
        <v>7.2842181425039003</v>
      </c>
    </row>
    <row r="921" spans="1:4">
      <c r="A921" t="s">
        <v>3174</v>
      </c>
      <c r="B921" t="e">
        <f>'nebuleair_export (1)'!B921*'Calcul des facteurs'!#REF!+'Calcul des facteurs'!#REF!</f>
        <v>#REF!</v>
      </c>
      <c r="C921">
        <f>'nebuleair_export (1)'!C921*'Calcul des facteurs'!$B$4+'Calcul des facteurs'!$C$4</f>
        <v>3.8249956714790114</v>
      </c>
      <c r="D921">
        <f>'nebuleair_export (1)'!D921*'Calcul des facteurs'!$B$5+'Calcul des facteurs'!$C$5</f>
        <v>6.6137848223891993</v>
      </c>
    </row>
    <row r="922" spans="1:4">
      <c r="A922" t="s">
        <v>3176</v>
      </c>
      <c r="B922" t="e">
        <f>'nebuleair_export (1)'!B922*'Calcul des facteurs'!#REF!+'Calcul des facteurs'!#REF!</f>
        <v>#REF!</v>
      </c>
      <c r="C922">
        <f>'nebuleair_export (1)'!C922*'Calcul des facteurs'!$B$4+'Calcul des facteurs'!$C$4</f>
        <v>3.6994892930235586</v>
      </c>
      <c r="D922">
        <f>'nebuleair_export (1)'!D922*'Calcul des facteurs'!$B$5+'Calcul des facteurs'!$C$5</f>
        <v>6.4627863268678762</v>
      </c>
    </row>
    <row r="923" spans="1:4">
      <c r="A923" t="s">
        <v>3178</v>
      </c>
      <c r="B923" t="e">
        <f>'nebuleair_export (1)'!B923*'Calcul des facteurs'!#REF!+'Calcul des facteurs'!#REF!</f>
        <v>#REF!</v>
      </c>
      <c r="C923">
        <f>'nebuleair_export (1)'!C923*'Calcul des facteurs'!$B$4+'Calcul des facteurs'!$C$4</f>
        <v>3.7806993026123799</v>
      </c>
      <c r="D923">
        <f>'nebuleair_export (1)'!D923*'Calcul des facteurs'!$B$5+'Calcul des facteurs'!$C$5</f>
        <v>6.5624453339119526</v>
      </c>
    </row>
    <row r="924" spans="1:4">
      <c r="A924" t="s">
        <v>3180</v>
      </c>
      <c r="B924" t="e">
        <f>'nebuleair_export (1)'!B924*'Calcul des facteurs'!#REF!+'Calcul des facteurs'!#REF!</f>
        <v>#REF!</v>
      </c>
      <c r="C924">
        <f>'nebuleair_export (1)'!C924*'Calcul des facteurs'!$B$4+'Calcul des facteurs'!$C$4</f>
        <v>4.1498357098343064</v>
      </c>
      <c r="D924">
        <f>'nebuleair_export (1)'!D924*'Calcul des facteurs'!$B$5+'Calcul des facteurs'!$C$5</f>
        <v>6.970141271819533</v>
      </c>
    </row>
    <row r="925" spans="1:4">
      <c r="A925" t="s">
        <v>3182</v>
      </c>
      <c r="B925" t="e">
        <f>'nebuleair_export (1)'!B925*'Calcul des facteurs'!#REF!+'Calcul des facteurs'!#REF!</f>
        <v>#REF!</v>
      </c>
      <c r="C925">
        <f>'nebuleair_export (1)'!C925*'Calcul des facteurs'!$B$4+'Calcul des facteurs'!$C$4</f>
        <v>3.5259951816292476</v>
      </c>
      <c r="D925">
        <f>'nebuleair_export (1)'!D925*'Calcul des facteurs'!$B$5+'Calcul des facteurs'!$C$5</f>
        <v>6.2966879817944079</v>
      </c>
    </row>
    <row r="926" spans="1:4">
      <c r="A926" t="s">
        <v>3184</v>
      </c>
      <c r="B926" t="e">
        <f>'nebuleair_export (1)'!B926*'Calcul des facteurs'!#REF!+'Calcul des facteurs'!#REF!</f>
        <v>#REF!</v>
      </c>
      <c r="C926">
        <f>'nebuleair_export (1)'!C926*'Calcul des facteurs'!$B$4+'Calcul des facteurs'!$C$4</f>
        <v>4.7072316847394289</v>
      </c>
      <c r="D926">
        <f>'nebuleair_export (1)'!D926*'Calcul des facteurs'!$B$5+'Calcul des facteurs'!$C$5</f>
        <v>7.5982950131882676</v>
      </c>
    </row>
    <row r="927" spans="1:4">
      <c r="A927" t="s">
        <v>3186</v>
      </c>
      <c r="B927" t="e">
        <f>'nebuleair_export (1)'!B927*'Calcul des facteurs'!#REF!+'Calcul des facteurs'!#REF!</f>
        <v>#REF!</v>
      </c>
      <c r="C927">
        <f>'nebuleair_export (1)'!C927*'Calcul des facteurs'!$B$4+'Calcul des facteurs'!$C$4</f>
        <v>5.607924518360937</v>
      </c>
      <c r="D927">
        <f>'nebuleair_export (1)'!D927*'Calcul des facteurs'!$B$5+'Calcul des facteurs'!$C$5</f>
        <v>8.5948850836290411</v>
      </c>
    </row>
    <row r="928" spans="1:4">
      <c r="A928" t="s">
        <v>3188</v>
      </c>
      <c r="B928" t="e">
        <f>'nebuleair_export (1)'!B928*'Calcul des facteurs'!#REF!+'Calcul des facteurs'!#REF!</f>
        <v>#REF!</v>
      </c>
      <c r="C928">
        <f>'nebuleair_export (1)'!C928*'Calcul des facteurs'!$B$4+'Calcul des facteurs'!$C$4</f>
        <v>5.1575781015501772</v>
      </c>
      <c r="D928">
        <f>'nebuleair_export (1)'!D928*'Calcul des facteurs'!$B$5+'Calcul des facteurs'!$C$5</f>
        <v>8.0965900484086539</v>
      </c>
    </row>
    <row r="929" spans="1:4">
      <c r="A929" t="s">
        <v>3190</v>
      </c>
      <c r="B929" t="e">
        <f>'nebuleair_export (1)'!B929*'Calcul des facteurs'!#REF!+'Calcul des facteurs'!#REF!</f>
        <v>#REF!</v>
      </c>
      <c r="C929">
        <f>'nebuleair_export (1)'!C929*'Calcul des facteurs'!$B$4+'Calcul des facteurs'!$C$4</f>
        <v>4.4045398308174386</v>
      </c>
      <c r="D929">
        <f>'nebuleair_export (1)'!D929*'Calcul des facteurs'!$B$5+'Calcul des facteurs'!$C$5</f>
        <v>7.2540184433996373</v>
      </c>
    </row>
    <row r="930" spans="1:4">
      <c r="A930" t="s">
        <v>3192</v>
      </c>
      <c r="B930" t="e">
        <f>'nebuleair_export (1)'!B930*'Calcul des facteurs'!#REF!+'Calcul des facteurs'!#REF!</f>
        <v>#REF!</v>
      </c>
      <c r="C930">
        <f>'nebuleair_export (1)'!C930*'Calcul des facteurs'!$B$4+'Calcul des facteurs'!$C$4</f>
        <v>7.5569647484927298</v>
      </c>
      <c r="D930">
        <f>'nebuleair_export (1)'!D930*'Calcul des facteurs'!$B$5+'Calcul des facteurs'!$C$5</f>
        <v>10.748123629763196</v>
      </c>
    </row>
    <row r="931" spans="1:4">
      <c r="A931" t="s">
        <v>3194</v>
      </c>
      <c r="B931" t="e">
        <f>'nebuleair_export (1)'!B931*'Calcul des facteurs'!#REF!+'Calcul des facteurs'!#REF!</f>
        <v>#REF!</v>
      </c>
      <c r="C931">
        <f>'nebuleair_export (1)'!C931*'Calcul des facteurs'!$B$4+'Calcul des facteurs'!$C$4</f>
        <v>3.7179461133846474</v>
      </c>
      <c r="D931">
        <f>'nebuleair_export (1)'!D931*'Calcul des facteurs'!$B$5+'Calcul des facteurs'!$C$5</f>
        <v>6.4899660560617063</v>
      </c>
    </row>
    <row r="932" spans="1:4">
      <c r="A932" t="s">
        <v>3196</v>
      </c>
      <c r="B932" t="e">
        <f>'nebuleair_export (1)'!B932*'Calcul des facteurs'!#REF!+'Calcul des facteurs'!#REF!</f>
        <v>#REF!</v>
      </c>
      <c r="C932">
        <f>'nebuleair_export (1)'!C932*'Calcul des facteurs'!$B$4+'Calcul des facteurs'!$C$4</f>
        <v>4.3787002823119074</v>
      </c>
      <c r="D932">
        <f>'nebuleair_export (1)'!D932*'Calcul des facteurs'!$B$5+'Calcul des facteurs'!$C$5</f>
        <v>7.2268387142057975</v>
      </c>
    </row>
    <row r="933" spans="1:4">
      <c r="A933" t="s">
        <v>3198</v>
      </c>
      <c r="B933" t="e">
        <f>'nebuleair_export (1)'!B933*'Calcul des facteurs'!#REF!+'Calcul des facteurs'!#REF!</f>
        <v>#REF!</v>
      </c>
      <c r="C933">
        <f>'nebuleair_export (1)'!C933*'Calcul des facteurs'!$B$4+'Calcul des facteurs'!$C$4</f>
        <v>5.4861095039776995</v>
      </c>
      <c r="D933">
        <f>'nebuleair_export (1)'!D933*'Calcul des facteurs'!$B$5+'Calcul des facteurs'!$C$5</f>
        <v>8.4680463473911232</v>
      </c>
    </row>
    <row r="934" spans="1:4">
      <c r="A934" t="s">
        <v>3200</v>
      </c>
      <c r="B934" t="e">
        <f>'nebuleair_export (1)'!B934*'Calcul des facteurs'!#REF!+'Calcul des facteurs'!#REF!</f>
        <v>#REF!</v>
      </c>
      <c r="C934">
        <f>'nebuleair_export (1)'!C934*'Calcul des facteurs'!$B$4+'Calcul des facteurs'!$C$4</f>
        <v>8.0220766215923618</v>
      </c>
      <c r="D934">
        <f>'nebuleair_export (1)'!D934*'Calcul des facteurs'!$B$5+'Calcul des facteurs'!$C$5</f>
        <v>10.246808624632378</v>
      </c>
    </row>
    <row r="935" spans="1:4">
      <c r="A935" t="s">
        <v>3202</v>
      </c>
      <c r="B935" t="e">
        <f>'nebuleair_export (1)'!B935*'Calcul des facteurs'!#REF!+'Calcul des facteurs'!#REF!</f>
        <v>#REF!</v>
      </c>
      <c r="C935">
        <f>'nebuleair_export (1)'!C935*'Calcul des facteurs'!$B$4+'Calcul des facteurs'!$C$4</f>
        <v>6.4938518956935702</v>
      </c>
      <c r="D935">
        <f>'nebuleair_export (1)'!D935*'Calcul des facteurs'!$B$5+'Calcul des facteurs'!$C$5</f>
        <v>8.6009250234498964</v>
      </c>
    </row>
    <row r="936" spans="1:4">
      <c r="A936" t="s">
        <v>3204</v>
      </c>
      <c r="B936" t="e">
        <f>'nebuleair_export (1)'!B936*'Calcul des facteurs'!#REF!+'Calcul des facteurs'!#REF!</f>
        <v>#REF!</v>
      </c>
      <c r="C936">
        <f>'nebuleair_export (1)'!C936*'Calcul des facteurs'!$B$4+'Calcul des facteurs'!$C$4</f>
        <v>4.3344039134452759</v>
      </c>
      <c r="D936">
        <f>'nebuleair_export (1)'!D936*'Calcul des facteurs'!$B$5+'Calcul des facteurs'!$C$5</f>
        <v>6.6590843710455978</v>
      </c>
    </row>
    <row r="937" spans="1:4">
      <c r="A937" t="s">
        <v>3206</v>
      </c>
      <c r="B937" t="e">
        <f>'nebuleair_export (1)'!B937*'Calcul des facteurs'!#REF!+'Calcul des facteurs'!#REF!</f>
        <v>#REF!</v>
      </c>
      <c r="C937">
        <f>'nebuleair_export (1)'!C937*'Calcul des facteurs'!$B$4+'Calcul des facteurs'!$C$4</f>
        <v>5.6965172560942001</v>
      </c>
      <c r="D937">
        <f>'nebuleair_export (1)'!D937*'Calcul des facteurs'!$B$5+'Calcul des facteurs'!$C$5</f>
        <v>8.7277637596878126</v>
      </c>
    </row>
    <row r="938" spans="1:4">
      <c r="A938" t="s">
        <v>3208</v>
      </c>
      <c r="B938" t="e">
        <f>'nebuleair_export (1)'!B938*'Calcul des facteurs'!#REF!+'Calcul des facteurs'!#REF!</f>
        <v>#REF!</v>
      </c>
      <c r="C938">
        <f>'nebuleair_export (1)'!C938*'Calcul des facteurs'!$B$4+'Calcul des facteurs'!$C$4</f>
        <v>5.7924927219719056</v>
      </c>
      <c r="D938">
        <f>'nebuleair_export (1)'!D938*'Calcul des facteurs'!$B$5+'Calcul des facteurs'!$C$5</f>
        <v>8.8364826764631701</v>
      </c>
    </row>
    <row r="939" spans="1:4">
      <c r="A939" t="s">
        <v>3209</v>
      </c>
      <c r="B939" t="e">
        <f>'nebuleair_export (1)'!B939*'Calcul des facteurs'!#REF!+'Calcul des facteurs'!#REF!</f>
        <v>#REF!</v>
      </c>
      <c r="C939">
        <f>'nebuleair_export (1)'!C939*'Calcul des facteurs'!$B$4+'Calcul des facteurs'!$C$4</f>
        <v>3.869292040345643</v>
      </c>
      <c r="D939">
        <f>'nebuleair_export (1)'!D939*'Calcul des facteurs'!$B$5+'Calcul des facteurs'!$C$5</f>
        <v>7.5650753441735725</v>
      </c>
    </row>
    <row r="940" spans="1:4">
      <c r="A940" t="s">
        <v>3211</v>
      </c>
      <c r="B940" t="e">
        <f>'nebuleair_export (1)'!B940*'Calcul des facteurs'!#REF!+'Calcul des facteurs'!#REF!</f>
        <v>#REF!</v>
      </c>
      <c r="C940">
        <f>'nebuleair_export (1)'!C940*'Calcul des facteurs'!$B$4+'Calcul des facteurs'!$C$4</f>
        <v>3.8139215792623533</v>
      </c>
      <c r="D940">
        <f>'nebuleair_export (1)'!D940*'Calcul des facteurs'!$B$5+'Calcul des facteurs'!$C$5</f>
        <v>6.1517294260939321</v>
      </c>
    </row>
    <row r="941" spans="1:4">
      <c r="A941" t="s">
        <v>3212</v>
      </c>
      <c r="B941" t="e">
        <f>'nebuleair_export (1)'!B941*'Calcul des facteurs'!#REF!+'Calcul des facteurs'!#REF!</f>
        <v>#REF!</v>
      </c>
      <c r="C941">
        <f>'nebuleair_export (1)'!C941*'Calcul des facteurs'!$B$4+'Calcul des facteurs'!$C$4</f>
        <v>3.9357365936455908</v>
      </c>
      <c r="D941">
        <f>'nebuleair_export (1)'!D941*'Calcul des facteurs'!$B$5+'Calcul des facteurs'!$C$5</f>
        <v>7.4352166380252322</v>
      </c>
    </row>
    <row r="942" spans="1:4">
      <c r="A942" t="s">
        <v>3213</v>
      </c>
      <c r="B942" t="e">
        <f>'nebuleair_export (1)'!B942*'Calcul des facteurs'!#REF!+'Calcul des facteurs'!#REF!</f>
        <v>#REF!</v>
      </c>
      <c r="C942">
        <f>'nebuleair_export (1)'!C942*'Calcul des facteurs'!$B$4+'Calcul des facteurs'!$C$4</f>
        <v>5.4455044991832837</v>
      </c>
      <c r="D942">
        <f>'nebuleair_export (1)'!D942*'Calcul des facteurs'!$B$5+'Calcul des facteurs'!$C$5</f>
        <v>8.5465655650622097</v>
      </c>
    </row>
    <row r="943" spans="1:4">
      <c r="A943" t="s">
        <v>3214</v>
      </c>
      <c r="B943" t="e">
        <f>'nebuleair_export (1)'!B943*'Calcul des facteurs'!#REF!+'Calcul des facteurs'!#REF!</f>
        <v>#REF!</v>
      </c>
      <c r="C943">
        <f>'nebuleair_export (1)'!C943*'Calcul des facteurs'!$B$4+'Calcul des facteurs'!$C$4</f>
        <v>4.3085643649397332</v>
      </c>
      <c r="D943">
        <f>'nebuleair_export (1)'!D943*'Calcul des facteurs'!$B$5+'Calcul des facteurs'!$C$5</f>
        <v>7.7855331476347187</v>
      </c>
    </row>
    <row r="944" spans="1:4">
      <c r="A944" t="s">
        <v>3216</v>
      </c>
      <c r="B944" t="e">
        <f>'nebuleair_export (1)'!B944*'Calcul des facteurs'!#REF!+'Calcul des facteurs'!#REF!</f>
        <v>#REF!</v>
      </c>
      <c r="C944">
        <f>'nebuleair_export (1)'!C944*'Calcul des facteurs'!$B$4+'Calcul des facteurs'!$C$4</f>
        <v>6.3277405124437003</v>
      </c>
      <c r="D944">
        <f>'nebuleair_export (1)'!D944*'Calcul des facteurs'!$B$5+'Calcul des facteurs'!$C$5</f>
        <v>8.4197268288243006</v>
      </c>
    </row>
    <row r="945" spans="1:4">
      <c r="A945" t="s">
        <v>3218</v>
      </c>
      <c r="B945" t="e">
        <f>'nebuleair_export (1)'!B945*'Calcul des facteurs'!#REF!+'Calcul des facteurs'!#REF!</f>
        <v>#REF!</v>
      </c>
      <c r="C945">
        <f>'nebuleair_export (1)'!C945*'Calcul des facteurs'!$B$4+'Calcul des facteurs'!$C$4</f>
        <v>4.8991826164948291</v>
      </c>
      <c r="D945">
        <f>'nebuleair_export (1)'!D945*'Calcul des facteurs'!$B$5+'Calcul des facteurs'!$C$5</f>
        <v>8.2596684235716893</v>
      </c>
    </row>
    <row r="946" spans="1:4">
      <c r="A946" t="s">
        <v>3219</v>
      </c>
      <c r="B946" t="e">
        <f>'nebuleair_export (1)'!B946*'Calcul des facteurs'!#REF!+'Calcul des facteurs'!#REF!</f>
        <v>#REF!</v>
      </c>
      <c r="C946">
        <f>'nebuleair_export (1)'!C946*'Calcul des facteurs'!$B$4+'Calcul des facteurs'!$C$4</f>
        <v>3.6994892930235586</v>
      </c>
      <c r="D946">
        <f>'nebuleair_export (1)'!D946*'Calcul des facteurs'!$B$5+'Calcul des facteurs'!$C$5</f>
        <v>7.4714562769503514</v>
      </c>
    </row>
    <row r="947" spans="1:4">
      <c r="A947" t="s">
        <v>3220</v>
      </c>
      <c r="B947" t="e">
        <f>'nebuleair_export (1)'!B947*'Calcul des facteurs'!#REF!+'Calcul des facteurs'!#REF!</f>
        <v>#REF!</v>
      </c>
      <c r="C947">
        <f>'nebuleair_export (1)'!C947*'Calcul des facteurs'!$B$4+'Calcul des facteurs'!$C$4</f>
        <v>4.515280752984018</v>
      </c>
      <c r="D947">
        <f>'nebuleair_export (1)'!D947*'Calcul des facteurs'!$B$5+'Calcul des facteurs'!$C$5</f>
        <v>8.7881631578963386</v>
      </c>
    </row>
    <row r="948" spans="1:4">
      <c r="A948" t="s">
        <v>3221</v>
      </c>
      <c r="B948" t="e">
        <f>'nebuleair_export (1)'!B948*'Calcul des facteurs'!#REF!+'Calcul des facteurs'!#REF!</f>
        <v>#REF!</v>
      </c>
      <c r="C948">
        <f>'nebuleair_export (1)'!C948*'Calcul des facteurs'!$B$4+'Calcul des facteurs'!$C$4</f>
        <v>3.5038469971959318</v>
      </c>
      <c r="D948">
        <f>'nebuleair_export (1)'!D948*'Calcul des facteurs'!$B$5+'Calcul des facteurs'!$C$5</f>
        <v>7.1905990752806792</v>
      </c>
    </row>
    <row r="949" spans="1:4">
      <c r="A949" t="s">
        <v>3222</v>
      </c>
      <c r="B949" t="e">
        <f>'nebuleair_export (1)'!B949*'Calcul des facteurs'!#REF!+'Calcul des facteurs'!#REF!</f>
        <v>#REF!</v>
      </c>
      <c r="C949">
        <f>'nebuleair_export (1)'!C949*'Calcul des facteurs'!$B$4+'Calcul des facteurs'!$C$4</f>
        <v>4.0760084283899172</v>
      </c>
      <c r="D949">
        <f>'nebuleair_export (1)'!D949*'Calcul des facteurs'!$B$5+'Calcul des facteurs'!$C$5</f>
        <v>7.4412565778460884</v>
      </c>
    </row>
    <row r="950" spans="1:4">
      <c r="A950" t="s">
        <v>3224</v>
      </c>
      <c r="B950" t="e">
        <f>'nebuleair_export (1)'!B950*'Calcul des facteurs'!#REF!+'Calcul des facteurs'!#REF!</f>
        <v>#REF!</v>
      </c>
      <c r="C950">
        <f>'nebuleair_export (1)'!C950*'Calcul des facteurs'!$B$4+'Calcul des facteurs'!$C$4</f>
        <v>4.4193052871063125</v>
      </c>
      <c r="D950">
        <f>'nebuleair_export (1)'!D950*'Calcul des facteurs'!$B$5+'Calcul des facteurs'!$C$5</f>
        <v>8.0996100183190762</v>
      </c>
    </row>
    <row r="951" spans="1:4">
      <c r="A951" t="s">
        <v>3226</v>
      </c>
      <c r="B951" t="e">
        <f>'nebuleair_export (1)'!B951*'Calcul des facteurs'!#REF!+'Calcul des facteurs'!#REF!</f>
        <v>#REF!</v>
      </c>
      <c r="C951">
        <f>'nebuleair_export (1)'!C951*'Calcul des facteurs'!$B$4+'Calcul des facteurs'!$C$4</f>
        <v>4.9213308009281453</v>
      </c>
      <c r="D951">
        <f>'nebuleair_export (1)'!D951*'Calcul des facteurs'!$B$5+'Calcul des facteurs'!$C$5</f>
        <v>9.2532385241020378</v>
      </c>
    </row>
    <row r="952" spans="1:4">
      <c r="A952" t="s">
        <v>3227</v>
      </c>
      <c r="B952" t="e">
        <f>'nebuleair_export (1)'!B952*'Calcul des facteurs'!#REF!+'Calcul des facteurs'!#REF!</f>
        <v>#REF!</v>
      </c>
      <c r="C952">
        <f>'nebuleair_export (1)'!C952*'Calcul des facteurs'!$B$4+'Calcul des facteurs'!$C$4</f>
        <v>6.0250486585217109</v>
      </c>
      <c r="D952">
        <f>'nebuleair_export (1)'!D952*'Calcul des facteurs'!$B$5+'Calcul des facteurs'!$C$5</f>
        <v>9.8844122353811876</v>
      </c>
    </row>
    <row r="953" spans="1:4">
      <c r="A953" t="s">
        <v>3228</v>
      </c>
      <c r="B953" t="e">
        <f>'nebuleair_export (1)'!B953*'Calcul des facteurs'!#REF!+'Calcul des facteurs'!#REF!</f>
        <v>#REF!</v>
      </c>
      <c r="C953">
        <f>'nebuleair_export (1)'!C953*'Calcul des facteurs'!$B$4+'Calcul des facteurs'!$C$4</f>
        <v>5.8183322704774367</v>
      </c>
      <c r="D953">
        <f>'nebuleair_export (1)'!D953*'Calcul des facteurs'!$B$5+'Calcul des facteurs'!$C$5</f>
        <v>11.022940891612011</v>
      </c>
    </row>
    <row r="954" spans="1:4">
      <c r="A954" t="s">
        <v>3230</v>
      </c>
      <c r="B954" t="e">
        <f>'nebuleair_export (1)'!B954*'Calcul des facteurs'!#REF!+'Calcul des facteurs'!#REF!</f>
        <v>#REF!</v>
      </c>
      <c r="C954">
        <f>'nebuleair_export (1)'!C954*'Calcul des facteurs'!$B$4+'Calcul des facteurs'!$C$4</f>
        <v>5.2387881111390096</v>
      </c>
      <c r="D954">
        <f>'nebuleair_export (1)'!D954*'Calcul des facteurs'!$B$5+'Calcul des facteurs'!$C$5</f>
        <v>12.01651099214236</v>
      </c>
    </row>
    <row r="955" spans="1:4">
      <c r="A955" t="s">
        <v>3231</v>
      </c>
      <c r="B955" t="e">
        <f>'nebuleair_export (1)'!B955*'Calcul des facteurs'!#REF!+'Calcul des facteurs'!#REF!</f>
        <v>#REF!</v>
      </c>
      <c r="C955">
        <f>'nebuleair_export (1)'!C955*'Calcul des facteurs'!$B$4+'Calcul des facteurs'!$C$4</f>
        <v>6.5160000801268856</v>
      </c>
      <c r="D955">
        <f>'nebuleair_export (1)'!D955*'Calcul des facteurs'!$B$5+'Calcul des facteurs'!$C$5</f>
        <v>11.028980831432866</v>
      </c>
    </row>
    <row r="956" spans="1:4">
      <c r="A956" t="s">
        <v>3233</v>
      </c>
      <c r="B956" t="e">
        <f>'nebuleair_export (1)'!B956*'Calcul des facteurs'!#REF!+'Calcul des facteurs'!#REF!</f>
        <v>#REF!</v>
      </c>
      <c r="C956">
        <f>'nebuleair_export (1)'!C956*'Calcul des facteurs'!$B$4+'Calcul des facteurs'!$C$4</f>
        <v>6.7005682837378551</v>
      </c>
      <c r="D956">
        <f>'nebuleair_export (1)'!D956*'Calcul des facteurs'!$B$5+'Calcul des facteurs'!$C$5</f>
        <v>13.330197903177924</v>
      </c>
    </row>
    <row r="957" spans="1:4">
      <c r="A957" t="s">
        <v>3234</v>
      </c>
      <c r="B957" t="e">
        <f>'nebuleair_export (1)'!B957*'Calcul des facteurs'!#REF!+'Calcul des facteurs'!#REF!</f>
        <v>#REF!</v>
      </c>
      <c r="C957">
        <f>'nebuleair_export (1)'!C957*'Calcul des facteurs'!$B$4+'Calcul des facteurs'!$C$4</f>
        <v>5.1981831063445938</v>
      </c>
      <c r="D957">
        <f>'nebuleair_export (1)'!D957*'Calcul des facteurs'!$B$5+'Calcul des facteurs'!$C$5</f>
        <v>8.1298097174233401</v>
      </c>
    </row>
    <row r="958" spans="1:4">
      <c r="A958" t="s">
        <v>3235</v>
      </c>
      <c r="B958" t="e">
        <f>'nebuleair_export (1)'!B958*'Calcul des facteurs'!#REF!+'Calcul des facteurs'!#REF!</f>
        <v>#REF!</v>
      </c>
      <c r="C958">
        <f>'nebuleair_export (1)'!C958*'Calcul des facteurs'!$B$4+'Calcul des facteurs'!$C$4</f>
        <v>4.3491693697341489</v>
      </c>
      <c r="D958">
        <f>'nebuleair_export (1)'!D958*'Calcul des facteurs'!$B$5+'Calcul des facteurs'!$C$5</f>
        <v>7.1996589850119594</v>
      </c>
    </row>
    <row r="959" spans="1:4">
      <c r="A959" t="s">
        <v>3237</v>
      </c>
      <c r="B959" t="e">
        <f>'nebuleair_export (1)'!B959*'Calcul des facteurs'!#REF!+'Calcul des facteurs'!#REF!</f>
        <v>#REF!</v>
      </c>
      <c r="C959">
        <f>'nebuleair_export (1)'!C959*'Calcul des facteurs'!$B$4+'Calcul des facteurs'!$C$4</f>
        <v>3.7327115696735325</v>
      </c>
      <c r="D959">
        <f>'nebuleair_export (1)'!D959*'Calcul des facteurs'!$B$5+'Calcul des facteurs'!$C$5</f>
        <v>6.5292256648972575</v>
      </c>
    </row>
    <row r="960" spans="1:4">
      <c r="A960" t="s">
        <v>3238</v>
      </c>
      <c r="B960" t="e">
        <f>'nebuleair_export (1)'!B960*'Calcul des facteurs'!#REF!+'Calcul des facteurs'!#REF!</f>
        <v>#REF!</v>
      </c>
      <c r="C960">
        <f>'nebuleair_export (1)'!C960*'Calcul des facteurs'!$B$4+'Calcul des facteurs'!$C$4</f>
        <v>3.51492108941259</v>
      </c>
      <c r="D960">
        <f>'nebuleair_export (1)'!D960*'Calcul des facteurs'!$B$5+'Calcul des facteurs'!$C$5</f>
        <v>6.2695082526005681</v>
      </c>
    </row>
    <row r="961" spans="1:4">
      <c r="A961" t="s">
        <v>3240</v>
      </c>
      <c r="B961" t="e">
        <f>'nebuleair_export (1)'!B961*'Calcul des facteurs'!#REF!+'Calcul des facteurs'!#REF!</f>
        <v>#REF!</v>
      </c>
      <c r="C961">
        <f>'nebuleair_export (1)'!C961*'Calcul des facteurs'!$B$4+'Calcul des facteurs'!$C$4</f>
        <v>3.544452001990348</v>
      </c>
      <c r="D961">
        <f>'nebuleair_export (1)'!D961*'Calcul des facteurs'!$B$5+'Calcul des facteurs'!$C$5</f>
        <v>6.2966879817944079</v>
      </c>
    </row>
    <row r="962" spans="1:4">
      <c r="A962" t="s">
        <v>3242</v>
      </c>
      <c r="B962" t="e">
        <f>'nebuleair_export (1)'!B962*'Calcul des facteurs'!#REF!+'Calcul des facteurs'!#REF!</f>
        <v>#REF!</v>
      </c>
      <c r="C962">
        <f>'nebuleair_export (1)'!C962*'Calcul des facteurs'!$B$4+'Calcul des facteurs'!$C$4</f>
        <v>2.4296600521801137</v>
      </c>
      <c r="D962">
        <f>'nebuleair_export (1)'!D962*'Calcul des facteurs'!$B$5+'Calcul des facteurs'!$C$5</f>
        <v>5.079640107892498</v>
      </c>
    </row>
    <row r="963" spans="1:4">
      <c r="A963" t="s">
        <v>3243</v>
      </c>
      <c r="B963" t="e">
        <f>'nebuleair_export (1)'!B963*'Calcul des facteurs'!#REF!+'Calcul des facteurs'!#REF!</f>
        <v>#REF!</v>
      </c>
      <c r="C963">
        <f>'nebuleair_export (1)'!C963*'Calcul des facteurs'!$B$4+'Calcul des facteurs'!$C$4</f>
        <v>1.5769549514974541</v>
      </c>
      <c r="D963">
        <f>'nebuleair_export (1)'!D963*'Calcul des facteurs'!$B$5+'Calcul des facteurs'!$C$5</f>
        <v>4.1313695560185488</v>
      </c>
    </row>
    <row r="964" spans="1:4">
      <c r="A964" t="s">
        <v>3244</v>
      </c>
      <c r="B964" t="e">
        <f>'nebuleair_export (1)'!B964*'Calcul des facteurs'!#REF!+'Calcul des facteurs'!#REF!</f>
        <v>#REF!</v>
      </c>
      <c r="C964">
        <f>'nebuleair_export (1)'!C964*'Calcul des facteurs'!$B$4+'Calcul des facteurs'!$C$4</f>
        <v>1.9017949898527495</v>
      </c>
      <c r="D964">
        <f>'nebuleair_export (1)'!D964*'Calcul des facteurs'!$B$5+'Calcul des facteurs'!$C$5</f>
        <v>4.4907459753593155</v>
      </c>
    </row>
    <row r="965" spans="1:4">
      <c r="A965" t="s">
        <v>3245</v>
      </c>
      <c r="B965" t="e">
        <f>'nebuleair_export (1)'!B965*'Calcul des facteurs'!#REF!+'Calcul des facteurs'!#REF!</f>
        <v>#REF!</v>
      </c>
      <c r="C965">
        <f>'nebuleair_export (1)'!C965*'Calcul des facteurs'!$B$4+'Calcul des facteurs'!$C$4</f>
        <v>1.1376826269033598</v>
      </c>
      <c r="D965">
        <f>'nebuleair_export (1)'!D965*'Calcul des facteurs'!$B$5+'Calcul des facteurs'!$C$5</f>
        <v>3.6511943402607225</v>
      </c>
    </row>
    <row r="966" spans="1:4">
      <c r="A966" t="s">
        <v>3246</v>
      </c>
      <c r="B966" t="e">
        <f>'nebuleair_export (1)'!B966*'Calcul des facteurs'!#REF!+'Calcul des facteurs'!#REF!</f>
        <v>#REF!</v>
      </c>
      <c r="C966">
        <f>'nebuleair_export (1)'!C966*'Calcul des facteurs'!$B$4+'Calcul des facteurs'!$C$4</f>
        <v>0.85344759334247378</v>
      </c>
      <c r="D966">
        <f>'nebuleair_export (1)'!D966*'Calcul des facteurs'!$B$5+'Calcul des facteurs'!$C$5</f>
        <v>3.3250375899346571</v>
      </c>
    </row>
    <row r="967" spans="1:4">
      <c r="A967" t="s">
        <v>3247</v>
      </c>
      <c r="B967" t="e">
        <f>'nebuleair_export (1)'!B967*'Calcul des facteurs'!#REF!+'Calcul des facteurs'!#REF!</f>
        <v>#REF!</v>
      </c>
      <c r="C967">
        <f>'nebuleair_export (1)'!C967*'Calcul des facteurs'!$B$4+'Calcul des facteurs'!$C$4</f>
        <v>1.1192258065422627</v>
      </c>
      <c r="D967">
        <f>'nebuleair_export (1)'!D967*'Calcul des facteurs'!$B$5+'Calcul des facteurs'!$C$5</f>
        <v>3.6300545508877393</v>
      </c>
    </row>
    <row r="968" spans="1:4">
      <c r="A968" t="s">
        <v>3249</v>
      </c>
      <c r="B968" t="e">
        <f>'nebuleair_export (1)'!B968*'Calcul des facteurs'!#REF!+'Calcul des facteurs'!#REF!</f>
        <v>#REF!</v>
      </c>
      <c r="C968">
        <f>'nebuleair_export (1)'!C968*'Calcul des facteurs'!$B$4+'Calcul des facteurs'!$C$4</f>
        <v>1.0712380736034119</v>
      </c>
      <c r="D968">
        <f>'nebuleair_export (1)'!D968*'Calcul des facteurs'!$B$5+'Calcul des facteurs'!$C$5</f>
        <v>3.57871506241049</v>
      </c>
    </row>
    <row r="969" spans="1:4">
      <c r="A969" t="s">
        <v>3250</v>
      </c>
      <c r="B969" t="e">
        <f>'nebuleair_export (1)'!B969*'Calcul des facteurs'!#REF!+'Calcul des facteurs'!#REF!</f>
        <v>#REF!</v>
      </c>
      <c r="C969">
        <f>'nebuleair_export (1)'!C969*'Calcul des facteurs'!$B$4+'Calcul des facteurs'!$C$4</f>
        <v>1.1487567191200174</v>
      </c>
      <c r="D969">
        <f>'nebuleair_export (1)'!D969*'Calcul des facteurs'!$B$5+'Calcul des facteurs'!$C$5</f>
        <v>3.6511943402607225</v>
      </c>
    </row>
    <row r="970" spans="1:4">
      <c r="A970" t="s">
        <v>3252</v>
      </c>
      <c r="B970" t="e">
        <f>'nebuleair_export (1)'!B970*'Calcul des facteurs'!#REF!+'Calcul des facteurs'!#REF!</f>
        <v>#REF!</v>
      </c>
      <c r="C970">
        <f>'nebuleair_export (1)'!C970*'Calcul des facteurs'!$B$4+'Calcul des facteurs'!$C$4</f>
        <v>1.1192258065422638</v>
      </c>
      <c r="D970">
        <f>'nebuleair_export (1)'!D970*'Calcul des facteurs'!$B$5+'Calcul des facteurs'!$C$5</f>
        <v>3.6451544004398664</v>
      </c>
    </row>
    <row r="971" spans="1:4">
      <c r="A971" t="s">
        <v>3254</v>
      </c>
      <c r="B971" t="e">
        <f>'nebuleair_export (1)'!B971*'Calcul des facteurs'!#REF!+'Calcul des facteurs'!#REF!</f>
        <v>#REF!</v>
      </c>
      <c r="C971">
        <f>'nebuleair_export (1)'!C971*'Calcul des facteurs'!$B$4+'Calcul des facteurs'!$C$4</f>
        <v>1.089694893964509</v>
      </c>
      <c r="D971">
        <f>'nebuleair_export (1)'!D971*'Calcul des facteurs'!$B$5+'Calcul des facteurs'!$C$5</f>
        <v>3.590794942052197</v>
      </c>
    </row>
    <row r="972" spans="1:4">
      <c r="A972" t="s">
        <v>3256</v>
      </c>
      <c r="B972" t="e">
        <f>'nebuleair_export (1)'!B972*'Calcul des facteurs'!#REF!+'Calcul des facteurs'!#REF!</f>
        <v>#REF!</v>
      </c>
      <c r="C972">
        <f>'nebuleair_export (1)'!C972*'Calcul des facteurs'!$B$4+'Calcul des facteurs'!$C$4</f>
        <v>1.5068190341252801</v>
      </c>
      <c r="D972">
        <f>'nebuleair_export (1)'!D972*'Calcul des facteurs'!$B$5+'Calcul des facteurs'!$C$5</f>
        <v>4.0437904286161839</v>
      </c>
    </row>
    <row r="973" spans="1:4">
      <c r="A973" t="s">
        <v>3258</v>
      </c>
      <c r="B973" t="e">
        <f>'nebuleair_export (1)'!B973*'Calcul des facteurs'!#REF!+'Calcul des facteurs'!#REF!</f>
        <v>#REF!</v>
      </c>
      <c r="C973">
        <f>'nebuleair_export (1)'!C973*'Calcul des facteurs'!$B$4+'Calcul des facteurs'!$C$4</f>
        <v>3.1273278618295626</v>
      </c>
      <c r="D973">
        <f>'nebuleair_export (1)'!D973*'Calcul des facteurs'!$B$5+'Calcul des facteurs'!$C$5</f>
        <v>5.8527524049617003</v>
      </c>
    </row>
    <row r="974" spans="1:4">
      <c r="A974" t="s">
        <v>3260</v>
      </c>
      <c r="B974" t="e">
        <f>'nebuleair_export (1)'!B974*'Calcul des facteurs'!#REF!+'Calcul des facteurs'!#REF!</f>
        <v>#REF!</v>
      </c>
      <c r="C974">
        <f>'nebuleair_export (1)'!C974*'Calcul des facteurs'!$B$4+'Calcul des facteurs'!$C$4</f>
        <v>21.148567262404146</v>
      </c>
      <c r="D974">
        <f>'nebuleair_export (1)'!D974*'Calcul des facteurs'!$B$5+'Calcul des facteurs'!$C$5</f>
        <v>25.760394054493645</v>
      </c>
    </row>
    <row r="975" spans="1:4">
      <c r="A975" t="s">
        <v>3262</v>
      </c>
      <c r="B975" t="e">
        <f>'nebuleair_export (1)'!B975*'Calcul des facteurs'!#REF!+'Calcul des facteurs'!#REF!</f>
        <v>#REF!</v>
      </c>
      <c r="C975">
        <f>'nebuleair_export (1)'!C975*'Calcul des facteurs'!$B$4+'Calcul des facteurs'!$C$4</f>
        <v>19.291811134077907</v>
      </c>
      <c r="D975">
        <f>'nebuleair_export (1)'!D975*'Calcul des facteurs'!$B$5+'Calcul des facteurs'!$C$5</f>
        <v>23.712854455224509</v>
      </c>
    </row>
    <row r="976" spans="1:4">
      <c r="A976" t="s">
        <v>3264</v>
      </c>
      <c r="B976" t="e">
        <f>'nebuleair_export (1)'!B976*'Calcul des facteurs'!#REF!+'Calcul des facteurs'!#REF!</f>
        <v>#REF!</v>
      </c>
      <c r="C976">
        <f>'nebuleair_export (1)'!C976*'Calcul des facteurs'!$B$4+'Calcul des facteurs'!$C$4</f>
        <v>14.17927189405413</v>
      </c>
      <c r="D976">
        <f>'nebuleair_export (1)'!D976*'Calcul des facteurs'!$B$5+'Calcul des facteurs'!$C$5</f>
        <v>18.059470782905858</v>
      </c>
    </row>
    <row r="977" spans="1:4">
      <c r="A977" t="s">
        <v>3265</v>
      </c>
      <c r="B977" t="e">
        <f>'nebuleair_export (1)'!B977*'Calcul des facteurs'!#REF!+'Calcul des facteurs'!#REF!</f>
        <v>#REF!</v>
      </c>
      <c r="C977">
        <f>'nebuleair_export (1)'!C977*'Calcul des facteurs'!$B$4+'Calcul des facteurs'!$C$4</f>
        <v>10.513747370340393</v>
      </c>
      <c r="D977">
        <f>'nebuleair_export (1)'!D977*'Calcul des facteurs'!$B$5+'Calcul des facteurs'!$C$5</f>
        <v>14.018751042755184</v>
      </c>
    </row>
    <row r="978" spans="1:4">
      <c r="A978" t="s">
        <v>3268</v>
      </c>
      <c r="B978" t="e">
        <f>'nebuleair_export (1)'!B978*'Calcul des facteurs'!#REF!+'Calcul des facteurs'!#REF!</f>
        <v>#REF!</v>
      </c>
      <c r="C978">
        <f>'nebuleair_export (1)'!C978*'Calcul des facteurs'!$B$4+'Calcul des facteurs'!$C$4</f>
        <v>6.7227164681711704</v>
      </c>
      <c r="D978">
        <f>'nebuleair_export (1)'!D978*'Calcul des facteurs'!$B$5+'Calcul des facteurs'!$C$5</f>
        <v>9.8240128371726527</v>
      </c>
    </row>
    <row r="979" spans="1:4">
      <c r="A979" t="s">
        <v>3269</v>
      </c>
      <c r="B979" t="e">
        <f>'nebuleair_export (1)'!B979*'Calcul des facteurs'!#REF!+'Calcul des facteurs'!#REF!</f>
        <v>#REF!</v>
      </c>
      <c r="C979">
        <f>'nebuleair_export (1)'!C979*'Calcul des facteurs'!$B$4+'Calcul des facteurs'!$C$4</f>
        <v>3.8877488607067323</v>
      </c>
      <c r="D979">
        <f>'nebuleair_export (1)'!D979*'Calcul des facteurs'!$B$5+'Calcul des facteurs'!$C$5</f>
        <v>6.695324009970717</v>
      </c>
    </row>
    <row r="980" spans="1:4">
      <c r="A980" t="s">
        <v>3270</v>
      </c>
      <c r="B980" t="e">
        <f>'nebuleair_export (1)'!B980*'Calcul des facteurs'!#REF!+'Calcul des facteurs'!#REF!</f>
        <v>#REF!</v>
      </c>
      <c r="C980">
        <f>'nebuleair_export (1)'!C980*'Calcul des facteurs'!$B$4+'Calcul des facteurs'!$C$4</f>
        <v>3.729020205601306</v>
      </c>
      <c r="D980">
        <f>'nebuleair_export (1)'!D980*'Calcul des facteurs'!$B$5+'Calcul des facteurs'!$C$5</f>
        <v>6.4990259657929856</v>
      </c>
    </row>
    <row r="981" spans="1:4">
      <c r="A981" t="s">
        <v>3272</v>
      </c>
      <c r="B981" t="e">
        <f>'nebuleair_export (1)'!B981*'Calcul des facteurs'!#REF!+'Calcul des facteurs'!#REF!</f>
        <v>#REF!</v>
      </c>
      <c r="C981">
        <f>'nebuleair_export (1)'!C981*'Calcul des facteurs'!$B$4+'Calcul des facteurs'!$C$4</f>
        <v>2.5034873336245034</v>
      </c>
      <c r="D981">
        <f>'nebuleair_export (1)'!D981*'Calcul des facteurs'!$B$5+'Calcul des facteurs'!$C$5</f>
        <v>5.1611792954740157</v>
      </c>
    </row>
    <row r="982" spans="1:4">
      <c r="A982" t="s">
        <v>3274</v>
      </c>
      <c r="B982" t="e">
        <f>'nebuleair_export (1)'!B982*'Calcul des facteurs'!#REF!+'Calcul des facteurs'!#REF!</f>
        <v>#REF!</v>
      </c>
      <c r="C982">
        <f>'nebuleair_export (1)'!C982*'Calcul des facteurs'!$B$4+'Calcul des facteurs'!$C$4</f>
        <v>2.466573692902303</v>
      </c>
      <c r="D982">
        <f>'nebuleair_export (1)'!D982*'Calcul des facteurs'!$B$5+'Calcul des facteurs'!$C$5</f>
        <v>5.1188997167280412</v>
      </c>
    </row>
    <row r="983" spans="1:4">
      <c r="A983" t="s">
        <v>3276</v>
      </c>
      <c r="B983" t="e">
        <f>'nebuleair_export (1)'!B983*'Calcul des facteurs'!#REF!+'Calcul des facteurs'!#REF!</f>
        <v>#REF!</v>
      </c>
      <c r="C983">
        <f>'nebuleair_export (1)'!C983*'Calcul des facteurs'!$B$4+'Calcul des facteurs'!$C$4</f>
        <v>2.326301858157966</v>
      </c>
      <c r="D983">
        <f>'nebuleair_export (1)'!D983*'Calcul des facteurs'!$B$5+'Calcul des facteurs'!$C$5</f>
        <v>4.9648812512962852</v>
      </c>
    </row>
    <row r="984" spans="1:4">
      <c r="A984" t="s">
        <v>3278</v>
      </c>
      <c r="B984" t="e">
        <f>'nebuleair_export (1)'!B984*'Calcul des facteurs'!#REF!+'Calcul des facteurs'!#REF!</f>
        <v>#REF!</v>
      </c>
      <c r="C984">
        <f>'nebuleair_export (1)'!C984*'Calcul des facteurs'!$B$4+'Calcul des facteurs'!$C$4</f>
        <v>2.8283273719797988</v>
      </c>
      <c r="D984">
        <f>'nebuleair_export (1)'!D984*'Calcul des facteurs'!$B$5+'Calcul des facteurs'!$C$5</f>
        <v>5.50847583517307</v>
      </c>
    </row>
    <row r="985" spans="1:4">
      <c r="A985" t="s">
        <v>3280</v>
      </c>
      <c r="B985" t="e">
        <f>'nebuleair_export (1)'!B985*'Calcul des facteurs'!#REF!+'Calcul des facteurs'!#REF!</f>
        <v>#REF!</v>
      </c>
      <c r="C985">
        <f>'nebuleair_export (1)'!C985*'Calcul des facteurs'!$B$4+'Calcul des facteurs'!$C$4</f>
        <v>4.7146144128838605</v>
      </c>
      <c r="D985">
        <f>'nebuleair_export (1)'!D985*'Calcul des facteurs'!$B$5+'Calcul des facteurs'!$C$5</f>
        <v>7.5862151335465642</v>
      </c>
    </row>
    <row r="986" spans="1:4">
      <c r="A986" t="s">
        <v>3282</v>
      </c>
      <c r="B986" t="e">
        <f>'nebuleair_export (1)'!B986*'Calcul des facteurs'!#REF!+'Calcul des facteurs'!#REF!</f>
        <v>#REF!</v>
      </c>
      <c r="C986">
        <f>'nebuleair_export (1)'!C986*'Calcul des facteurs'!$B$4+'Calcul des facteurs'!$C$4</f>
        <v>4.4082311948896544</v>
      </c>
      <c r="D986">
        <f>'nebuleair_export (1)'!D986*'Calcul des facteurs'!$B$5+'Calcul des facteurs'!$C$5</f>
        <v>7.2811981725934771</v>
      </c>
    </row>
    <row r="987" spans="1:4">
      <c r="A987" t="s">
        <v>3284</v>
      </c>
      <c r="B987" t="e">
        <f>'nebuleair_export (1)'!B987*'Calcul des facteurs'!#REF!+'Calcul des facteurs'!#REF!</f>
        <v>#REF!</v>
      </c>
      <c r="C987">
        <f>'nebuleair_export (1)'!C987*'Calcul des facteurs'!$B$4+'Calcul des facteurs'!$C$4</f>
        <v>3.5333779097736793</v>
      </c>
      <c r="D987">
        <f>'nebuleair_export (1)'!D987*'Calcul des facteurs'!$B$5+'Calcul des facteurs'!$C$5</f>
        <v>6.3027279216152641</v>
      </c>
    </row>
    <row r="988" spans="1:4">
      <c r="A988" t="s">
        <v>3286</v>
      </c>
      <c r="B988" t="e">
        <f>'nebuleair_export (1)'!B988*'Calcul des facteurs'!#REF!+'Calcul des facteurs'!#REF!</f>
        <v>#REF!</v>
      </c>
      <c r="C988">
        <f>'nebuleair_export (1)'!C988*'Calcul des facteurs'!$B$4+'Calcul des facteurs'!$C$4</f>
        <v>4.0944652487510176</v>
      </c>
      <c r="D988">
        <f>'nebuleair_export (1)'!D988*'Calcul des facteurs'!$B$5+'Calcul des facteurs'!$C$5</f>
        <v>6.9188017833422863</v>
      </c>
    </row>
    <row r="989" spans="1:4">
      <c r="A989" t="s">
        <v>3288</v>
      </c>
      <c r="B989" t="e">
        <f>'nebuleair_export (1)'!B989*'Calcul des facteurs'!#REF!+'Calcul des facteurs'!#REF!</f>
        <v>#REF!</v>
      </c>
      <c r="C989">
        <f>'nebuleair_export (1)'!C989*'Calcul des facteurs'!$B$4+'Calcul des facteurs'!$C$4</f>
        <v>4.2310457194231272</v>
      </c>
      <c r="D989">
        <f>'nebuleair_export (1)'!D989*'Calcul des facteurs'!$B$5+'Calcul des facteurs'!$C$5</f>
        <v>7.0758402186844664</v>
      </c>
    </row>
    <row r="990" spans="1:4">
      <c r="A990" t="s">
        <v>3290</v>
      </c>
      <c r="B990" t="e">
        <f>'nebuleair_export (1)'!B990*'Calcul des facteurs'!#REF!+'Calcul des facteurs'!#REF!</f>
        <v>#REF!</v>
      </c>
      <c r="C990">
        <f>'nebuleair_export (1)'!C990*'Calcul des facteurs'!$B$4+'Calcul des facteurs'!$C$4</f>
        <v>4.5226634811284603</v>
      </c>
      <c r="D990">
        <f>'nebuleair_export (1)'!D990*'Calcul des facteurs'!$B$5+'Calcul des facteurs'!$C$5</f>
        <v>7.3838771495479776</v>
      </c>
    </row>
    <row r="991" spans="1:4">
      <c r="A991" t="s">
        <v>3292</v>
      </c>
      <c r="B991" t="e">
        <f>'nebuleair_export (1)'!B991*'Calcul des facteurs'!#REF!+'Calcul des facteurs'!#REF!</f>
        <v>#REF!</v>
      </c>
      <c r="C991">
        <f>'nebuleair_export (1)'!C991*'Calcul des facteurs'!$B$4+'Calcul des facteurs'!$C$4</f>
        <v>2.6216109839355139</v>
      </c>
      <c r="D991">
        <f>'nebuleair_export (1)'!D991*'Calcul des facteurs'!$B$5+'Calcul des facteurs'!$C$5</f>
        <v>5.29405797153278</v>
      </c>
    </row>
    <row r="992" spans="1:4">
      <c r="A992" t="s">
        <v>3293</v>
      </c>
      <c r="B992" t="e">
        <f>'nebuleair_export (1)'!B992*'Calcul des facteurs'!#REF!+'Calcul des facteurs'!#REF!</f>
        <v>#REF!</v>
      </c>
      <c r="C992">
        <f>'nebuleair_export (1)'!C992*'Calcul des facteurs'!$B$4+'Calcul des facteurs'!$C$4</f>
        <v>2.3669068629523817</v>
      </c>
      <c r="D992">
        <f>'nebuleair_export (1)'!D992*'Calcul des facteurs'!$B$5+'Calcul des facteurs'!$C$5</f>
        <v>5.0101807999526837</v>
      </c>
    </row>
    <row r="993" spans="1:4">
      <c r="A993" t="s">
        <v>3294</v>
      </c>
      <c r="B993" t="e">
        <f>'nebuleair_export (1)'!B993*'Calcul des facteurs'!#REF!+'Calcul des facteurs'!#REF!</f>
        <v>#REF!</v>
      </c>
      <c r="C993">
        <f>'nebuleair_export (1)'!C993*'Calcul des facteurs'!$B$4+'Calcul des facteurs'!$C$4</f>
        <v>2.7471173623909779</v>
      </c>
      <c r="D993">
        <f>'nebuleair_export (1)'!D993*'Calcul des facteurs'!$B$5+'Calcul des facteurs'!$C$5</f>
        <v>5.4239166776811292</v>
      </c>
    </row>
    <row r="994" spans="1:4">
      <c r="A994" t="s">
        <v>3296</v>
      </c>
      <c r="B994" t="e">
        <f>'nebuleair_export (1)'!B994*'Calcul des facteurs'!#REF!+'Calcul des facteurs'!#REF!</f>
        <v>#REF!</v>
      </c>
      <c r="C994">
        <f>'nebuleair_export (1)'!C994*'Calcul des facteurs'!$B$4+'Calcul des facteurs'!$C$4</f>
        <v>2.437042780324556</v>
      </c>
      <c r="D994">
        <f>'nebuleair_export (1)'!D994*'Calcul des facteurs'!$B$5+'Calcul des facteurs'!$C$5</f>
        <v>5.0736001680716427</v>
      </c>
    </row>
    <row r="995" spans="1:4">
      <c r="A995" t="s">
        <v>3298</v>
      </c>
      <c r="B995" t="e">
        <f>'nebuleair_export (1)'!B995*'Calcul des facteurs'!#REF!+'Calcul des facteurs'!#REF!</f>
        <v>#REF!</v>
      </c>
      <c r="C995">
        <f>'nebuleair_export (1)'!C995*'Calcul des facteurs'!$B$4+'Calcul des facteurs'!$C$4</f>
        <v>1.905486353924976</v>
      </c>
      <c r="D995">
        <f>'nebuleair_export (1)'!D995*'Calcul des facteurs'!$B$5+'Calcul des facteurs'!$C$5</f>
        <v>4.4967859151801708</v>
      </c>
    </row>
    <row r="996" spans="1:4">
      <c r="A996" t="s">
        <v>3299</v>
      </c>
      <c r="B996" t="e">
        <f>'nebuleair_export (1)'!B996*'Calcul des facteurs'!#REF!+'Calcul des facteurs'!#REF!</f>
        <v>#REF!</v>
      </c>
      <c r="C996">
        <f>'nebuleair_export (1)'!C996*'Calcul des facteurs'!$B$4+'Calcul des facteurs'!$C$4</f>
        <v>2.2118695719191708</v>
      </c>
      <c r="D996">
        <f>'nebuleair_export (1)'!D996*'Calcul des facteurs'!$B$5+'Calcul des facteurs'!$C$5</f>
        <v>4.8289826053270897</v>
      </c>
    </row>
    <row r="997" spans="1:4">
      <c r="A997" t="s">
        <v>3301</v>
      </c>
      <c r="B997" t="e">
        <f>'nebuleair_export (1)'!B997*'Calcul des facteurs'!#REF!+'Calcul des facteurs'!#REF!</f>
        <v>#REF!</v>
      </c>
      <c r="C997">
        <f>'nebuleair_export (1)'!C997*'Calcul des facteurs'!$B$4+'Calcul des facteurs'!$C$4</f>
        <v>2.5477837024911349</v>
      </c>
      <c r="D997">
        <f>'nebuleair_export (1)'!D997*'Calcul des facteurs'!$B$5+'Calcul des facteurs'!$C$5</f>
        <v>5.2064788441304151</v>
      </c>
    </row>
    <row r="998" spans="1:4">
      <c r="A998" t="s">
        <v>3303</v>
      </c>
      <c r="B998" t="e">
        <f>'nebuleair_export (1)'!B998*'Calcul des facteurs'!#REF!+'Calcul des facteurs'!#REF!</f>
        <v>#REF!</v>
      </c>
      <c r="C998">
        <f>'nebuleair_export (1)'!C998*'Calcul des facteurs'!$B$4+'Calcul des facteurs'!$C$4</f>
        <v>2.9353769300741623</v>
      </c>
      <c r="D998">
        <f>'nebuleair_export (1)'!D998*'Calcul des facteurs'!$B$5+'Calcul des facteurs'!$C$5</f>
        <v>5.6262546616797069</v>
      </c>
    </row>
    <row r="999" spans="1:4">
      <c r="A999" t="s">
        <v>3304</v>
      </c>
      <c r="B999" t="e">
        <f>'nebuleair_export (1)'!B999*'Calcul des facteurs'!#REF!+'Calcul des facteurs'!#REF!</f>
        <v>#REF!</v>
      </c>
      <c r="C999">
        <f>'nebuleair_export (1)'!C999*'Calcul des facteurs'!$B$4+'Calcul des facteurs'!$C$4</f>
        <v>2.2856968533635609</v>
      </c>
      <c r="D999">
        <f>'nebuleair_export (1)'!D999*'Calcul des facteurs'!$B$5+'Calcul des facteurs'!$C$5</f>
        <v>4.9195817026398867</v>
      </c>
    </row>
    <row r="1000" spans="1:4">
      <c r="A1000" t="s">
        <v>3306</v>
      </c>
      <c r="B1000" t="e">
        <f>'nebuleair_export (1)'!B1000*'Calcul des facteurs'!#REF!+'Calcul des facteurs'!#REF!</f>
        <v>#REF!</v>
      </c>
      <c r="C1000">
        <f>'nebuleair_export (1)'!C1000*'Calcul des facteurs'!$B$4+'Calcul des facteurs'!$C$4</f>
        <v>1.6360167766529592</v>
      </c>
      <c r="D1000">
        <f>'nebuleair_export (1)'!D1000*'Calcul des facteurs'!$B$5+'Calcul des facteurs'!$C$5</f>
        <v>4.2008288639583631</v>
      </c>
    </row>
    <row r="1001" spans="1:4">
      <c r="A1001" t="s">
        <v>3307</v>
      </c>
      <c r="B1001" t="e">
        <f>'nebuleair_export (1)'!B1001*'Calcul des facteurs'!#REF!+'Calcul des facteurs'!#REF!</f>
        <v>#REF!</v>
      </c>
      <c r="C1001">
        <f>'nebuleair_export (1)'!C1001*'Calcul des facteurs'!$B$4+'Calcul des facteurs'!$C$4</f>
        <v>2.1343509264025657</v>
      </c>
      <c r="D1001">
        <f>'nebuleair_export (1)'!D1001*'Calcul des facteurs'!$B$5+'Calcul des facteurs'!$C$5</f>
        <v>4.7504633876560041</v>
      </c>
    </row>
    <row r="1002" spans="1:4">
      <c r="A1002" t="s">
        <v>3309</v>
      </c>
      <c r="B1002" t="e">
        <f>'nebuleair_export (1)'!B1002*'Calcul des facteurs'!#REF!+'Calcul des facteurs'!#REF!</f>
        <v>#REF!</v>
      </c>
      <c r="C1002">
        <f>'nebuleair_export (1)'!C1002*'Calcul des facteurs'!$B$4+'Calcul des facteurs'!$C$4</f>
        <v>6.2945182357937277</v>
      </c>
      <c r="D1002">
        <f>'nebuleair_export (1)'!D1002*'Calcul des facteurs'!$B$5+'Calcul des facteurs'!$C$5</f>
        <v>9.3438376214148349</v>
      </c>
    </row>
    <row r="1003" spans="1:4">
      <c r="A1003" t="s">
        <v>3311</v>
      </c>
      <c r="B1003" t="e">
        <f>'nebuleair_export (1)'!B1003*'Calcul des facteurs'!#REF!+'Calcul des facteurs'!#REF!</f>
        <v>#REF!</v>
      </c>
      <c r="C1003">
        <f>'nebuleair_export (1)'!C1003*'Calcul des facteurs'!$B$4+'Calcul des facteurs'!$C$4</f>
        <v>5.3384549410889193</v>
      </c>
      <c r="D1003">
        <f>'nebuleair_export (1)'!D1003*'Calcul des facteurs'!$B$5+'Calcul des facteurs'!$C$5</f>
        <v>8.2808082129446721</v>
      </c>
    </row>
    <row r="1004" spans="1:4">
      <c r="A1004" t="s">
        <v>3313</v>
      </c>
      <c r="B1004" t="e">
        <f>'nebuleair_export (1)'!B1004*'Calcul des facteurs'!#REF!+'Calcul des facteurs'!#REF!</f>
        <v>#REF!</v>
      </c>
      <c r="C1004">
        <f>'nebuleair_export (1)'!C1004*'Calcul des facteurs'!$B$4+'Calcul des facteurs'!$C$4</f>
        <v>5.7998754501163363</v>
      </c>
      <c r="D1004">
        <f>'nebuleair_export (1)'!D1004*'Calcul des facteurs'!$B$5+'Calcul des facteurs'!$C$5</f>
        <v>8.797223067627618</v>
      </c>
    </row>
    <row r="1005" spans="1:4">
      <c r="A1005" t="s">
        <v>3315</v>
      </c>
      <c r="B1005" t="e">
        <f>'nebuleair_export (1)'!B1005*'Calcul des facteurs'!#REF!+'Calcul des facteurs'!#REF!</f>
        <v>#REF!</v>
      </c>
      <c r="C1005">
        <f>'nebuleair_export (1)'!C1005*'Calcul des facteurs'!$B$4+'Calcul des facteurs'!$C$4</f>
        <v>5.0579112716002559</v>
      </c>
      <c r="D1005">
        <f>'nebuleair_export (1)'!D1005*'Calcul des facteurs'!$B$5+'Calcul des facteurs'!$C$5</f>
        <v>7.9727712820811609</v>
      </c>
    </row>
    <row r="1006" spans="1:4">
      <c r="A1006" t="s">
        <v>3317</v>
      </c>
      <c r="B1006" t="e">
        <f>'nebuleair_export (1)'!B1006*'Calcul des facteurs'!#REF!+'Calcul des facteurs'!#REF!</f>
        <v>#REF!</v>
      </c>
      <c r="C1006">
        <f>'nebuleair_export (1)'!C1006*'Calcul des facteurs'!$B$4+'Calcul des facteurs'!$C$4</f>
        <v>2.2450918485691447</v>
      </c>
      <c r="D1006">
        <f>'nebuleair_export (1)'!D1006*'Calcul des facteurs'!$B$5+'Calcul des facteurs'!$C$5</f>
        <v>4.8591823044313607</v>
      </c>
    </row>
    <row r="1007" spans="1:4">
      <c r="A1007" t="s">
        <v>3319</v>
      </c>
      <c r="B1007" t="e">
        <f>'nebuleair_export (1)'!B1007*'Calcul des facteurs'!#REF!+'Calcul des facteurs'!#REF!</f>
        <v>#REF!</v>
      </c>
      <c r="C1007">
        <f>'nebuleair_export (1)'!C1007*'Calcul des facteurs'!$B$4+'Calcul des facteurs'!$C$4</f>
        <v>1.628634048508528</v>
      </c>
      <c r="D1007">
        <f>'nebuleair_export (1)'!D1007*'Calcul des facteurs'!$B$5+'Calcul des facteurs'!$C$5</f>
        <v>4.1827090444958035</v>
      </c>
    </row>
    <row r="1008" spans="1:4">
      <c r="A1008" t="s">
        <v>3320</v>
      </c>
      <c r="B1008" t="e">
        <f>'nebuleair_export (1)'!B1008*'Calcul des facteurs'!#REF!+'Calcul des facteurs'!#REF!</f>
        <v>#REF!</v>
      </c>
      <c r="C1008">
        <f>'nebuleair_export (1)'!C1008*'Calcul des facteurs'!$B$4+'Calcul des facteurs'!$C$4</f>
        <v>1.3037940101532284</v>
      </c>
      <c r="D1008">
        <f>'nebuleair_export (1)'!D1008*'Calcul des facteurs'!$B$5+'Calcul des facteurs'!$C$5</f>
        <v>3.8263525950654609</v>
      </c>
    </row>
    <row r="1009" spans="1:4">
      <c r="A1009" t="s">
        <v>3322</v>
      </c>
      <c r="B1009" t="e">
        <f>'nebuleair_export (1)'!B1009*'Calcul des facteurs'!#REF!+'Calcul des facteurs'!#REF!</f>
        <v>#REF!</v>
      </c>
      <c r="C1009">
        <f>'nebuleair_export (1)'!C1009*'Calcul des facteurs'!$B$4+'Calcul des facteurs'!$C$4</f>
        <v>1.7430663347473228</v>
      </c>
      <c r="D1009">
        <f>'nebuleair_export (1)'!D1009*'Calcul des facteurs'!$B$5+'Calcul des facteurs'!$C$5</f>
        <v>4.3276676001962802</v>
      </c>
    </row>
    <row r="1010" spans="1:4">
      <c r="A1010" t="s">
        <v>3324</v>
      </c>
      <c r="B1010" t="e">
        <f>'nebuleair_export (1)'!B1010*'Calcul des facteurs'!#REF!+'Calcul des facteurs'!#REF!</f>
        <v>#REF!</v>
      </c>
      <c r="C1010">
        <f>'nebuleair_export (1)'!C1010*'Calcul des facteurs'!$B$4+'Calcul des facteurs'!$C$4</f>
        <v>2.4075118677467979</v>
      </c>
      <c r="D1010">
        <f>'nebuleair_export (1)'!D1010*'Calcul des facteurs'!$B$5+'Calcul des facteurs'!$C$5</f>
        <v>5.0464204388778029</v>
      </c>
    </row>
    <row r="1011" spans="1:4">
      <c r="A1011" t="s">
        <v>3326</v>
      </c>
      <c r="B1011" t="e">
        <f>'nebuleair_export (1)'!B1011*'Calcul des facteurs'!#REF!+'Calcul des facteurs'!#REF!</f>
        <v>#REF!</v>
      </c>
      <c r="C1011">
        <f>'nebuleair_export (1)'!C1011*'Calcul des facteurs'!$B$4+'Calcul des facteurs'!$C$4</f>
        <v>3.1273278618295626</v>
      </c>
      <c r="D1011">
        <f>'nebuleair_export (1)'!D1011*'Calcul des facteurs'!$B$5+'Calcul des facteurs'!$C$5</f>
        <v>5.8527524049617003</v>
      </c>
    </row>
    <row r="1012" spans="1:4">
      <c r="A1012" t="s">
        <v>3327</v>
      </c>
      <c r="B1012" t="e">
        <f>'nebuleair_export (1)'!B1012*'Calcul des facteurs'!#REF!+'Calcul des facteurs'!#REF!</f>
        <v>#REF!</v>
      </c>
      <c r="C1012">
        <f>'nebuleair_export (1)'!C1012*'Calcul des facteurs'!$B$4+'Calcul des facteurs'!$C$4</f>
        <v>1.5142017622697221</v>
      </c>
      <c r="D1012">
        <f>'nebuleair_export (1)'!D1012*'Calcul des facteurs'!$B$5+'Calcul des facteurs'!$C$5</f>
        <v>4.0588902781683114</v>
      </c>
    </row>
    <row r="1013" spans="1:4">
      <c r="A1013" t="s">
        <v>3329</v>
      </c>
      <c r="B1013" t="e">
        <f>'nebuleair_export (1)'!B1013*'Calcul des facteurs'!#REF!+'Calcul des facteurs'!#REF!</f>
        <v>#REF!</v>
      </c>
      <c r="C1013">
        <f>'nebuleair_export (1)'!C1013*'Calcul des facteurs'!$B$4+'Calcul des facteurs'!$C$4</f>
        <v>1.4477572089697746</v>
      </c>
      <c r="D1013">
        <f>'nebuleair_export (1)'!D1013*'Calcul des facteurs'!$B$5+'Calcul des facteurs'!$C$5</f>
        <v>3.9894309702284962</v>
      </c>
    </row>
    <row r="1014" spans="1:4">
      <c r="A1014" t="s">
        <v>3330</v>
      </c>
      <c r="B1014" t="e">
        <f>'nebuleair_export (1)'!B1014*'Calcul des facteurs'!#REF!+'Calcul des facteurs'!#REF!</f>
        <v>#REF!</v>
      </c>
      <c r="C1014">
        <f>'nebuleair_export (1)'!C1014*'Calcul des facteurs'!$B$4+'Calcul des facteurs'!$C$4</f>
        <v>2.1380422904747922</v>
      </c>
      <c r="D1014">
        <f>'nebuleair_export (1)'!D1014*'Calcul des facteurs'!$B$5+'Calcul des facteurs'!$C$5</f>
        <v>4.7504633876560041</v>
      </c>
    </row>
    <row r="1015" spans="1:4">
      <c r="A1015" t="s">
        <v>3332</v>
      </c>
      <c r="B1015" t="e">
        <f>'nebuleair_export (1)'!B1015*'Calcul des facteurs'!#REF!+'Calcul des facteurs'!#REF!</f>
        <v>#REF!</v>
      </c>
      <c r="C1015">
        <f>'nebuleair_export (1)'!C1015*'Calcul des facteurs'!$B$4+'Calcul des facteurs'!$C$4</f>
        <v>1.5621894952085804</v>
      </c>
      <c r="D1015">
        <f>'nebuleair_export (1)'!D1015*'Calcul des facteurs'!$B$5+'Calcul des facteurs'!$C$5</f>
        <v>4.1132497365559892</v>
      </c>
    </row>
    <row r="1016" spans="1:4">
      <c r="A1016" t="s">
        <v>3333</v>
      </c>
      <c r="B1016" t="e">
        <f>'nebuleair_export (1)'!B1016*'Calcul des facteurs'!#REF!+'Calcul des facteurs'!#REF!</f>
        <v>#REF!</v>
      </c>
      <c r="C1016">
        <f>'nebuleair_export (1)'!C1016*'Calcul des facteurs'!$B$4+'Calcul des facteurs'!$C$4</f>
        <v>1.7393749706750963</v>
      </c>
      <c r="D1016">
        <f>'nebuleair_export (1)'!D1016*'Calcul des facteurs'!$B$5+'Calcul des facteurs'!$C$5</f>
        <v>4.288407991360728</v>
      </c>
    </row>
    <row r="1017" spans="1:4">
      <c r="A1017" t="s">
        <v>3335</v>
      </c>
      <c r="B1017" t="e">
        <f>'nebuleair_export (1)'!B1017*'Calcul des facteurs'!#REF!+'Calcul des facteurs'!#REF!</f>
        <v>#REF!</v>
      </c>
      <c r="C1017">
        <f>'nebuleair_export (1)'!C1017*'Calcul des facteurs'!$B$4+'Calcul des facteurs'!$C$4</f>
        <v>2.1195854701136918</v>
      </c>
      <c r="D1017">
        <f>'nebuleair_export (1)'!D1017*'Calcul des facteurs'!$B$5+'Calcul des facteurs'!$C$5</f>
        <v>4.7534833575664273</v>
      </c>
    </row>
    <row r="1018" spans="1:4">
      <c r="A1018" t="s">
        <v>3337</v>
      </c>
      <c r="B1018" t="e">
        <f>'nebuleair_export (1)'!B1018*'Calcul des facteurs'!#REF!+'Calcul des facteurs'!#REF!</f>
        <v>#REF!</v>
      </c>
      <c r="C1018">
        <f>'nebuleair_export (1)'!C1018*'Calcul des facteurs'!$B$4+'Calcul des facteurs'!$C$4</f>
        <v>2.2561659407858023</v>
      </c>
      <c r="D1018">
        <f>'nebuleair_export (1)'!D1018*'Calcul des facteurs'!$B$5+'Calcul des facteurs'!$C$5</f>
        <v>4.895421943356471</v>
      </c>
    </row>
    <row r="1019" spans="1:4">
      <c r="A1019" t="s">
        <v>3339</v>
      </c>
      <c r="B1019" t="e">
        <f>'nebuleair_export (1)'!B1019*'Calcul des facteurs'!#REF!+'Calcul des facteurs'!#REF!</f>
        <v>#REF!</v>
      </c>
      <c r="C1019">
        <f>'nebuleair_export (1)'!C1019*'Calcul des facteurs'!$B$4+'Calcul des facteurs'!$C$4</f>
        <v>2.4222773240356714</v>
      </c>
      <c r="D1019">
        <f>'nebuleair_export (1)'!D1019*'Calcul des facteurs'!$B$5+'Calcul des facteurs'!$C$5</f>
        <v>5.0645402583403625</v>
      </c>
    </row>
    <row r="1020" spans="1:4">
      <c r="A1020" t="s">
        <v>3341</v>
      </c>
      <c r="B1020" t="e">
        <f>'nebuleair_export (1)'!B1020*'Calcul des facteurs'!#REF!+'Calcul des facteurs'!#REF!</f>
        <v>#REF!</v>
      </c>
      <c r="C1020">
        <f>'nebuleair_export (1)'!C1020*'Calcul des facteurs'!$B$4+'Calcul des facteurs'!$C$4</f>
        <v>1.6138685922196436</v>
      </c>
      <c r="D1020">
        <f>'nebuleair_export (1)'!D1020*'Calcul des facteurs'!$B$5+'Calcul des facteurs'!$C$5</f>
        <v>4.1857290144062276</v>
      </c>
    </row>
    <row r="1021" spans="1:4">
      <c r="A1021" t="s">
        <v>3343</v>
      </c>
      <c r="B1021" t="e">
        <f>'nebuleair_export (1)'!B1021*'Calcul des facteurs'!#REF!+'Calcul des facteurs'!#REF!</f>
        <v>#REF!</v>
      </c>
      <c r="C1021">
        <f>'nebuleair_export (1)'!C1021*'Calcul des facteurs'!$B$4+'Calcul des facteurs'!$C$4</f>
        <v>1.8611899850583442</v>
      </c>
      <c r="D1021">
        <f>'nebuleair_export (1)'!D1021*'Calcul des facteurs'!$B$5+'Calcul des facteurs'!$C$5</f>
        <v>4.4545063364341964</v>
      </c>
    </row>
    <row r="1022" spans="1:4">
      <c r="A1022" t="s">
        <v>3345</v>
      </c>
      <c r="B1022" t="e">
        <f>'nebuleair_export (1)'!B1022*'Calcul des facteurs'!#REF!+'Calcul des facteurs'!#REF!</f>
        <v>#REF!</v>
      </c>
      <c r="C1022">
        <f>'nebuleair_export (1)'!C1022*'Calcul des facteurs'!$B$4+'Calcul des facteurs'!$C$4</f>
        <v>2.2598573048580297</v>
      </c>
      <c r="D1022">
        <f>'nebuleair_export (1)'!D1022*'Calcul des facteurs'!$B$5+'Calcul des facteurs'!$C$5</f>
        <v>4.8924019734460469</v>
      </c>
    </row>
    <row r="1023" spans="1:4">
      <c r="A1023" t="s">
        <v>3347</v>
      </c>
      <c r="B1023" t="e">
        <f>'nebuleair_export (1)'!B1023*'Calcul des facteurs'!#REF!+'Calcul des facteurs'!#REF!</f>
        <v>#REF!</v>
      </c>
      <c r="C1023">
        <f>'nebuleair_export (1)'!C1023*'Calcul des facteurs'!$B$4+'Calcul des facteurs'!$C$4</f>
        <v>2.1675732030525392</v>
      </c>
      <c r="D1023">
        <f>'nebuleair_export (1)'!D1023*'Calcul des facteurs'!$B$5+'Calcul des facteurs'!$C$5</f>
        <v>4.7867030265811144</v>
      </c>
    </row>
    <row r="1024" spans="1:4">
      <c r="A1024" t="s">
        <v>3349</v>
      </c>
      <c r="B1024" t="e">
        <f>'nebuleair_export (1)'!B1024*'Calcul des facteurs'!#REF!+'Calcul des facteurs'!#REF!</f>
        <v>#REF!</v>
      </c>
      <c r="C1024">
        <f>'nebuleair_export (1)'!C1024*'Calcul des facteurs'!$B$4+'Calcul des facteurs'!$C$4</f>
        <v>3.437402443895984</v>
      </c>
      <c r="D1024">
        <f>'nebuleair_export (1)'!D1024*'Calcul des facteurs'!$B$5+'Calcul des facteurs'!$C$5</f>
        <v>6.1940090048399075</v>
      </c>
    </row>
    <row r="1025" spans="1:4">
      <c r="A1025" t="s">
        <v>3351</v>
      </c>
      <c r="B1025" t="e">
        <f>'nebuleair_export (1)'!B1025*'Calcul des facteurs'!#REF!+'Calcul des facteurs'!#REF!</f>
        <v>#REF!</v>
      </c>
      <c r="C1025">
        <f>'nebuleair_export (1)'!C1025*'Calcul des facteurs'!$B$4+'Calcul des facteurs'!$C$4</f>
        <v>3.9209711373567173</v>
      </c>
      <c r="D1025">
        <f>'nebuleair_export (1)'!D1025*'Calcul des facteurs'!$B$5+'Calcul des facteurs'!$C$5</f>
        <v>6.7285436789854121</v>
      </c>
    </row>
    <row r="1026" spans="1:4">
      <c r="A1026" t="s">
        <v>3353</v>
      </c>
      <c r="B1026" t="e">
        <f>'nebuleair_export (1)'!B1026*'Calcul des facteurs'!#REF!+'Calcul des facteurs'!#REF!</f>
        <v>#REF!</v>
      </c>
      <c r="C1026">
        <f>'nebuleair_export (1)'!C1026*'Calcul des facteurs'!$B$4+'Calcul des facteurs'!$C$4</f>
        <v>4.33071254937306</v>
      </c>
      <c r="D1026">
        <f>'nebuleair_export (1)'!D1026*'Calcul des facteurs'!$B$5+'Calcul des facteurs'!$C$5</f>
        <v>7.1634193460868403</v>
      </c>
    </row>
    <row r="1027" spans="1:4">
      <c r="A1027" t="s">
        <v>3355</v>
      </c>
      <c r="B1027" t="e">
        <f>'nebuleair_export (1)'!B1027*'Calcul des facteurs'!#REF!+'Calcul des facteurs'!#REF!</f>
        <v>#REF!</v>
      </c>
      <c r="C1027">
        <f>'nebuleair_export (1)'!C1027*'Calcul des facteurs'!$B$4+'Calcul des facteurs'!$C$4</f>
        <v>4.9988494464447504</v>
      </c>
      <c r="D1027">
        <f>'nebuleair_export (1)'!D1027*'Calcul des facteurs'!$B$5+'Calcul des facteurs'!$C$5</f>
        <v>7.9304917033351945</v>
      </c>
    </row>
    <row r="1028" spans="1:4">
      <c r="A1028" t="s">
        <v>3357</v>
      </c>
      <c r="B1028" t="e">
        <f>'nebuleair_export (1)'!B1028*'Calcul des facteurs'!#REF!+'Calcul des facteurs'!#REF!</f>
        <v>#REF!</v>
      </c>
      <c r="C1028">
        <f>'nebuleair_export (1)'!C1028*'Calcul des facteurs'!$B$4+'Calcul des facteurs'!$C$4</f>
        <v>3.4632419924015156</v>
      </c>
      <c r="D1028">
        <f>'nebuleair_export (1)'!D1028*'Calcul des facteurs'!$B$5+'Calcul des facteurs'!$C$5</f>
        <v>6.1275696668105253</v>
      </c>
    </row>
    <row r="1029" spans="1:4">
      <c r="A1029" t="s">
        <v>3359</v>
      </c>
      <c r="B1029" t="e">
        <f>'nebuleair_export (1)'!B1029*'Calcul des facteurs'!#REF!+'Calcul des facteurs'!#REF!</f>
        <v>#REF!</v>
      </c>
      <c r="C1029">
        <f>'nebuleair_export (1)'!C1029*'Calcul des facteurs'!$B$4+'Calcul des facteurs'!$C$4</f>
        <v>4.0464775158121702</v>
      </c>
      <c r="D1029">
        <f>'nebuleair_export (1)'!D1029*'Calcul des facteurs'!$B$5+'Calcul des facteurs'!$C$5</f>
        <v>6.6862641002394376</v>
      </c>
    </row>
    <row r="1030" spans="1:4">
      <c r="A1030" t="s">
        <v>3361</v>
      </c>
      <c r="B1030" t="e">
        <f>'nebuleair_export (1)'!B1030*'Calcul des facteurs'!#REF!+'Calcul des facteurs'!#REF!</f>
        <v>#REF!</v>
      </c>
      <c r="C1030">
        <f>'nebuleair_export (1)'!C1030*'Calcul des facteurs'!$B$4+'Calcul des facteurs'!$C$4</f>
        <v>5.0099235386614094</v>
      </c>
      <c r="D1030">
        <f>'nebuleair_export (1)'!D1030*'Calcul des facteurs'!$B$5+'Calcul des facteurs'!$C$5</f>
        <v>7.63755462202381</v>
      </c>
    </row>
    <row r="1031" spans="1:4">
      <c r="A1031" t="s">
        <v>3363</v>
      </c>
      <c r="B1031" t="e">
        <f>'nebuleair_export (1)'!B1031*'Calcul des facteurs'!#REF!+'Calcul des facteurs'!#REF!</f>
        <v>#REF!</v>
      </c>
      <c r="C1031">
        <f>'nebuleair_export (1)'!C1031*'Calcul des facteurs'!$B$4+'Calcul des facteurs'!$C$4</f>
        <v>4.4414534715396279</v>
      </c>
      <c r="D1031">
        <f>'nebuleair_export (1)'!D1031*'Calcul des facteurs'!$B$5+'Calcul des facteurs'!$C$5</f>
        <v>7.1483194965347039</v>
      </c>
    </row>
    <row r="1032" spans="1:4">
      <c r="A1032" t="s">
        <v>3365</v>
      </c>
      <c r="B1032" t="e">
        <f>'nebuleair_export (1)'!B1032*'Calcul des facteurs'!#REF!+'Calcul des facteurs'!#REF!</f>
        <v>#REF!</v>
      </c>
      <c r="C1032">
        <f>'nebuleair_export (1)'!C1032*'Calcul des facteurs'!$B$4+'Calcul des facteurs'!$C$4</f>
        <v>4.1535270739065222</v>
      </c>
      <c r="D1032">
        <f>'nebuleair_export (1)'!D1032*'Calcul des facteurs'!$B$5+'Calcul des facteurs'!$C$5</f>
        <v>6.9822211514612453</v>
      </c>
    </row>
    <row r="1033" spans="1:4">
      <c r="A1033" t="s">
        <v>3367</v>
      </c>
      <c r="B1033" t="e">
        <f>'nebuleair_export (1)'!B1033*'Calcul des facteurs'!#REF!+'Calcul des facteurs'!#REF!</f>
        <v>#REF!</v>
      </c>
      <c r="C1033">
        <f>'nebuleair_export (1)'!C1033*'Calcul des facteurs'!$B$4+'Calcul des facteurs'!$C$4</f>
        <v>4.4525275637562975</v>
      </c>
      <c r="D1033">
        <f>'nebuleair_export (1)'!D1033*'Calcul des facteurs'!$B$5+'Calcul des facteurs'!$C$5</f>
        <v>7.1664393159972635</v>
      </c>
    </row>
    <row r="1034" spans="1:4">
      <c r="A1034" t="s">
        <v>3369</v>
      </c>
      <c r="B1034" t="e">
        <f>'nebuleair_export (1)'!B1034*'Calcul des facteurs'!#REF!+'Calcul des facteurs'!#REF!</f>
        <v>#REF!</v>
      </c>
      <c r="C1034">
        <f>'nebuleair_export (1)'!C1034*'Calcul des facteurs'!$B$4+'Calcul des facteurs'!$C$4</f>
        <v>4.4525275637562975</v>
      </c>
      <c r="D1034">
        <f>'nebuleair_export (1)'!D1034*'Calcul des facteurs'!$B$5+'Calcul des facteurs'!$C$5</f>
        <v>8.9240618038655342</v>
      </c>
    </row>
    <row r="1035" spans="1:4">
      <c r="A1035" t="s">
        <v>3371</v>
      </c>
      <c r="B1035" t="e">
        <f>'nebuleair_export (1)'!B1035*'Calcul des facteurs'!#REF!+'Calcul des facteurs'!#REF!</f>
        <v>#REF!</v>
      </c>
      <c r="C1035">
        <f>'nebuleair_export (1)'!C1035*'Calcul des facteurs'!$B$4+'Calcul des facteurs'!$C$4</f>
        <v>4.1424529816898756</v>
      </c>
      <c r="D1035">
        <f>'nebuleair_export (1)'!D1035*'Calcul des facteurs'!$B$5+'Calcul des facteurs'!$C$5</f>
        <v>6.6409645515830373</v>
      </c>
    </row>
    <row r="1036" spans="1:4">
      <c r="A1036" t="s">
        <v>3373</v>
      </c>
      <c r="B1036" t="e">
        <f>'nebuleair_export (1)'!B1036*'Calcul des facteurs'!#REF!+'Calcul des facteurs'!#REF!</f>
        <v>#REF!</v>
      </c>
      <c r="C1036">
        <f>'nebuleair_export (1)'!C1036*'Calcul des facteurs'!$B$4+'Calcul des facteurs'!$C$4</f>
        <v>4.6813921362338871</v>
      </c>
      <c r="D1036">
        <f>'nebuleair_export (1)'!D1036*'Calcul des facteurs'!$B$5+'Calcul des facteurs'!$C$5</f>
        <v>8.5465655650622168</v>
      </c>
    </row>
    <row r="1037" spans="1:4">
      <c r="A1037" t="s">
        <v>3374</v>
      </c>
      <c r="B1037" t="e">
        <f>'nebuleair_export (1)'!B1037*'Calcul des facteurs'!#REF!+'Calcul des facteurs'!#REF!</f>
        <v>#REF!</v>
      </c>
      <c r="C1037">
        <f>'nebuleair_export (1)'!C1037*'Calcul des facteurs'!$B$4+'Calcul des facteurs'!$C$4</f>
        <v>4.8216639709782241</v>
      </c>
      <c r="D1037">
        <f>'nebuleair_export (1)'!D1037*'Calcul des facteurs'!$B$5+'Calcul des facteurs'!$C$5</f>
        <v>8.3019480023176637</v>
      </c>
    </row>
    <row r="1038" spans="1:4">
      <c r="A1038" t="s">
        <v>3375</v>
      </c>
      <c r="B1038" t="e">
        <f>'nebuleair_export (1)'!B1038*'Calcul des facteurs'!#REF!+'Calcul des facteurs'!#REF!</f>
        <v>#REF!</v>
      </c>
      <c r="C1038">
        <f>'nebuleair_export (1)'!C1038*'Calcul des facteurs'!$B$4+'Calcul des facteurs'!$C$4</f>
        <v>5.0394544512391555</v>
      </c>
      <c r="D1038">
        <f>'nebuleair_export (1)'!D1038*'Calcul des facteurs'!$B$5+'Calcul des facteurs'!$C$5</f>
        <v>9.1294197577745457</v>
      </c>
    </row>
    <row r="1039" spans="1:4">
      <c r="A1039" t="s">
        <v>3377</v>
      </c>
      <c r="B1039" t="e">
        <f>'nebuleair_export (1)'!B1039*'Calcul des facteurs'!#REF!+'Calcul des facteurs'!#REF!</f>
        <v>#REF!</v>
      </c>
      <c r="C1039">
        <f>'nebuleair_export (1)'!C1039*'Calcul des facteurs'!$B$4+'Calcul des facteurs'!$C$4</f>
        <v>3.9098970451400588</v>
      </c>
      <c r="D1039">
        <f>'nebuleair_export (1)'!D1039*'Calcul des facteurs'!$B$5+'Calcul des facteurs'!$C$5</f>
        <v>7.4956160362337672</v>
      </c>
    </row>
    <row r="1040" spans="1:4">
      <c r="A1040" t="s">
        <v>3378</v>
      </c>
      <c r="B1040" t="e">
        <f>'nebuleair_export (1)'!B1040*'Calcul des facteurs'!#REF!+'Calcul des facteurs'!#REF!</f>
        <v>#REF!</v>
      </c>
      <c r="C1040">
        <f>'nebuleair_export (1)'!C1040*'Calcul des facteurs'!$B$4+'Calcul des facteurs'!$C$4</f>
        <v>3.8102302151901379</v>
      </c>
      <c r="D1040">
        <f>'nebuleair_export (1)'!D1040*'Calcul des facteurs'!$B$5+'Calcul des facteurs'!$C$5</f>
        <v>7.2056989248328147</v>
      </c>
    </row>
    <row r="1041" spans="1:4">
      <c r="A1041" t="s">
        <v>3380</v>
      </c>
      <c r="B1041" t="e">
        <f>'nebuleair_export (1)'!B1041*'Calcul des facteurs'!#REF!+'Calcul des facteurs'!#REF!</f>
        <v>#REF!</v>
      </c>
      <c r="C1041">
        <f>'nebuleair_export (1)'!C1041*'Calcul des facteurs'!$B$4+'Calcul des facteurs'!$C$4</f>
        <v>5.3458376692333625</v>
      </c>
      <c r="D1041">
        <f>'nebuleair_export (1)'!D1041*'Calcul des facteurs'!$B$5+'Calcul des facteurs'!$C$5</f>
        <v>8.8606424357465752</v>
      </c>
    </row>
    <row r="1042" spans="1:4">
      <c r="A1042" t="s">
        <v>3382</v>
      </c>
      <c r="B1042" t="e">
        <f>'nebuleair_export (1)'!B1042*'Calcul des facteurs'!#REF!+'Calcul des facteurs'!#REF!</f>
        <v>#REF!</v>
      </c>
      <c r="C1042">
        <f>'nebuleair_export (1)'!C1042*'Calcul des facteurs'!$B$4+'Calcul des facteurs'!$C$4</f>
        <v>5.829406362694094</v>
      </c>
      <c r="D1042">
        <f>'nebuleair_export (1)'!D1042*'Calcul des facteurs'!$B$5+'Calcul des facteurs'!$C$5</f>
        <v>9.6579144920991933</v>
      </c>
    </row>
    <row r="1043" spans="1:4">
      <c r="A1043" t="s">
        <v>3383</v>
      </c>
      <c r="B1043" t="e">
        <f>'nebuleair_export (1)'!B1043*'Calcul des facteurs'!#REF!+'Calcul des facteurs'!#REF!</f>
        <v>#REF!</v>
      </c>
      <c r="C1043">
        <f>'nebuleair_export (1)'!C1043*'Calcul des facteurs'!$B$4+'Calcul des facteurs'!$C$4</f>
        <v>6.719025104098943</v>
      </c>
      <c r="D1043">
        <f>'nebuleair_export (1)'!D1043*'Calcul des facteurs'!$B$5+'Calcul des facteurs'!$C$5</f>
        <v>12.680904372436178</v>
      </c>
    </row>
    <row r="1044" spans="1:4">
      <c r="A1044" t="s">
        <v>3385</v>
      </c>
      <c r="B1044" t="e">
        <f>'nebuleair_export (1)'!B1044*'Calcul des facteurs'!#REF!+'Calcul des facteurs'!#REF!</f>
        <v>#REF!</v>
      </c>
      <c r="C1044">
        <f>'nebuleair_export (1)'!C1044*'Calcul des facteurs'!$B$4+'Calcul des facteurs'!$C$4</f>
        <v>6.8740623951321549</v>
      </c>
      <c r="D1044">
        <f>'nebuleair_export (1)'!D1044*'Calcul des facteurs'!$B$5+'Calcul des facteurs'!$C$5</f>
        <v>12.650704673331942</v>
      </c>
    </row>
    <row r="1045" spans="1:4">
      <c r="A1045" t="s">
        <v>3386</v>
      </c>
      <c r="B1045" t="e">
        <f>'nebuleair_export (1)'!B1045*'Calcul des facteurs'!#REF!+'Calcul des facteurs'!#REF!</f>
        <v>#REF!</v>
      </c>
      <c r="C1045">
        <f>'nebuleair_export (1)'!C1045*'Calcul des facteurs'!$B$4+'Calcul des facteurs'!$C$4</f>
        <v>7.3687051808095454</v>
      </c>
      <c r="D1045">
        <f>'nebuleair_export (1)'!D1045*'Calcul des facteurs'!$B$5+'Calcul des facteurs'!$C$5</f>
        <v>12.433266839781227</v>
      </c>
    </row>
    <row r="1046" spans="1:4">
      <c r="A1046" t="s">
        <v>3388</v>
      </c>
      <c r="B1046" t="e">
        <f>'nebuleair_export (1)'!B1046*'Calcul des facteurs'!#REF!+'Calcul des facteurs'!#REF!</f>
        <v>#REF!</v>
      </c>
      <c r="C1046">
        <f>'nebuleair_export (1)'!C1046*'Calcul des facteurs'!$B$4+'Calcul des facteurs'!$C$4</f>
        <v>4.8032071506171237</v>
      </c>
      <c r="D1046">
        <f>'nebuleair_export (1)'!D1046*'Calcul des facteurs'!$B$5+'Calcul des facteurs'!$C$5</f>
        <v>8.1932290855423062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2599-7304-4A88-8811-E916263CB4F5}">
  <dimension ref="A1:L7"/>
  <sheetViews>
    <sheetView workbookViewId="0">
      <selection activeCell="H5" sqref="H5"/>
    </sheetView>
  </sheetViews>
  <sheetFormatPr defaultColWidth="11.42578125" defaultRowHeight="14.25"/>
  <cols>
    <col min="7" max="7" width="8.85546875" customWidth="1"/>
    <col min="11" max="11" width="9.7109375" customWidth="1"/>
  </cols>
  <sheetData>
    <row r="1" spans="1:12" ht="15.75" thickBot="1">
      <c r="A1" s="6"/>
      <c r="B1" s="20" t="s">
        <v>3970</v>
      </c>
      <c r="C1" s="21"/>
      <c r="D1" s="21"/>
      <c r="E1" s="22"/>
      <c r="F1" s="20" t="s">
        <v>3971</v>
      </c>
      <c r="G1" s="22"/>
      <c r="H1" s="3" t="s">
        <v>3972</v>
      </c>
      <c r="I1" s="3" t="s">
        <v>3973</v>
      </c>
      <c r="J1" s="3" t="s">
        <v>3974</v>
      </c>
      <c r="K1" s="3" t="s">
        <v>3975</v>
      </c>
      <c r="L1" s="3" t="s">
        <v>3976</v>
      </c>
    </row>
    <row r="2" spans="1:12" ht="15" thickBot="1">
      <c r="A2" s="7"/>
      <c r="B2" s="23" t="s">
        <v>3977</v>
      </c>
      <c r="C2" s="23"/>
      <c r="D2" s="23" t="s">
        <v>3978</v>
      </c>
      <c r="E2" s="23"/>
      <c r="F2" s="7"/>
      <c r="G2" s="9"/>
      <c r="H2" s="10"/>
      <c r="I2" s="10"/>
      <c r="J2" s="10"/>
      <c r="K2" s="10"/>
      <c r="L2" s="10"/>
    </row>
    <row r="3" spans="1:12" ht="15">
      <c r="A3" s="17" t="s">
        <v>3979</v>
      </c>
      <c r="B3" s="18" t="s">
        <v>3980</v>
      </c>
      <c r="C3" s="18" t="s">
        <v>3981</v>
      </c>
      <c r="D3" s="18" t="s">
        <v>3980</v>
      </c>
      <c r="E3" s="18" t="s">
        <v>3981</v>
      </c>
      <c r="F3" s="7"/>
      <c r="G3" s="9"/>
      <c r="H3" s="10"/>
      <c r="I3" s="10"/>
      <c r="J3" s="10"/>
      <c r="K3" s="10"/>
      <c r="L3" s="10"/>
    </row>
    <row r="4" spans="1:12">
      <c r="A4" s="4" t="s">
        <v>3982</v>
      </c>
      <c r="B4" s="8">
        <f>SLOPE(Comparaison!G2:G1046,Comparaison!C2:C1046)</f>
        <v>1.1074092216657918</v>
      </c>
      <c r="C4" s="7">
        <f>INTERCEPT(Comparaison!G2:G1046,Comparaison!C2:C1046)</f>
        <v>0.29974298250957787</v>
      </c>
      <c r="D4" s="7" cm="1">
        <f t="array" ref="D4:E4">LINEST(Comparaison!G2:G1046,Comparaison!C2:C1046)</f>
        <v>1.1074092216657914</v>
      </c>
      <c r="E4" s="9">
        <v>0.29974298250958054</v>
      </c>
      <c r="F4" s="8">
        <f>RSQ(Comparaison!G2:G1046,Comparaison!C2:C1046)</f>
        <v>0.82620112636919174</v>
      </c>
      <c r="G4" s="11">
        <f>CORREL(Comparaison!G2:G1046,Comparaison!C2:C1046)^2</f>
        <v>0.82620112636919174</v>
      </c>
      <c r="H4" s="10" cm="1">
        <f t="array" ref="H4">AVERAGE(ABS(Comparaison!C2:C1046-Correction!C2:C1046)/Comparaison!C2:C1046*100)</f>
        <v>20.386654267737807</v>
      </c>
      <c r="I4" s="10" cm="1">
        <f t="array" ref="I4">SUMPRODUCT((Comparaison!G2:G1046-Correction!C2:C1046)^2)</f>
        <v>6445.8828878443655</v>
      </c>
      <c r="J4" s="10">
        <f>2*SQRT((I4/(COUNT(Comparaison!G2:G1046)-2))+('Calcul des facteurs'!E4+('Calcul des facteurs'!D4-1)*50)^2)</f>
        <v>12.382463590865859</v>
      </c>
      <c r="K4" s="10">
        <f>(J4/50)*100</f>
        <v>24.764927181731718</v>
      </c>
      <c r="L4" s="10">
        <f>COUNT(Comparaison!G2:G1046)/ROWS(Comparaison!G2:G1046)*100</f>
        <v>100</v>
      </c>
    </row>
    <row r="5" spans="1:12" ht="15" thickBot="1">
      <c r="A5" s="5" t="s">
        <v>3983</v>
      </c>
      <c r="B5" s="13">
        <f>SLOPE(Comparaison!H2:H1046,Comparaison!D2:D1046)</f>
        <v>0.9059909731279745</v>
      </c>
      <c r="C5" s="14">
        <f>INTERCEPT(Comparaison!H2:H1046,Comparaison!D2:D1046)</f>
        <v>2.7029237883867818</v>
      </c>
      <c r="D5" s="14" cm="1">
        <f t="array" ref="D5:E5">LINEST(Comparaison!H2:H1046,Comparaison!D2:D1046)</f>
        <v>0.90599097312797816</v>
      </c>
      <c r="E5" s="15">
        <v>2.7029237883867525</v>
      </c>
      <c r="F5" s="13">
        <f>RSQ(Comparaison!H2:H1046,Comparaison!D2:D1046)</f>
        <v>0.74205978457418897</v>
      </c>
      <c r="G5" s="16">
        <f>CORREL(Comparaison!H2:H1046,Comparaison!D2:D1046)^2</f>
        <v>0.74205978457418897</v>
      </c>
      <c r="H5" s="12" cm="1">
        <f t="array" ref="H5">AVERAGE(ABS(Comparaison!D2:D1046-Correction!D2:D1046)/Comparaison!D2:D1046*100)</f>
        <v>50.695784392880142</v>
      </c>
      <c r="I5" s="12" cm="1">
        <f t="array" ref="I5">SUMPRODUCT((Comparaison!H2:H1046-Correction!D2:D1046)^2)</f>
        <v>13333.353808820732</v>
      </c>
      <c r="J5" s="12">
        <f>2*SQRT((I5/(COUNT(Comparaison!H2:H1046)-2))+('Calcul des facteurs'!E5+('Calcul des facteurs'!D5-1)*50)^2)</f>
        <v>8.1911593586966998</v>
      </c>
      <c r="K5" s="12">
        <f>(J5/50)*100</f>
        <v>16.3823187173934</v>
      </c>
      <c r="L5" s="12">
        <f>COUNT(Comparaison!H2:H1046)/ROWS(Comparaison!H2:H1046)*100</f>
        <v>100</v>
      </c>
    </row>
    <row r="7" spans="1:12">
      <c r="D7" cm="1">
        <f t="array" ref="D7:E7">LINEST(Correction!C2:C1046,Comparaison!G2:G1046)</f>
        <v>0.82620112636919196</v>
      </c>
      <c r="E7">
        <v>1.1462077294629678</v>
      </c>
      <c r="G7" s="19">
        <f>CORREL(Comparaison!G2:G1046,Correction!C2:C1046)^2</f>
        <v>0.82620112636919207</v>
      </c>
    </row>
  </sheetData>
  <mergeCells count="4">
    <mergeCell ref="B1:E1"/>
    <mergeCell ref="D2:E2"/>
    <mergeCell ref="B2:C2"/>
    <mergeCell ref="F1:G1"/>
  </mergeCells>
  <conditionalFormatting sqref="D4:D5 B4:B5">
    <cfRule type="colorScale" priority="8">
      <colorScale>
        <cfvo type="min"/>
        <cfvo type="num" val="0.7"/>
        <color rgb="FFC00000"/>
        <color theme="9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4665A92B-421D-490A-9EE3-512E90AEAB86}">
            <x14:iconSet custom="1">
              <x14:cfvo type="percent">
                <xm:f>0</xm:f>
              </x14:cfvo>
              <x14:cfvo type="num" gte="0">
                <xm:f>25</xm:f>
              </x14:cfvo>
              <x14:cfvo type="num" gte="0">
                <xm:f>75</xm:f>
              </x14:cfvo>
              <x14:cfIcon iconSet="3Symbols2" iconId="2"/>
              <x14:cfIcon iconSet="3Symbols2" iconId="1"/>
              <x14:cfIcon iconSet="3Symbols2" iconId="0"/>
            </x14:iconSet>
          </x14:cfRule>
          <xm:sqref>K4:K5</xm:sqref>
        </x14:conditionalFormatting>
        <x14:conditionalFormatting xmlns:xm="http://schemas.microsoft.com/office/excel/2006/main">
          <x14:cfRule type="iconSet" priority="3" id="{E9A4E192-5793-4711-98AE-CD4D1058DBBB}">
            <x14:iconSet custom="1">
              <x14:cfvo type="percent">
                <xm:f>0</xm:f>
              </x14:cfvo>
              <x14:cfvo type="num" gte="0">
                <xm:f>25</xm:f>
              </x14:cfvo>
              <x14:cfvo type="num" gte="0">
                <xm:f>50</xm:f>
              </x14:cfvo>
              <x14:cfIcon iconSet="3Symbols2" iconId="2"/>
              <x14:cfIcon iconSet="3Symbols2" iconId="1"/>
              <x14:cfIcon iconSet="3Symbols2" iconId="0"/>
            </x14:iconSet>
          </x14:cfRule>
          <xm:sqref>J4:J5</xm:sqref>
        </x14:conditionalFormatting>
        <x14:conditionalFormatting xmlns:xm="http://schemas.microsoft.com/office/excel/2006/main">
          <x14:cfRule type="iconSet" priority="10" id="{5A787871-FE77-4AFD-AA6B-AD6FF275A8D5}">
            <x14:iconSet custom="1">
              <x14:cfvo type="percent">
                <xm:f>0</xm:f>
              </x14:cfvo>
              <x14:cfvo type="num" gte="0">
                <xm:f>0.5</xm:f>
              </x14:cfvo>
              <x14:cfvo type="num" gte="0">
                <xm:f>0.75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F4:G5</xm:sqref>
        </x14:conditionalFormatting>
        <x14:conditionalFormatting xmlns:xm="http://schemas.microsoft.com/office/excel/2006/main">
          <x14:cfRule type="iconSet" priority="11" id="{A7C82A0C-49F3-4CE4-80EE-4615E6391B78}">
            <x14:iconSet custom="1">
              <x14:cfvo type="percent">
                <xm:f>0</xm:f>
              </x14:cfvo>
              <x14:cfvo type="num" gte="0">
                <xm:f>50</xm:f>
              </x14:cfvo>
              <x14:cfvo type="num" gte="0">
                <xm:f>100</xm:f>
              </x14:cfvo>
              <x14:cfIcon iconSet="3Symbols2" iconId="2"/>
              <x14:cfIcon iconSet="3Symbols2" iconId="1"/>
              <x14:cfIcon iconSet="3Symbols2" iconId="0"/>
            </x14:iconSet>
          </x14:cfRule>
          <xm:sqref>H4:H5</xm:sqref>
        </x14:conditionalFormatting>
        <x14:conditionalFormatting xmlns:xm="http://schemas.microsoft.com/office/excel/2006/main">
          <x14:cfRule type="iconSet" priority="12" id="{FAAB7C78-D681-49D4-85A1-62EDEA7FBEC8}">
            <x14:iconSet custom="1">
              <x14:cfvo type="percent">
                <xm:f>0</xm:f>
              </x14:cfvo>
              <x14:cfvo type="num" gte="0">
                <xm:f>14</xm:f>
              </x14:cfvo>
              <x14:cfvo type="num" gte="0">
                <xm:f>90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L4:L5</xm:sqref>
        </x14:conditionalFormatting>
        <x14:conditionalFormatting xmlns:xm="http://schemas.microsoft.com/office/excel/2006/main">
          <x14:cfRule type="iconSet" priority="13" id="{F9FE35C7-D914-4D0B-BCAB-48F100369965}">
            <x14:iconSet custom="1">
              <x14:cfvo type="percent">
                <xm:f>0</xm:f>
              </x14:cfvo>
              <x14:cfvo type="num" gte="0">
                <xm:f>1.3</xm:f>
              </x14:cfvo>
              <x14:cfvo type="num" gte="0">
                <xm:f>1.5</xm:f>
              </x14:cfvo>
              <x14:cfIcon iconSet="3Symbols2" iconId="2"/>
              <x14:cfIcon iconSet="3Symbols2" iconId="1"/>
              <x14:cfIcon iconSet="3Symbols2" iconId="0"/>
            </x14:iconSet>
          </x14:cfRule>
          <xm:sqref>D4:D5 B4:B5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E28F-398B-4C96-B15D-DAC79CE75958}">
  <dimension ref="A1"/>
  <sheetViews>
    <sheetView workbookViewId="0">
      <selection activeCell="O14" sqref="O14"/>
    </sheetView>
  </sheetViews>
  <sheetFormatPr defaultColWidth="11.42578125" defaultRowHeight="14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F4BE41-6A56-4A60-A3FB-281C5D3E79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2026-02-10T09:58:56Z</dcterms:created>
  <dcterms:modified xsi:type="dcterms:W3CDTF">2026-02-19T13:27:58Z</dcterms:modified>
  <cp:category/>
  <cp:contentStatus/>
</cp:coreProperties>
</file>